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49667BA-A9C5-42DB-BAA8-FB0EFDD685AA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_Datadisk" sheetId="14" r:id="rId3"/>
    <sheet name="VM" sheetId="1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LB!$B$1:$Q$45</definedName>
    <definedName name="_xlnm._FilterDatabase" localSheetId="8" hidden="1">LB_Probe!$B$1:$K$66</definedName>
    <definedName name="_xlnm._FilterDatabase" localSheetId="9" hidden="1">LB_Rule!$B$1:$S$66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1" l="1"/>
  <c r="K32" i="11"/>
  <c r="G32" i="11"/>
  <c r="F32" i="11"/>
  <c r="C32" i="11" a="1"/>
  <c r="C32" i="11" s="1"/>
  <c r="M31" i="11"/>
  <c r="K31" i="11"/>
  <c r="G31" i="11"/>
  <c r="F31" i="11"/>
  <c r="C31" i="11" a="1"/>
  <c r="C31" i="11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F32" i="10"/>
  <c r="C32" i="10" a="1"/>
  <c r="C32" i="10" s="1"/>
  <c r="F31" i="10"/>
  <c r="C31" i="10" a="1"/>
  <c r="C31" i="10" s="1"/>
  <c r="F30" i="10"/>
  <c r="C30" i="10" a="1"/>
  <c r="C30" i="10" s="1"/>
  <c r="F29" i="10"/>
  <c r="C29" i="10" a="1"/>
  <c r="C29" i="10" s="1"/>
  <c r="C21" i="6" a="1"/>
  <c r="C21" i="6" s="1"/>
  <c r="K21" i="6"/>
  <c r="Q21" i="6"/>
  <c r="C22" i="6" a="1"/>
  <c r="C22" i="6" s="1"/>
  <c r="K22" i="6"/>
  <c r="Q22" i="6"/>
  <c r="C137" i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19" i="1" a="1"/>
  <c r="C119" i="1" s="1"/>
  <c r="C116" i="1" a="1"/>
  <c r="C116" i="1" s="1"/>
  <c r="C115" i="1" a="1"/>
  <c r="C115" i="1" s="1"/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33" i="11"/>
  <c r="M34" i="11"/>
  <c r="F28" i="11"/>
  <c r="F33" i="11"/>
  <c r="F34" i="11"/>
  <c r="F56" i="10"/>
  <c r="F64" i="10"/>
  <c r="F53" i="10"/>
  <c r="F54" i="10"/>
  <c r="F42" i="10"/>
  <c r="F43" i="10"/>
  <c r="F44" i="10"/>
  <c r="F45" i="10"/>
  <c r="F40" i="10"/>
  <c r="F37" i="10"/>
  <c r="F35" i="10"/>
  <c r="C28" i="10" a="1"/>
  <c r="C28" i="10" s="1"/>
  <c r="F28" i="10"/>
  <c r="F26" i="10"/>
  <c r="F24" i="10"/>
  <c r="F22" i="10"/>
  <c r="F18" i="10"/>
  <c r="F6" i="10"/>
  <c r="F7" i="10"/>
  <c r="F14" i="10"/>
  <c r="C20" i="6" a="1"/>
  <c r="C20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2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F20" i="10"/>
  <c r="F21" i="10"/>
  <c r="F23" i="10"/>
  <c r="F25" i="10"/>
  <c r="F34" i="10"/>
  <c r="F3" i="10"/>
  <c r="F46" i="10"/>
  <c r="F5" i="10"/>
  <c r="F10" i="10"/>
  <c r="F12" i="10"/>
  <c r="F38" i="10"/>
  <c r="F60" i="10"/>
  <c r="F51" i="10"/>
  <c r="F41" i="10"/>
  <c r="F39" i="10"/>
  <c r="F9" i="10"/>
  <c r="F11" i="10"/>
  <c r="F36" i="10"/>
  <c r="F15" i="10"/>
  <c r="F16" i="10"/>
  <c r="F17" i="10"/>
  <c r="F19" i="10"/>
  <c r="F27" i="10"/>
  <c r="F33" i="10"/>
  <c r="F8" i="10"/>
  <c r="F49" i="10"/>
  <c r="F48" i="10"/>
  <c r="F47" i="10"/>
  <c r="F57" i="10"/>
  <c r="F58" i="10"/>
  <c r="F55" i="10"/>
  <c r="F66" i="10"/>
  <c r="F63" i="10"/>
  <c r="F61" i="10"/>
  <c r="F62" i="10"/>
  <c r="F13" i="10"/>
  <c r="F2" i="10"/>
  <c r="F4" i="10"/>
  <c r="F59" i="10"/>
  <c r="F50" i="10"/>
  <c r="F52" i="10"/>
  <c r="F65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8" i="11" a="1"/>
  <c r="C28" i="11" s="1"/>
  <c r="C27" i="11" a="1"/>
  <c r="C27" i="11" s="1"/>
  <c r="C27" i="10" a="1"/>
  <c r="C2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3" i="6"/>
  <c r="Q2" i="6"/>
  <c r="K28" i="6"/>
  <c r="K19" i="6"/>
  <c r="K18" i="6"/>
  <c r="K17" i="6"/>
  <c r="K16" i="6"/>
  <c r="K15" i="6"/>
  <c r="K27" i="6"/>
  <c r="K26" i="6"/>
  <c r="K25" i="6"/>
  <c r="K24" i="6"/>
  <c r="K23" i="6"/>
  <c r="K45" i="6"/>
  <c r="K20" i="6"/>
  <c r="K14" i="6"/>
  <c r="K13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2" i="6"/>
  <c r="K11" i="6"/>
  <c r="K37" i="6"/>
  <c r="K36" i="6"/>
  <c r="K35" i="6"/>
  <c r="K34" i="6"/>
  <c r="K33" i="6"/>
  <c r="K32" i="6"/>
  <c r="K40" i="6"/>
  <c r="K39" i="6"/>
  <c r="K38" i="6"/>
  <c r="K41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<sst xmlns="http://schemas.openxmlformats.org/spreadsheetml/2006/main" count="7430" uniqueCount="1118">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</sst>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Fill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9"/>
  <sheetViews>
    <sheetView workbookViewId="0">
      <pane xSplit="6" ySplit="1" topLeftCell="I118" activePane="bottomRight" state="frozen"/>
      <selection pane="topRight" activeCell="G1" sqref="G1"/>
      <selection pane="bottomLeft" activeCell="A2" sqref="A2"/>
      <selection pane="bottomRight" activeCell="F103" sqref="F10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642</v>
      </c>
      <c r="H2" s="73" t="s">
        <v>180</v>
      </c>
      <c r="I2" s="73">
        <v>128</v>
      </c>
      <c r="J2" s="73" t="s">
        <v>643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920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644</v>
      </c>
      <c r="H3" s="74" t="s">
        <v>180</v>
      </c>
      <c r="I3" s="74">
        <v>128</v>
      </c>
      <c r="J3" s="74" t="s">
        <v>645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920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646</v>
      </c>
      <c r="H4" s="73" t="s">
        <v>180</v>
      </c>
      <c r="I4" s="73">
        <v>128</v>
      </c>
      <c r="J4" s="73" t="s">
        <v>647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920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648</v>
      </c>
      <c r="H5" s="74" t="s">
        <v>180</v>
      </c>
      <c r="I5" s="74">
        <v>128</v>
      </c>
      <c r="J5" s="74" t="s">
        <v>649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920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650</v>
      </c>
      <c r="H6" s="73" t="s">
        <v>180</v>
      </c>
      <c r="I6" s="73">
        <v>128</v>
      </c>
      <c r="J6" s="73" t="s">
        <v>651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920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652</v>
      </c>
      <c r="H7" s="74" t="s">
        <v>180</v>
      </c>
      <c r="I7" s="74">
        <v>128</v>
      </c>
      <c r="J7" s="74" t="s">
        <v>653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920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654</v>
      </c>
      <c r="H8" s="73" t="s">
        <v>180</v>
      </c>
      <c r="I8" s="73">
        <v>128</v>
      </c>
      <c r="J8" s="73" t="s">
        <v>655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920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656</v>
      </c>
      <c r="H9" s="74" t="s">
        <v>180</v>
      </c>
      <c r="I9" s="74">
        <v>128</v>
      </c>
      <c r="J9" s="74" t="s">
        <v>657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920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658</v>
      </c>
      <c r="H10" s="73" t="s">
        <v>180</v>
      </c>
      <c r="I10" s="73">
        <v>128</v>
      </c>
      <c r="J10" s="73" t="s">
        <v>659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920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660</v>
      </c>
      <c r="H11" s="74" t="s">
        <v>180</v>
      </c>
      <c r="I11" s="74">
        <v>128</v>
      </c>
      <c r="J11" s="74" t="s">
        <v>661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920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662</v>
      </c>
      <c r="H12" s="73" t="s">
        <v>180</v>
      </c>
      <c r="I12" s="73">
        <v>128</v>
      </c>
      <c r="J12" s="73" t="s">
        <v>663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920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664</v>
      </c>
      <c r="H13" s="74" t="s">
        <v>180</v>
      </c>
      <c r="I13" s="74">
        <v>128</v>
      </c>
      <c r="J13" s="74" t="s">
        <v>665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920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666</v>
      </c>
      <c r="H14" s="73" t="s">
        <v>180</v>
      </c>
      <c r="I14" s="73">
        <v>128</v>
      </c>
      <c r="J14" s="73" t="s">
        <v>667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920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668</v>
      </c>
      <c r="H15" s="74" t="s">
        <v>180</v>
      </c>
      <c r="I15" s="74">
        <v>128</v>
      </c>
      <c r="J15" s="74" t="s">
        <v>669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920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670</v>
      </c>
      <c r="H16" s="73" t="s">
        <v>180</v>
      </c>
      <c r="I16" s="73">
        <v>128</v>
      </c>
      <c r="J16" s="73" t="s">
        <v>671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920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672</v>
      </c>
      <c r="H17" s="74" t="s">
        <v>180</v>
      </c>
      <c r="I17" s="74">
        <v>128</v>
      </c>
      <c r="J17" s="74" t="s">
        <v>673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920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674</v>
      </c>
      <c r="H18" s="73" t="s">
        <v>180</v>
      </c>
      <c r="I18" s="73">
        <v>128</v>
      </c>
      <c r="J18" s="73" t="s">
        <v>675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920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676</v>
      </c>
      <c r="H19" s="74" t="s">
        <v>180</v>
      </c>
      <c r="I19" s="74">
        <v>128</v>
      </c>
      <c r="J19" s="74" t="s">
        <v>677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920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678</v>
      </c>
      <c r="H20" s="73" t="s">
        <v>180</v>
      </c>
      <c r="I20" s="73">
        <v>128</v>
      </c>
      <c r="J20" s="73" t="s">
        <v>679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920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680</v>
      </c>
      <c r="H21" s="74" t="s">
        <v>180</v>
      </c>
      <c r="I21" s="74">
        <v>128</v>
      </c>
      <c r="J21" s="74" t="s">
        <v>681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920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682</v>
      </c>
      <c r="H22" s="73" t="s">
        <v>180</v>
      </c>
      <c r="I22" s="73">
        <v>128</v>
      </c>
      <c r="J22" s="73" t="s">
        <v>683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920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684</v>
      </c>
      <c r="H23" s="74" t="s">
        <v>180</v>
      </c>
      <c r="I23" s="74">
        <v>128</v>
      </c>
      <c r="J23" s="74" t="s">
        <v>685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920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686</v>
      </c>
      <c r="H24" s="73" t="s">
        <v>180</v>
      </c>
      <c r="I24" s="73">
        <v>128</v>
      </c>
      <c r="J24" s="73" t="s">
        <v>687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920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688</v>
      </c>
      <c r="H25" s="74" t="s">
        <v>180</v>
      </c>
      <c r="I25" s="74">
        <v>128</v>
      </c>
      <c r="J25" s="74" t="s">
        <v>689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920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690</v>
      </c>
      <c r="H26" s="73" t="s">
        <v>180</v>
      </c>
      <c r="I26" s="73">
        <v>128</v>
      </c>
      <c r="J26" s="73" t="s">
        <v>691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920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692</v>
      </c>
      <c r="H27" s="74" t="s">
        <v>180</v>
      </c>
      <c r="I27" s="74">
        <v>128</v>
      </c>
      <c r="J27" s="74" t="s">
        <v>693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920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694</v>
      </c>
      <c r="H28" s="73" t="s">
        <v>180</v>
      </c>
      <c r="I28" s="73">
        <v>128</v>
      </c>
      <c r="J28" s="73" t="s">
        <v>695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920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696</v>
      </c>
      <c r="H29" s="74" t="s">
        <v>180</v>
      </c>
      <c r="I29" s="74">
        <v>128</v>
      </c>
      <c r="J29" s="74" t="s">
        <v>697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920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698</v>
      </c>
      <c r="H30" s="73" t="s">
        <v>180</v>
      </c>
      <c r="I30" s="73">
        <v>128</v>
      </c>
      <c r="J30" s="73" t="s">
        <v>699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920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700</v>
      </c>
      <c r="H31" s="74" t="s">
        <v>180</v>
      </c>
      <c r="I31" s="74">
        <v>128</v>
      </c>
      <c r="J31" s="74" t="s">
        <v>701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920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702</v>
      </c>
      <c r="H32" s="73" t="s">
        <v>180</v>
      </c>
      <c r="I32" s="73">
        <v>128</v>
      </c>
      <c r="J32" s="73" t="s">
        <v>703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920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704</v>
      </c>
      <c r="H33" s="74" t="s">
        <v>180</v>
      </c>
      <c r="I33" s="74">
        <v>128</v>
      </c>
      <c r="J33" s="74" t="s">
        <v>705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920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706</v>
      </c>
      <c r="H34" s="73" t="s">
        <v>180</v>
      </c>
      <c r="I34" s="73">
        <v>128</v>
      </c>
      <c r="J34" s="73" t="s">
        <v>707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920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920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708</v>
      </c>
      <c r="H36" s="73" t="s">
        <v>709</v>
      </c>
      <c r="I36" s="73">
        <v>1024</v>
      </c>
      <c r="J36" s="73" t="s">
        <v>710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920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711</v>
      </c>
      <c r="H37" s="74" t="s">
        <v>709</v>
      </c>
      <c r="I37" s="74">
        <v>1024</v>
      </c>
      <c r="J37" s="74" t="s">
        <v>712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920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713</v>
      </c>
      <c r="H38" s="73" t="s">
        <v>709</v>
      </c>
      <c r="I38" s="73">
        <v>1024</v>
      </c>
      <c r="J38" s="73" t="s">
        <v>714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920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715</v>
      </c>
      <c r="H39" s="74" t="s">
        <v>709</v>
      </c>
      <c r="I39" s="74">
        <v>1024</v>
      </c>
      <c r="J39" s="74" t="s">
        <v>716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920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717</v>
      </c>
      <c r="H40" s="73" t="s">
        <v>180</v>
      </c>
      <c r="I40" s="73">
        <v>512</v>
      </c>
      <c r="J40" s="73" t="s">
        <v>718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920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719</v>
      </c>
      <c r="H41" s="74" t="s">
        <v>180</v>
      </c>
      <c r="I41" s="74">
        <v>512</v>
      </c>
      <c r="J41" s="74" t="s">
        <v>720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920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721</v>
      </c>
      <c r="H42" s="73" t="s">
        <v>180</v>
      </c>
      <c r="I42" s="73">
        <v>128</v>
      </c>
      <c r="J42" s="73" t="s">
        <v>722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920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723</v>
      </c>
      <c r="H43" s="74" t="s">
        <v>180</v>
      </c>
      <c r="I43" s="74">
        <v>128</v>
      </c>
      <c r="J43" s="74" t="s">
        <v>724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920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725</v>
      </c>
      <c r="H44" s="73" t="s">
        <v>180</v>
      </c>
      <c r="I44" s="73">
        <v>128</v>
      </c>
      <c r="J44" s="73" t="s">
        <v>726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920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727</v>
      </c>
      <c r="H45" s="74" t="s">
        <v>180</v>
      </c>
      <c r="I45" s="74">
        <v>128</v>
      </c>
      <c r="J45" s="74" t="s">
        <v>728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920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729</v>
      </c>
      <c r="H46" s="73" t="s">
        <v>180</v>
      </c>
      <c r="I46" s="73">
        <v>128</v>
      </c>
      <c r="J46" s="73" t="s">
        <v>730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920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731</v>
      </c>
      <c r="H47" s="74" t="s">
        <v>180</v>
      </c>
      <c r="I47" s="74">
        <v>128</v>
      </c>
      <c r="J47" s="74" t="s">
        <v>732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920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733</v>
      </c>
      <c r="H48" s="73" t="s">
        <v>180</v>
      </c>
      <c r="I48" s="73">
        <v>128</v>
      </c>
      <c r="J48" s="73" t="s">
        <v>734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920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735</v>
      </c>
      <c r="H49" s="74" t="s">
        <v>180</v>
      </c>
      <c r="I49" s="74">
        <v>128</v>
      </c>
      <c r="J49" s="74" t="s">
        <v>736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920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737</v>
      </c>
      <c r="H50" s="73" t="s">
        <v>180</v>
      </c>
      <c r="I50" s="73">
        <v>128</v>
      </c>
      <c r="J50" s="73" t="s">
        <v>738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920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739</v>
      </c>
      <c r="H51" s="74" t="s">
        <v>180</v>
      </c>
      <c r="I51" s="74">
        <v>128</v>
      </c>
      <c r="J51" s="74" t="s">
        <v>740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920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741</v>
      </c>
      <c r="H52" s="73" t="s">
        <v>180</v>
      </c>
      <c r="I52" s="73">
        <v>128</v>
      </c>
      <c r="J52" s="73" t="s">
        <v>742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920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743</v>
      </c>
      <c r="H53" s="74" t="s">
        <v>180</v>
      </c>
      <c r="I53" s="74">
        <v>128</v>
      </c>
      <c r="J53" s="74" t="s">
        <v>744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920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745</v>
      </c>
      <c r="H54" s="73" t="s">
        <v>180</v>
      </c>
      <c r="I54" s="73">
        <v>128</v>
      </c>
      <c r="J54" s="73" t="s">
        <v>746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920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747</v>
      </c>
      <c r="H55" s="74" t="s">
        <v>180</v>
      </c>
      <c r="I55" s="74">
        <v>128</v>
      </c>
      <c r="J55" s="74" t="s">
        <v>748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920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749</v>
      </c>
      <c r="H56" s="73" t="s">
        <v>180</v>
      </c>
      <c r="I56" s="73">
        <v>128</v>
      </c>
      <c r="J56" s="73" t="s">
        <v>750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920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751</v>
      </c>
      <c r="H57" s="74" t="s">
        <v>180</v>
      </c>
      <c r="I57" s="74">
        <v>128</v>
      </c>
      <c r="J57" s="74" t="s">
        <v>752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920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753</v>
      </c>
      <c r="H58" s="73" t="s">
        <v>180</v>
      </c>
      <c r="I58" s="73">
        <v>128</v>
      </c>
      <c r="J58" s="73" t="s">
        <v>754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920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755</v>
      </c>
      <c r="H59" s="74" t="s">
        <v>180</v>
      </c>
      <c r="I59" s="74">
        <v>128</v>
      </c>
      <c r="J59" s="74" t="s">
        <v>756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920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757</v>
      </c>
      <c r="H60" s="73" t="s">
        <v>180</v>
      </c>
      <c r="I60" s="73">
        <v>128</v>
      </c>
      <c r="J60" s="73" t="s">
        <v>758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920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759</v>
      </c>
      <c r="H61" s="74" t="s">
        <v>180</v>
      </c>
      <c r="I61" s="74">
        <v>128</v>
      </c>
      <c r="J61" s="74" t="s">
        <v>760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920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761</v>
      </c>
      <c r="H62" s="73" t="s">
        <v>180</v>
      </c>
      <c r="I62" s="73">
        <v>128</v>
      </c>
      <c r="J62" s="73" t="s">
        <v>762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920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763</v>
      </c>
      <c r="H63" s="74" t="s">
        <v>180</v>
      </c>
      <c r="I63" s="74">
        <v>128</v>
      </c>
      <c r="J63" s="74" t="s">
        <v>764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920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765</v>
      </c>
      <c r="H64" s="73" t="s">
        <v>180</v>
      </c>
      <c r="I64" s="73">
        <v>128</v>
      </c>
      <c r="J64" s="73" t="s">
        <v>766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920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767</v>
      </c>
      <c r="H65" s="74" t="s">
        <v>180</v>
      </c>
      <c r="I65" s="74">
        <v>128</v>
      </c>
      <c r="J65" s="74" t="s">
        <v>768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920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769</v>
      </c>
      <c r="H66" s="73" t="s">
        <v>180</v>
      </c>
      <c r="I66" s="73">
        <v>128</v>
      </c>
      <c r="J66" s="73" t="s">
        <v>770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920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771</v>
      </c>
      <c r="H67" s="74" t="s">
        <v>180</v>
      </c>
      <c r="I67" s="74">
        <v>128</v>
      </c>
      <c r="J67" s="74" t="s">
        <v>772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920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773</v>
      </c>
      <c r="H68" s="73" t="s">
        <v>180</v>
      </c>
      <c r="I68" s="73">
        <v>128</v>
      </c>
      <c r="J68" s="73" t="s">
        <v>774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920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775</v>
      </c>
      <c r="H69" s="74" t="s">
        <v>180</v>
      </c>
      <c r="I69" s="74">
        <v>128</v>
      </c>
      <c r="J69" s="74" t="s">
        <v>776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920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777</v>
      </c>
      <c r="H70" s="73" t="s">
        <v>180</v>
      </c>
      <c r="I70" s="73">
        <v>512</v>
      </c>
      <c r="J70" s="73" t="s">
        <v>778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920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6" t="s">
        <v>24</v>
      </c>
      <c r="F71" s="100" t="s">
        <v>420</v>
      </c>
      <c r="G71" s="100" t="s">
        <v>921</v>
      </c>
      <c r="H71" s="100" t="s">
        <v>709</v>
      </c>
      <c r="I71" s="100">
        <v>4096</v>
      </c>
      <c r="J71" s="100" t="s">
        <v>922</v>
      </c>
      <c r="K71" s="100" t="s">
        <v>709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920</v>
      </c>
      <c r="Q71" s="100" t="b">
        <v>1</v>
      </c>
      <c r="R71" s="100" t="s">
        <v>951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6" t="s">
        <v>24</v>
      </c>
      <c r="F72" s="100" t="s">
        <v>420</v>
      </c>
      <c r="G72" s="100" t="s">
        <v>923</v>
      </c>
      <c r="H72" s="100" t="s">
        <v>709</v>
      </c>
      <c r="I72" s="100">
        <v>4096</v>
      </c>
      <c r="J72" s="100" t="s">
        <v>924</v>
      </c>
      <c r="K72" s="100" t="s">
        <v>709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920</v>
      </c>
      <c r="Q72" s="100" t="b">
        <v>1</v>
      </c>
      <c r="R72" s="100"/>
    </row>
    <row r="73" spans="1:18" x14ac:dyDescent="0.3">
      <c r="A73" s="99"/>
      <c r="B73" s="100" t="s">
        <v>952</v>
      </c>
      <c r="C73" s="100" t="str" cm="1">
        <f t="array" ref="C73">UPPER(INDEX(_xlfn.TEXTSPLIT($D73, "-"), 3))</f>
        <v>DTG</v>
      </c>
      <c r="D73" s="100" t="s">
        <v>322</v>
      </c>
      <c r="E73" s="106" t="s">
        <v>24</v>
      </c>
      <c r="F73" s="100" t="s">
        <v>420</v>
      </c>
      <c r="G73" s="100" t="s">
        <v>779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920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5" t="s">
        <v>24</v>
      </c>
      <c r="F74" s="101" t="s">
        <v>421</v>
      </c>
      <c r="G74" s="101" t="s">
        <v>929</v>
      </c>
      <c r="H74" s="101" t="s">
        <v>709</v>
      </c>
      <c r="I74" s="101">
        <v>4096</v>
      </c>
      <c r="J74" s="101" t="s">
        <v>931</v>
      </c>
      <c r="K74" s="101" t="s">
        <v>709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920</v>
      </c>
      <c r="Q74" s="101" t="b">
        <v>1</v>
      </c>
      <c r="R74" s="101" t="s">
        <v>951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5" t="s">
        <v>24</v>
      </c>
      <c r="F75" s="101" t="s">
        <v>421</v>
      </c>
      <c r="G75" s="101" t="s">
        <v>930</v>
      </c>
      <c r="H75" s="101" t="s">
        <v>709</v>
      </c>
      <c r="I75" s="101">
        <v>4096</v>
      </c>
      <c r="J75" s="101" t="s">
        <v>932</v>
      </c>
      <c r="K75" s="101" t="s">
        <v>709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920</v>
      </c>
      <c r="Q75" s="101" t="b">
        <v>1</v>
      </c>
      <c r="R75" s="101"/>
    </row>
    <row r="76" spans="1:18" x14ac:dyDescent="0.3">
      <c r="A76" s="99"/>
      <c r="B76" s="101" t="s">
        <v>952</v>
      </c>
      <c r="C76" s="101" t="str" cm="1">
        <f t="array" ref="C76">UPPER(INDEX(_xlfn.TEXTSPLIT($D76, "-"), 3))</f>
        <v>DTG</v>
      </c>
      <c r="D76" s="101" t="s">
        <v>322</v>
      </c>
      <c r="E76" s="105" t="s">
        <v>24</v>
      </c>
      <c r="F76" s="101" t="s">
        <v>421</v>
      </c>
      <c r="G76" s="101" t="s">
        <v>780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920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6" t="s">
        <v>24</v>
      </c>
      <c r="F77" s="100" t="s">
        <v>422</v>
      </c>
      <c r="G77" s="100" t="s">
        <v>928</v>
      </c>
      <c r="H77" s="100" t="s">
        <v>709</v>
      </c>
      <c r="I77" s="100">
        <v>4096</v>
      </c>
      <c r="J77" s="100" t="s">
        <v>925</v>
      </c>
      <c r="K77" s="100" t="s">
        <v>709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920</v>
      </c>
      <c r="Q77" s="100" t="b">
        <v>1</v>
      </c>
      <c r="R77" s="100" t="s">
        <v>951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6" t="s">
        <v>24</v>
      </c>
      <c r="F78" s="100" t="s">
        <v>422</v>
      </c>
      <c r="G78" s="100" t="s">
        <v>927</v>
      </c>
      <c r="H78" s="100" t="s">
        <v>709</v>
      </c>
      <c r="I78" s="100">
        <v>4096</v>
      </c>
      <c r="J78" s="100" t="s">
        <v>926</v>
      </c>
      <c r="K78" s="100" t="s">
        <v>709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920</v>
      </c>
      <c r="Q78" s="100" t="b">
        <v>1</v>
      </c>
      <c r="R78" s="100"/>
    </row>
    <row r="79" spans="1:18" x14ac:dyDescent="0.3">
      <c r="A79" s="99"/>
      <c r="B79" s="100" t="s">
        <v>952</v>
      </c>
      <c r="C79" s="100" t="str" cm="1">
        <f t="array" ref="C79">UPPER(INDEX(_xlfn.TEXTSPLIT($D79, "-"), 3))</f>
        <v>DTG</v>
      </c>
      <c r="D79" s="100" t="s">
        <v>322</v>
      </c>
      <c r="E79" s="106" t="s">
        <v>24</v>
      </c>
      <c r="F79" s="100" t="s">
        <v>422</v>
      </c>
      <c r="G79" s="100" t="s">
        <v>781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920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5" t="s">
        <v>24</v>
      </c>
      <c r="F80" s="101" t="s">
        <v>423</v>
      </c>
      <c r="G80" s="101" t="s">
        <v>933</v>
      </c>
      <c r="H80" s="101" t="s">
        <v>709</v>
      </c>
      <c r="I80" s="101">
        <v>4096</v>
      </c>
      <c r="J80" s="101" t="s">
        <v>934</v>
      </c>
      <c r="K80" s="101" t="s">
        <v>709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920</v>
      </c>
      <c r="Q80" s="101" t="b">
        <v>1</v>
      </c>
      <c r="R80" s="101" t="s">
        <v>951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5" t="s">
        <v>24</v>
      </c>
      <c r="F81" s="101" t="s">
        <v>423</v>
      </c>
      <c r="G81" s="101" t="s">
        <v>936</v>
      </c>
      <c r="H81" s="101" t="s">
        <v>709</v>
      </c>
      <c r="I81" s="101">
        <v>4096</v>
      </c>
      <c r="J81" s="101" t="s">
        <v>935</v>
      </c>
      <c r="K81" s="101" t="s">
        <v>709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920</v>
      </c>
      <c r="Q81" s="101" t="b">
        <v>1</v>
      </c>
      <c r="R81" s="101"/>
    </row>
    <row r="82" spans="1:18" x14ac:dyDescent="0.3">
      <c r="A82" s="99"/>
      <c r="B82" s="101" t="s">
        <v>952</v>
      </c>
      <c r="C82" s="101" t="str" cm="1">
        <f t="array" ref="C82">UPPER(INDEX(_xlfn.TEXTSPLIT($D82, "-"), 3))</f>
        <v>DTG</v>
      </c>
      <c r="D82" s="101" t="s">
        <v>322</v>
      </c>
      <c r="E82" s="105" t="s">
        <v>24</v>
      </c>
      <c r="F82" s="101" t="s">
        <v>423</v>
      </c>
      <c r="G82" s="101" t="s">
        <v>782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920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783</v>
      </c>
      <c r="H83" s="74" t="s">
        <v>180</v>
      </c>
      <c r="I83" s="74">
        <v>128</v>
      </c>
      <c r="J83" s="74" t="s">
        <v>784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920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785</v>
      </c>
      <c r="H84" s="73" t="s">
        <v>180</v>
      </c>
      <c r="I84" s="73">
        <v>128</v>
      </c>
      <c r="J84" s="73" t="s">
        <v>786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920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787</v>
      </c>
      <c r="H85" s="74" t="s">
        <v>180</v>
      </c>
      <c r="I85" s="74">
        <v>128</v>
      </c>
      <c r="J85" s="74" t="s">
        <v>788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920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789</v>
      </c>
      <c r="H86" s="73" t="s">
        <v>180</v>
      </c>
      <c r="I86" s="73">
        <v>128</v>
      </c>
      <c r="J86" s="73" t="s">
        <v>790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920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791</v>
      </c>
      <c r="H87" s="74" t="s">
        <v>180</v>
      </c>
      <c r="I87" s="74">
        <v>128</v>
      </c>
      <c r="J87" s="74" t="s">
        <v>792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920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793</v>
      </c>
      <c r="H88" s="73" t="s">
        <v>180</v>
      </c>
      <c r="I88" s="73">
        <v>128</v>
      </c>
      <c r="J88" s="73" t="s">
        <v>794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920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795</v>
      </c>
      <c r="H89" s="74" t="s">
        <v>180</v>
      </c>
      <c r="I89" s="74">
        <v>128</v>
      </c>
      <c r="J89" s="74" t="s">
        <v>796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920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797</v>
      </c>
      <c r="H90" s="73" t="s">
        <v>709</v>
      </c>
      <c r="I90" s="73">
        <v>1024</v>
      </c>
      <c r="J90" s="73" t="s">
        <v>798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920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799</v>
      </c>
      <c r="H91" s="74" t="s">
        <v>709</v>
      </c>
      <c r="I91" s="74">
        <v>1024</v>
      </c>
      <c r="J91" s="74" t="s">
        <v>800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920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801</v>
      </c>
      <c r="H92" s="73" t="s">
        <v>709</v>
      </c>
      <c r="I92" s="73">
        <v>1024</v>
      </c>
      <c r="J92" s="73" t="s">
        <v>802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920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803</v>
      </c>
      <c r="H93" s="74" t="s">
        <v>709</v>
      </c>
      <c r="I93" s="74">
        <v>1024</v>
      </c>
      <c r="J93" s="74" t="s">
        <v>804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920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805</v>
      </c>
      <c r="H94" s="73" t="s">
        <v>709</v>
      </c>
      <c r="I94" s="73">
        <v>1024</v>
      </c>
      <c r="J94" s="73" t="s">
        <v>806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920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807</v>
      </c>
      <c r="H95" s="74" t="s">
        <v>180</v>
      </c>
      <c r="I95" s="74">
        <v>128</v>
      </c>
      <c r="J95" s="74" t="s">
        <v>808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920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809</v>
      </c>
      <c r="H96" s="73" t="s">
        <v>180</v>
      </c>
      <c r="I96" s="73">
        <v>128</v>
      </c>
      <c r="J96" s="73" t="s">
        <v>810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920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811</v>
      </c>
      <c r="H97" s="74" t="s">
        <v>180</v>
      </c>
      <c r="I97" s="74">
        <v>128</v>
      </c>
      <c r="J97" s="74" t="s">
        <v>812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920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813</v>
      </c>
      <c r="H98" s="73" t="s">
        <v>180</v>
      </c>
      <c r="I98" s="73">
        <v>128</v>
      </c>
      <c r="J98" s="73" t="s">
        <v>814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920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815</v>
      </c>
      <c r="H99" s="74" t="s">
        <v>180</v>
      </c>
      <c r="I99" s="74">
        <v>128</v>
      </c>
      <c r="J99" s="74" t="s">
        <v>816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920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817</v>
      </c>
      <c r="H100" s="73" t="s">
        <v>180</v>
      </c>
      <c r="I100" s="73">
        <v>128</v>
      </c>
      <c r="J100" s="73" t="s">
        <v>818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920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819</v>
      </c>
      <c r="H101" s="74" t="s">
        <v>180</v>
      </c>
      <c r="I101" s="74">
        <v>128</v>
      </c>
      <c r="J101" s="74" t="s">
        <v>820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920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821</v>
      </c>
      <c r="H102" s="73" t="s">
        <v>180</v>
      </c>
      <c r="I102" s="73">
        <v>128</v>
      </c>
      <c r="J102" s="73" t="s">
        <v>822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920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823</v>
      </c>
      <c r="H103" s="74" t="s">
        <v>180</v>
      </c>
      <c r="I103" s="74">
        <v>128</v>
      </c>
      <c r="J103" s="74" t="s">
        <v>824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920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825</v>
      </c>
      <c r="H104" s="73" t="s">
        <v>180</v>
      </c>
      <c r="I104" s="73">
        <v>128</v>
      </c>
      <c r="J104" s="73" t="s">
        <v>826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920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827</v>
      </c>
      <c r="H105" s="74" t="s">
        <v>180</v>
      </c>
      <c r="I105" s="74">
        <v>128</v>
      </c>
      <c r="J105" s="74" t="s">
        <v>828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920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829</v>
      </c>
      <c r="H106" s="73" t="s">
        <v>180</v>
      </c>
      <c r="I106" s="73">
        <v>128</v>
      </c>
      <c r="J106" s="73" t="s">
        <v>830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920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831</v>
      </c>
      <c r="H107" s="74" t="s">
        <v>180</v>
      </c>
      <c r="I107" s="74">
        <v>128</v>
      </c>
      <c r="J107" s="74" t="s">
        <v>832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920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833</v>
      </c>
      <c r="H108" s="73" t="s">
        <v>180</v>
      </c>
      <c r="I108" s="73">
        <v>128</v>
      </c>
      <c r="J108" s="73" t="s">
        <v>834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920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835</v>
      </c>
      <c r="H109" s="74" t="s">
        <v>180</v>
      </c>
      <c r="I109" s="74">
        <v>128</v>
      </c>
      <c r="J109" s="74" t="s">
        <v>836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920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837</v>
      </c>
      <c r="H110" s="73" t="s">
        <v>180</v>
      </c>
      <c r="I110" s="73">
        <v>128</v>
      </c>
      <c r="J110" s="73" t="s">
        <v>838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920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839</v>
      </c>
      <c r="H111" s="74" t="s">
        <v>180</v>
      </c>
      <c r="I111" s="74">
        <v>128</v>
      </c>
      <c r="J111" s="74" t="s">
        <v>840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920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841</v>
      </c>
      <c r="H112" s="73" t="s">
        <v>180</v>
      </c>
      <c r="I112" s="73">
        <v>128</v>
      </c>
      <c r="J112" s="73" t="s">
        <v>842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920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843</v>
      </c>
      <c r="H113" s="74" t="s">
        <v>180</v>
      </c>
      <c r="I113" s="74">
        <v>128</v>
      </c>
      <c r="J113" s="74" t="s">
        <v>844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920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845</v>
      </c>
      <c r="H114" s="73" t="s">
        <v>180</v>
      </c>
      <c r="I114" s="73">
        <v>128</v>
      </c>
      <c r="J114" s="73" t="s">
        <v>846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920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847</v>
      </c>
      <c r="H115" s="74" t="s">
        <v>180</v>
      </c>
      <c r="I115" s="74">
        <v>128</v>
      </c>
      <c r="J115" s="74" t="s">
        <v>848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920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849</v>
      </c>
      <c r="H116" s="73" t="s">
        <v>180</v>
      </c>
      <c r="I116" s="73">
        <v>128</v>
      </c>
      <c r="J116" s="73" t="s">
        <v>850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920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851</v>
      </c>
      <c r="H117" s="74" t="s">
        <v>180</v>
      </c>
      <c r="I117" s="74">
        <v>128</v>
      </c>
      <c r="J117" s="74" t="s">
        <v>852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920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853</v>
      </c>
      <c r="H118" s="73" t="s">
        <v>180</v>
      </c>
      <c r="I118" s="73">
        <v>128</v>
      </c>
      <c r="J118" s="73" t="s">
        <v>854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920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855</v>
      </c>
      <c r="H119" s="74" t="s">
        <v>180</v>
      </c>
      <c r="I119" s="74">
        <v>128</v>
      </c>
      <c r="J119" s="74" t="s">
        <v>856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920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857</v>
      </c>
      <c r="H120" s="73" t="s">
        <v>180</v>
      </c>
      <c r="I120" s="73">
        <v>128</v>
      </c>
      <c r="J120" s="73" t="s">
        <v>858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920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859</v>
      </c>
      <c r="H121" s="74" t="s">
        <v>180</v>
      </c>
      <c r="I121" s="74">
        <v>128</v>
      </c>
      <c r="J121" s="74" t="s">
        <v>860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920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861</v>
      </c>
      <c r="H122" s="73" t="s">
        <v>180</v>
      </c>
      <c r="I122" s="73">
        <v>128</v>
      </c>
      <c r="J122" s="73" t="s">
        <v>862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920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863</v>
      </c>
      <c r="H123" s="74" t="s">
        <v>180</v>
      </c>
      <c r="I123" s="74">
        <v>128</v>
      </c>
      <c r="J123" s="74" t="s">
        <v>864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920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865</v>
      </c>
      <c r="H124" s="73" t="s">
        <v>180</v>
      </c>
      <c r="I124" s="73">
        <v>128</v>
      </c>
      <c r="J124" s="73" t="s">
        <v>866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920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867</v>
      </c>
      <c r="H125" s="74" t="s">
        <v>180</v>
      </c>
      <c r="I125" s="74">
        <v>128</v>
      </c>
      <c r="J125" s="74" t="s">
        <v>868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920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5" t="s">
        <v>24</v>
      </c>
      <c r="F126" s="101" t="s">
        <v>467</v>
      </c>
      <c r="G126" s="101" t="s">
        <v>937</v>
      </c>
      <c r="H126" s="101" t="s">
        <v>709</v>
      </c>
      <c r="I126" s="101">
        <v>2048</v>
      </c>
      <c r="J126" s="101" t="s">
        <v>939</v>
      </c>
      <c r="K126" s="101" t="s">
        <v>709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920</v>
      </c>
      <c r="Q126" s="101" t="b">
        <v>1</v>
      </c>
      <c r="R126" s="101" t="s">
        <v>951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5" t="s">
        <v>24</v>
      </c>
      <c r="F127" s="101" t="s">
        <v>467</v>
      </c>
      <c r="G127" s="101" t="s">
        <v>938</v>
      </c>
      <c r="H127" s="101" t="s">
        <v>709</v>
      </c>
      <c r="I127" s="101">
        <v>2048</v>
      </c>
      <c r="J127" s="101" t="s">
        <v>940</v>
      </c>
      <c r="K127" s="101" t="s">
        <v>709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920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5" t="s">
        <v>24</v>
      </c>
      <c r="F128" s="101" t="s">
        <v>467</v>
      </c>
      <c r="G128" s="101" t="s">
        <v>869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>
        <v>1</v>
      </c>
      <c r="N128" s="101" t="s">
        <v>192</v>
      </c>
      <c r="O128" s="101" t="s">
        <v>239</v>
      </c>
      <c r="P128" s="101" t="s">
        <v>920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870</v>
      </c>
      <c r="H129" s="74" t="s">
        <v>180</v>
      </c>
      <c r="I129" s="74">
        <v>128</v>
      </c>
      <c r="J129" s="74" t="s">
        <v>871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920</v>
      </c>
      <c r="Q129" s="74" t="b">
        <v>1</v>
      </c>
      <c r="R129" s="74"/>
    </row>
    <row r="130" spans="1:18" x14ac:dyDescent="0.3">
      <c r="A130" s="99"/>
      <c r="B130" s="73" t="s">
        <v>1084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872</v>
      </c>
      <c r="H130" s="73" t="s">
        <v>180</v>
      </c>
      <c r="I130" s="73">
        <v>1024</v>
      </c>
      <c r="J130" s="73" t="s">
        <v>873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1084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874</v>
      </c>
      <c r="H131" s="74" t="s">
        <v>180</v>
      </c>
      <c r="I131" s="74">
        <v>1024</v>
      </c>
      <c r="J131" s="74" t="s">
        <v>875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1084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876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6" t="s">
        <v>24</v>
      </c>
      <c r="F133" s="100" t="s">
        <v>469</v>
      </c>
      <c r="G133" s="100" t="s">
        <v>942</v>
      </c>
      <c r="H133" s="100" t="s">
        <v>180</v>
      </c>
      <c r="I133" s="100">
        <v>1024</v>
      </c>
      <c r="J133" s="100" t="s">
        <v>941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920</v>
      </c>
      <c r="Q133" s="100" t="b">
        <v>1</v>
      </c>
      <c r="R133" s="100" t="s">
        <v>951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6" t="s">
        <v>24</v>
      </c>
      <c r="F134" s="100" t="s">
        <v>469</v>
      </c>
      <c r="G134" s="100" t="s">
        <v>943</v>
      </c>
      <c r="H134" s="100" t="s">
        <v>180</v>
      </c>
      <c r="I134" s="100">
        <v>1024</v>
      </c>
      <c r="J134" s="100" t="s">
        <v>944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920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6" t="s">
        <v>24</v>
      </c>
      <c r="F135" s="100" t="s">
        <v>469</v>
      </c>
      <c r="G135" s="100" t="s">
        <v>947</v>
      </c>
      <c r="H135" s="100" t="s">
        <v>180</v>
      </c>
      <c r="I135" s="100">
        <v>1024</v>
      </c>
      <c r="J135" s="100" t="s">
        <v>945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920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6" t="s">
        <v>24</v>
      </c>
      <c r="F136" s="100" t="s">
        <v>469</v>
      </c>
      <c r="G136" s="100" t="s">
        <v>948</v>
      </c>
      <c r="H136" s="100" t="s">
        <v>180</v>
      </c>
      <c r="I136" s="100">
        <v>1024</v>
      </c>
      <c r="J136" s="100" t="s">
        <v>946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920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6" t="s">
        <v>24</v>
      </c>
      <c r="F137" s="100" t="s">
        <v>469</v>
      </c>
      <c r="G137" s="100" t="s">
        <v>949</v>
      </c>
      <c r="H137" s="100" t="s">
        <v>180</v>
      </c>
      <c r="I137" s="100">
        <v>1024</v>
      </c>
      <c r="J137" s="100" t="s">
        <v>950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920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6" t="s">
        <v>24</v>
      </c>
      <c r="F138" s="100" t="s">
        <v>469</v>
      </c>
      <c r="G138" s="100" t="s">
        <v>877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920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319</v>
      </c>
      <c r="E139" s="85" t="s">
        <v>24</v>
      </c>
      <c r="F139" s="73" t="s">
        <v>472</v>
      </c>
      <c r="G139" s="73" t="s">
        <v>878</v>
      </c>
      <c r="H139" s="73" t="s">
        <v>180</v>
      </c>
      <c r="I139" s="73">
        <v>128</v>
      </c>
      <c r="J139" s="73" t="s">
        <v>879</v>
      </c>
      <c r="K139" s="73" t="s">
        <v>180</v>
      </c>
      <c r="L139" s="73">
        <v>128</v>
      </c>
      <c r="M139" s="78">
        <v>1</v>
      </c>
      <c r="N139" s="73" t="s">
        <v>192</v>
      </c>
      <c r="O139" s="73" t="s">
        <v>239</v>
      </c>
      <c r="P139" s="73" t="s">
        <v>920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319</v>
      </c>
      <c r="E140" s="86" t="s">
        <v>24</v>
      </c>
      <c r="F140" s="74" t="s">
        <v>473</v>
      </c>
      <c r="G140" s="74" t="s">
        <v>880</v>
      </c>
      <c r="H140" s="74" t="s">
        <v>180</v>
      </c>
      <c r="I140" s="74">
        <v>128</v>
      </c>
      <c r="J140" s="74" t="s">
        <v>881</v>
      </c>
      <c r="K140" s="74" t="s">
        <v>180</v>
      </c>
      <c r="L140" s="74">
        <v>128</v>
      </c>
      <c r="M140" s="80">
        <v>2</v>
      </c>
      <c r="N140" s="74" t="s">
        <v>192</v>
      </c>
      <c r="O140" s="74" t="s">
        <v>239</v>
      </c>
      <c r="P140" s="74" t="s">
        <v>920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474</v>
      </c>
      <c r="G141" s="73" t="s">
        <v>882</v>
      </c>
      <c r="H141" s="73" t="s">
        <v>180</v>
      </c>
      <c r="I141" s="73">
        <v>128</v>
      </c>
      <c r="J141" s="73" t="s">
        <v>883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920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475</v>
      </c>
      <c r="G142" s="74" t="s">
        <v>884</v>
      </c>
      <c r="H142" s="74" t="s">
        <v>180</v>
      </c>
      <c r="I142" s="74">
        <v>128</v>
      </c>
      <c r="J142" s="74" t="s">
        <v>885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920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476</v>
      </c>
      <c r="G143" s="73" t="s">
        <v>886</v>
      </c>
      <c r="H143" s="73" t="s">
        <v>180</v>
      </c>
      <c r="I143" s="73">
        <v>128</v>
      </c>
      <c r="J143" s="73" t="s">
        <v>887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920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477</v>
      </c>
      <c r="G144" s="74" t="s">
        <v>888</v>
      </c>
      <c r="H144" s="74" t="s">
        <v>180</v>
      </c>
      <c r="I144" s="74">
        <v>128</v>
      </c>
      <c r="J144" s="74" t="s">
        <v>889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920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321</v>
      </c>
      <c r="E145" s="85" t="s">
        <v>24</v>
      </c>
      <c r="F145" s="73" t="s">
        <v>478</v>
      </c>
      <c r="G145" s="73" t="s">
        <v>890</v>
      </c>
      <c r="H145" s="73" t="s">
        <v>180</v>
      </c>
      <c r="I145" s="73">
        <v>128</v>
      </c>
      <c r="J145" s="73" t="s">
        <v>891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920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321</v>
      </c>
      <c r="E146" s="86" t="s">
        <v>24</v>
      </c>
      <c r="F146" s="74" t="s">
        <v>479</v>
      </c>
      <c r="G146" s="74" t="s">
        <v>892</v>
      </c>
      <c r="H146" s="74" t="s">
        <v>180</v>
      </c>
      <c r="I146" s="74">
        <v>128</v>
      </c>
      <c r="J146" s="74" t="s">
        <v>893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920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480</v>
      </c>
      <c r="G147" s="73" t="s">
        <v>894</v>
      </c>
      <c r="H147" s="73" t="s">
        <v>180</v>
      </c>
      <c r="I147" s="73">
        <v>128</v>
      </c>
      <c r="J147" s="73" t="s">
        <v>895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920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481</v>
      </c>
      <c r="G148" s="74" t="s">
        <v>896</v>
      </c>
      <c r="H148" s="74" t="s">
        <v>180</v>
      </c>
      <c r="I148" s="74">
        <v>128</v>
      </c>
      <c r="J148" s="74" t="s">
        <v>897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920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482</v>
      </c>
      <c r="G149" s="73" t="s">
        <v>898</v>
      </c>
      <c r="H149" s="73" t="s">
        <v>180</v>
      </c>
      <c r="I149" s="73">
        <v>128</v>
      </c>
      <c r="J149" s="73" t="s">
        <v>899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920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483</v>
      </c>
      <c r="G150" s="74" t="s">
        <v>900</v>
      </c>
      <c r="H150" s="74" t="s">
        <v>180</v>
      </c>
      <c r="I150" s="74">
        <v>128</v>
      </c>
      <c r="J150" s="74" t="s">
        <v>901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920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324</v>
      </c>
      <c r="E151" s="85" t="s">
        <v>24</v>
      </c>
      <c r="F151" s="73" t="s">
        <v>484</v>
      </c>
      <c r="G151" s="73" t="s">
        <v>902</v>
      </c>
      <c r="H151" s="73" t="s">
        <v>180</v>
      </c>
      <c r="I151" s="73">
        <v>128</v>
      </c>
      <c r="J151" s="73" t="s">
        <v>903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920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324</v>
      </c>
      <c r="E152" s="86" t="s">
        <v>24</v>
      </c>
      <c r="F152" s="74" t="s">
        <v>485</v>
      </c>
      <c r="G152" s="74" t="s">
        <v>904</v>
      </c>
      <c r="H152" s="74" t="s">
        <v>180</v>
      </c>
      <c r="I152" s="74">
        <v>128</v>
      </c>
      <c r="J152" s="74" t="s">
        <v>905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920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486</v>
      </c>
      <c r="G153" s="73" t="s">
        <v>906</v>
      </c>
      <c r="H153" s="73" t="s">
        <v>180</v>
      </c>
      <c r="I153" s="73">
        <v>128</v>
      </c>
      <c r="J153" s="73" t="s">
        <v>907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920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487</v>
      </c>
      <c r="G154" s="74" t="s">
        <v>908</v>
      </c>
      <c r="H154" s="74" t="s">
        <v>180</v>
      </c>
      <c r="I154" s="74">
        <v>128</v>
      </c>
      <c r="J154" s="74" t="s">
        <v>909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920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488</v>
      </c>
      <c r="G155" s="73" t="s">
        <v>910</v>
      </c>
      <c r="H155" s="73" t="s">
        <v>180</v>
      </c>
      <c r="I155" s="73">
        <v>128</v>
      </c>
      <c r="J155" s="73" t="s">
        <v>911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920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489</v>
      </c>
      <c r="G156" s="74" t="s">
        <v>912</v>
      </c>
      <c r="H156" s="74" t="s">
        <v>180</v>
      </c>
      <c r="I156" s="74">
        <v>128</v>
      </c>
      <c r="J156" s="74" t="s">
        <v>913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920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490</v>
      </c>
      <c r="G157" s="73" t="s">
        <v>914</v>
      </c>
      <c r="H157" s="73" t="s">
        <v>180</v>
      </c>
      <c r="I157" s="73">
        <v>128</v>
      </c>
      <c r="J157" s="73" t="s">
        <v>915</v>
      </c>
      <c r="K157" s="73" t="s">
        <v>180</v>
      </c>
      <c r="L157" s="73">
        <v>128</v>
      </c>
      <c r="M157" s="78">
        <v>3</v>
      </c>
      <c r="N157" s="73" t="s">
        <v>192</v>
      </c>
      <c r="O157" s="73" t="s">
        <v>239</v>
      </c>
      <c r="P157" s="73" t="s">
        <v>920</v>
      </c>
      <c r="Q157" s="73" t="b">
        <v>1</v>
      </c>
      <c r="R157" s="73"/>
    </row>
    <row r="158" spans="1:18" x14ac:dyDescent="0.3">
      <c r="A158" s="99"/>
      <c r="B158" s="74" t="s">
        <v>1084</v>
      </c>
      <c r="C158" s="74" t="str" cm="1">
        <f t="array" ref="C158">UPPER(INDEX(_xlfn.TEXTSPLIT($D158, "-"), 3))</f>
        <v>COMM</v>
      </c>
      <c r="D158" s="80" t="s">
        <v>234</v>
      </c>
      <c r="E158" s="86" t="s">
        <v>24</v>
      </c>
      <c r="F158" s="74" t="s">
        <v>491</v>
      </c>
      <c r="G158" s="74" t="s">
        <v>916</v>
      </c>
      <c r="H158" s="74" t="s">
        <v>709</v>
      </c>
      <c r="I158" s="74">
        <v>128</v>
      </c>
      <c r="J158" s="74" t="s">
        <v>917</v>
      </c>
      <c r="K158" s="74" t="s">
        <v>180</v>
      </c>
      <c r="L158" s="74">
        <v>128</v>
      </c>
      <c r="M158" s="80">
        <v>1</v>
      </c>
      <c r="N158" s="74" t="s">
        <v>192</v>
      </c>
      <c r="O158" s="74" t="s">
        <v>234</v>
      </c>
      <c r="P158" s="74" t="s">
        <v>235</v>
      </c>
      <c r="Q158" s="74" t="b">
        <v>1</v>
      </c>
      <c r="R158" s="74"/>
    </row>
    <row r="159" spans="1:18" x14ac:dyDescent="0.3">
      <c r="A159" s="99"/>
      <c r="B159" s="73" t="s">
        <v>1084</v>
      </c>
      <c r="C159" s="73" t="str" cm="1">
        <f t="array" ref="C159">UPPER(INDEX(_xlfn.TEXTSPLIT($D159, "-"), 3))</f>
        <v>COMM</v>
      </c>
      <c r="D159" s="78" t="s">
        <v>234</v>
      </c>
      <c r="E159" s="85" t="s">
        <v>24</v>
      </c>
      <c r="F159" s="73" t="s">
        <v>492</v>
      </c>
      <c r="G159" s="73" t="s">
        <v>918</v>
      </c>
      <c r="H159" s="73" t="s">
        <v>180</v>
      </c>
      <c r="I159" s="73">
        <v>128</v>
      </c>
      <c r="J159" s="73" t="s">
        <v>919</v>
      </c>
      <c r="K159" s="73" t="s">
        <v>180</v>
      </c>
      <c r="L159" s="73">
        <v>128</v>
      </c>
      <c r="M159" s="78">
        <v>1</v>
      </c>
      <c r="N159" s="73" t="s">
        <v>192</v>
      </c>
      <c r="O159" s="73" t="s">
        <v>234</v>
      </c>
      <c r="P159" s="73" t="s">
        <v>235</v>
      </c>
      <c r="Q159" s="73" t="b">
        <v>1</v>
      </c>
      <c r="R159" s="7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zoomScaleNormal="100" zoomScaleSheetLayoutView="100" workbookViewId="0">
      <pane xSplit="6" ySplit="1" topLeftCell="G2" activePane="bottomRight" state="frozen"/>
      <selection pane="topRight"/>
      <selection pane="bottomLeft"/>
      <selection pane="bottomRight" activeCell="B1" sqref="B1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640</v>
      </c>
      <c r="N2" s="98" t="s">
        <v>1085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640</v>
      </c>
      <c r="N3" s="98" t="s">
        <v>1085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640</v>
      </c>
      <c r="N4" s="98" t="s">
        <v>1086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640</v>
      </c>
      <c r="N5" s="98" t="s">
        <v>1086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1103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640</v>
      </c>
      <c r="N6" s="98" t="s">
        <v>1086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1103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640</v>
      </c>
      <c r="N7" s="98" t="s">
        <v>1086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640</v>
      </c>
      <c r="N8" s="98" t="s">
        <v>1085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640</v>
      </c>
      <c r="N9" s="98" t="s">
        <v>1085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640</v>
      </c>
      <c r="N10" s="98" t="s">
        <v>1085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640</v>
      </c>
      <c r="N11" s="98" t="s">
        <v>1085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640</v>
      </c>
      <c r="N12" s="98" t="s">
        <v>1085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640</v>
      </c>
      <c r="N13" s="98" t="s">
        <v>1085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640</v>
      </c>
      <c r="N14" s="98" t="s">
        <v>1085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640</v>
      </c>
      <c r="N15" s="98" t="s">
        <v>1085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640</v>
      </c>
      <c r="N16" s="98" t="s">
        <v>1085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1103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640</v>
      </c>
      <c r="N17" s="98" t="s">
        <v>1085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1103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640</v>
      </c>
      <c r="N18" s="98" t="s">
        <v>1085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1103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640</v>
      </c>
      <c r="N19" s="98" t="s">
        <v>1086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1103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640</v>
      </c>
      <c r="N20" s="98" t="s">
        <v>1086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640</v>
      </c>
      <c r="N21" s="98" t="s">
        <v>1085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640</v>
      </c>
      <c r="N22" s="98" t="s">
        <v>1085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640</v>
      </c>
      <c r="N23" s="98" t="s">
        <v>1086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640</v>
      </c>
      <c r="N24" s="98" t="s">
        <v>1086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640</v>
      </c>
      <c r="N25" s="98" t="s">
        <v>1086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640</v>
      </c>
      <c r="N26" s="98" t="s">
        <v>1086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640</v>
      </c>
      <c r="N27" s="98" t="s">
        <v>1086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640</v>
      </c>
      <c r="N28" s="98" t="s">
        <v>1086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640</v>
      </c>
      <c r="N29" s="98" t="s">
        <v>1085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640</v>
      </c>
      <c r="N30" s="98" t="s">
        <v>1085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640</v>
      </c>
      <c r="N31" s="98" t="s">
        <v>1086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640</v>
      </c>
      <c r="N32" s="98" t="s">
        <v>1086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640</v>
      </c>
      <c r="N33" s="98" t="s">
        <v>1085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640</v>
      </c>
      <c r="N34" s="98" t="s">
        <v>1085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641</v>
      </c>
      <c r="N35" s="98" t="s">
        <v>1104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640</v>
      </c>
      <c r="N36" s="98" t="s">
        <v>1085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640</v>
      </c>
      <c r="N37" s="98" t="s">
        <v>1085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640</v>
      </c>
      <c r="N38" s="98" t="s">
        <v>1085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640</v>
      </c>
      <c r="N39" s="98" t="s">
        <v>1085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640</v>
      </c>
      <c r="N40" s="98" t="s">
        <v>1085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640</v>
      </c>
      <c r="N41" s="98" t="s">
        <v>1085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640</v>
      </c>
      <c r="N42" s="98" t="s">
        <v>1086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640</v>
      </c>
      <c r="N43" s="98" t="s">
        <v>1086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640</v>
      </c>
      <c r="N44" s="98" t="s">
        <v>1086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640</v>
      </c>
      <c r="N45" s="98" t="s">
        <v>1086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640</v>
      </c>
      <c r="N46" s="98" t="s">
        <v>1086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640</v>
      </c>
      <c r="N47" s="98" t="s">
        <v>1086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640</v>
      </c>
      <c r="N48" s="98" t="s">
        <v>1085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640</v>
      </c>
      <c r="N49" s="98" t="s">
        <v>1085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640</v>
      </c>
      <c r="N50" s="98" t="s">
        <v>1085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640</v>
      </c>
      <c r="N51" s="98" t="s">
        <v>1085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640</v>
      </c>
      <c r="N52" s="98" t="s">
        <v>1085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640</v>
      </c>
      <c r="N53" s="98" t="s">
        <v>1085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640</v>
      </c>
      <c r="N54" s="98" t="s">
        <v>1085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640</v>
      </c>
      <c r="N55" s="98" t="s">
        <v>1085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640</v>
      </c>
      <c r="N56" s="98" t="s">
        <v>1085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640</v>
      </c>
      <c r="N57" s="98" t="s">
        <v>1085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640</v>
      </c>
      <c r="N58" s="98" t="s">
        <v>1085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640</v>
      </c>
      <c r="N59" s="98" t="s">
        <v>1085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640</v>
      </c>
      <c r="N60" s="98" t="s">
        <v>1085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640</v>
      </c>
      <c r="N61" s="98" t="s">
        <v>1085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640</v>
      </c>
      <c r="N62" s="98" t="s">
        <v>1085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640</v>
      </c>
      <c r="N63" s="98" t="s">
        <v>1085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640</v>
      </c>
      <c r="N64" s="98" t="s">
        <v>1085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640</v>
      </c>
      <c r="N65" s="98" t="s">
        <v>1085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640</v>
      </c>
      <c r="N66" s="98" t="s">
        <v>1086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640</v>
      </c>
      <c r="N67" s="98" t="s">
        <v>1086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640</v>
      </c>
      <c r="N68" s="98" t="s">
        <v>1085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640</v>
      </c>
      <c r="N69" s="98" t="s">
        <v>1085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640</v>
      </c>
      <c r="N70" s="98" t="s">
        <v>1086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640</v>
      </c>
      <c r="N71" s="98" t="s">
        <v>1085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640</v>
      </c>
      <c r="N72" s="98" t="s">
        <v>1085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640</v>
      </c>
      <c r="N73" s="98" t="s">
        <v>1085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640</v>
      </c>
      <c r="N74" s="98" t="s">
        <v>1085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640</v>
      </c>
      <c r="N75" s="98" t="s">
        <v>1086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640</v>
      </c>
      <c r="N76" s="98" t="s">
        <v>1086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640</v>
      </c>
      <c r="N77" s="98" t="s">
        <v>1085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640</v>
      </c>
      <c r="N78" s="98" t="s">
        <v>1085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640</v>
      </c>
      <c r="N79" s="98" t="s">
        <v>1085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640</v>
      </c>
      <c r="N80" s="98" t="s">
        <v>1085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640</v>
      </c>
      <c r="N81" s="98" t="s">
        <v>1085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640</v>
      </c>
      <c r="N82" s="98" t="s">
        <v>1085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640</v>
      </c>
      <c r="N83" s="98" t="s">
        <v>1085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640</v>
      </c>
      <c r="N84" s="98" t="s">
        <v>1085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640</v>
      </c>
      <c r="N85" s="98" t="s">
        <v>1085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640</v>
      </c>
      <c r="N86" s="98" t="s">
        <v>1085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640</v>
      </c>
      <c r="N87" s="98" t="s">
        <v>1086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640</v>
      </c>
      <c r="N88" s="98" t="s">
        <v>1085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1101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640</v>
      </c>
      <c r="N89" s="98" t="s">
        <v>1085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640</v>
      </c>
      <c r="N90" s="98" t="s">
        <v>1085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640</v>
      </c>
      <c r="N91" s="98" t="s">
        <v>1085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640</v>
      </c>
      <c r="N92" s="98" t="s">
        <v>1085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640</v>
      </c>
      <c r="N93" s="98" t="s">
        <v>1085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640</v>
      </c>
      <c r="N94" s="98" t="s">
        <v>1085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640</v>
      </c>
      <c r="N95" s="98" t="s">
        <v>1085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640</v>
      </c>
      <c r="N96" s="98" t="s">
        <v>1085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640</v>
      </c>
      <c r="N97" s="98" t="s">
        <v>1086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640</v>
      </c>
      <c r="N98" s="98" t="s">
        <v>1086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640</v>
      </c>
      <c r="N99" s="98" t="s">
        <v>1085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640</v>
      </c>
      <c r="N100" s="98" t="s">
        <v>1085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640</v>
      </c>
      <c r="N101" s="98" t="s">
        <v>1086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640</v>
      </c>
      <c r="N102" s="98" t="s">
        <v>1086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640</v>
      </c>
      <c r="N103" s="98" t="s">
        <v>1086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640</v>
      </c>
      <c r="N104" s="98" t="s">
        <v>1086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640</v>
      </c>
      <c r="N105" s="98" t="s">
        <v>1085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640</v>
      </c>
      <c r="N106" s="98" t="s">
        <v>1085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640</v>
      </c>
      <c r="N107" s="98" t="s">
        <v>1086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640</v>
      </c>
      <c r="N108" s="98" t="s">
        <v>1085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640</v>
      </c>
      <c r="N109" s="98" t="s">
        <v>1086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640</v>
      </c>
      <c r="N110" s="98" t="s">
        <v>1086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640</v>
      </c>
      <c r="N111" s="98" t="s">
        <v>1086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640</v>
      </c>
      <c r="N112" s="98" t="s">
        <v>1086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640</v>
      </c>
      <c r="N113" s="98" t="s">
        <v>1086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640</v>
      </c>
      <c r="N114" s="98" t="s">
        <v>1086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A115" s="90"/>
      <c r="B115" s="74" t="s">
        <v>23</v>
      </c>
      <c r="C115" s="74" t="str" cm="1">
        <f t="array" ref="C115">UPPER(INDEX(_xlfn.TEXTSPLIT($D115, "-"), 3))</f>
        <v>IF</v>
      </c>
      <c r="D115" s="74" t="s">
        <v>323</v>
      </c>
      <c r="E115" s="74" t="s">
        <v>24</v>
      </c>
      <c r="F115" s="74" t="s">
        <v>464</v>
      </c>
      <c r="G115" s="74" t="s">
        <v>607</v>
      </c>
      <c r="H115" s="74" t="s">
        <v>630</v>
      </c>
      <c r="I115" s="74">
        <v>2</v>
      </c>
      <c r="J115" s="74">
        <v>8</v>
      </c>
      <c r="K115" s="74" t="s">
        <v>181</v>
      </c>
      <c r="L115" s="74" t="s">
        <v>227</v>
      </c>
      <c r="M115" s="74" t="s">
        <v>640</v>
      </c>
      <c r="N115" s="74" t="s">
        <v>1108</v>
      </c>
      <c r="O115" s="74" t="str">
        <f t="shared" si="8"/>
        <v>p-if-proxy01-osdisk</v>
      </c>
      <c r="P115" s="74">
        <v>64</v>
      </c>
      <c r="Q115" s="74" t="s">
        <v>180</v>
      </c>
      <c r="R115" s="74"/>
      <c r="S115" s="74"/>
      <c r="T115" s="74"/>
      <c r="U115" s="74" t="str">
        <f t="shared" si="9"/>
        <v>p-if-proxy01-nic</v>
      </c>
      <c r="V115" s="74" t="b">
        <v>1</v>
      </c>
      <c r="W115" s="74" t="b">
        <v>1</v>
      </c>
      <c r="X115" s="74" t="s">
        <v>326</v>
      </c>
      <c r="Y115" s="74" t="s">
        <v>240</v>
      </c>
      <c r="Z115" s="74" t="s">
        <v>249</v>
      </c>
      <c r="AA115" s="74" t="b">
        <v>1</v>
      </c>
      <c r="AB115" s="74" t="s">
        <v>326</v>
      </c>
      <c r="AC115" s="74" t="s">
        <v>327</v>
      </c>
      <c r="AD115" s="74">
        <v>1</v>
      </c>
      <c r="AE115" s="74"/>
      <c r="AF115" s="74"/>
    </row>
    <row r="116" spans="1:32" x14ac:dyDescent="0.3">
      <c r="A116" s="90"/>
      <c r="B116" s="74" t="s">
        <v>23</v>
      </c>
      <c r="C116" s="74" t="str" cm="1">
        <f t="array" ref="C116">UPPER(INDEX(_xlfn.TEXTSPLIT($D116, "-"), 3))</f>
        <v>IF</v>
      </c>
      <c r="D116" s="74" t="s">
        <v>323</v>
      </c>
      <c r="E116" s="74" t="s">
        <v>24</v>
      </c>
      <c r="F116" s="74" t="s">
        <v>465</v>
      </c>
      <c r="G116" s="74" t="s">
        <v>608</v>
      </c>
      <c r="H116" s="74" t="s">
        <v>630</v>
      </c>
      <c r="I116" s="74">
        <v>2</v>
      </c>
      <c r="J116" s="74">
        <v>8</v>
      </c>
      <c r="K116" s="74" t="s">
        <v>181</v>
      </c>
      <c r="L116" s="74" t="s">
        <v>227</v>
      </c>
      <c r="M116" s="74" t="s">
        <v>640</v>
      </c>
      <c r="N116" s="74" t="s">
        <v>1086</v>
      </c>
      <c r="O116" s="74" t="str">
        <f t="shared" si="8"/>
        <v>p-if-proxy02-osdisk</v>
      </c>
      <c r="P116" s="74">
        <v>64</v>
      </c>
      <c r="Q116" s="74" t="s">
        <v>180</v>
      </c>
      <c r="R116" s="74"/>
      <c r="S116" s="74"/>
      <c r="T116" s="74"/>
      <c r="U116" s="74" t="str">
        <f t="shared" si="9"/>
        <v>p-if-proxy02-nic</v>
      </c>
      <c r="V116" s="74" t="b">
        <v>1</v>
      </c>
      <c r="W116" s="74" t="b">
        <v>1</v>
      </c>
      <c r="X116" s="74" t="s">
        <v>326</v>
      </c>
      <c r="Y116" s="74" t="s">
        <v>240</v>
      </c>
      <c r="Z116" s="74" t="s">
        <v>249</v>
      </c>
      <c r="AA116" s="74" t="b">
        <v>1</v>
      </c>
      <c r="AB116" s="74" t="s">
        <v>326</v>
      </c>
      <c r="AC116" s="74" t="s">
        <v>327</v>
      </c>
      <c r="AD116" s="74">
        <v>2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1105</v>
      </c>
      <c r="I117" s="80">
        <v>2</v>
      </c>
      <c r="J117" s="80">
        <v>4</v>
      </c>
      <c r="K117" s="74" t="s">
        <v>181</v>
      </c>
      <c r="L117" s="74" t="s">
        <v>227</v>
      </c>
      <c r="M117" s="80" t="s">
        <v>640</v>
      </c>
      <c r="N117" s="98" t="s">
        <v>1085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639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640</v>
      </c>
      <c r="N118" s="98" t="s">
        <v>1085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74" t="str" cm="1">
        <f t="array" ref="C119">UPPER(INDEX(_xlfn.TEXTSPLIT($D119, "-"), 3))</f>
        <v>IF</v>
      </c>
      <c r="D119" s="80" t="s">
        <v>323</v>
      </c>
      <c r="E119" s="74" t="s">
        <v>24</v>
      </c>
      <c r="F119" s="74" t="s">
        <v>468</v>
      </c>
      <c r="G119" s="80" t="s">
        <v>611</v>
      </c>
      <c r="H119" s="80" t="s">
        <v>1109</v>
      </c>
      <c r="I119" s="80">
        <v>4</v>
      </c>
      <c r="J119" s="80">
        <v>16</v>
      </c>
      <c r="K119" s="74" t="s">
        <v>181</v>
      </c>
      <c r="L119" s="74" t="s">
        <v>227</v>
      </c>
      <c r="M119" s="80" t="s">
        <v>640</v>
      </c>
      <c r="N119" s="98" t="s">
        <v>1086</v>
      </c>
      <c r="O119" s="74" t="str">
        <f t="shared" si="8"/>
        <v>p-if-stryweb01-osdisk</v>
      </c>
      <c r="P119" s="97">
        <v>64</v>
      </c>
      <c r="Q119" s="74" t="s">
        <v>180</v>
      </c>
      <c r="R119" s="74"/>
      <c r="S119" s="74"/>
      <c r="T119" s="74"/>
      <c r="U119" s="74" t="str">
        <f t="shared" si="9"/>
        <v>p-if-stryweb01-nic</v>
      </c>
      <c r="V119" s="74" t="b">
        <v>1</v>
      </c>
      <c r="W119" s="74" t="b">
        <v>1</v>
      </c>
      <c r="X119" s="74" t="s">
        <v>326</v>
      </c>
      <c r="Y119" s="74" t="s">
        <v>241</v>
      </c>
      <c r="Z119" s="74" t="s">
        <v>272</v>
      </c>
      <c r="AA119" s="74" t="b">
        <v>1</v>
      </c>
      <c r="AB119" s="74" t="s">
        <v>326</v>
      </c>
      <c r="AC119" s="74" t="s">
        <v>327</v>
      </c>
      <c r="AD119" s="80">
        <v>1</v>
      </c>
      <c r="AE119" s="74"/>
      <c r="AF119" s="74"/>
    </row>
    <row r="120" spans="1:32" x14ac:dyDescent="0.3">
      <c r="A120" s="90"/>
      <c r="B120" s="74" t="s">
        <v>1084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640</v>
      </c>
      <c r="N120" s="98" t="s">
        <v>1085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234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1084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640</v>
      </c>
      <c r="N121" s="98" t="s">
        <v>1085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234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1084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640</v>
      </c>
      <c r="N122" s="98" t="s">
        <v>1085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234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640</v>
      </c>
      <c r="N123" s="98" t="s">
        <v>1085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1090</v>
      </c>
      <c r="C124" s="102"/>
      <c r="D124" s="102" t="s">
        <v>1010</v>
      </c>
      <c r="E124" s="102" t="s">
        <v>24</v>
      </c>
      <c r="F124" s="102" t="s">
        <v>470</v>
      </c>
      <c r="G124" s="102" t="s">
        <v>1091</v>
      </c>
      <c r="H124" s="102" t="s">
        <v>1092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1093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1057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1090</v>
      </c>
      <c r="C125" s="102"/>
      <c r="D125" s="102" t="s">
        <v>1010</v>
      </c>
      <c r="E125" s="102" t="s">
        <v>24</v>
      </c>
      <c r="F125" s="102" t="s">
        <v>471</v>
      </c>
      <c r="G125" s="102" t="s">
        <v>1094</v>
      </c>
      <c r="H125" s="102" t="s">
        <v>1092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1093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1057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640</v>
      </c>
      <c r="N126" s="98" t="s">
        <v>1085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640</v>
      </c>
      <c r="N127" s="98" t="s">
        <v>1085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640</v>
      </c>
      <c r="N128" s="98" t="s">
        <v>1086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640</v>
      </c>
      <c r="N129" s="98" t="s">
        <v>1086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640</v>
      </c>
      <c r="N130" s="98" t="s">
        <v>1086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640</v>
      </c>
      <c r="N131" s="98" t="s">
        <v>1086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DOIP</v>
      </c>
      <c r="D132" s="74" t="s">
        <v>1012</v>
      </c>
      <c r="E132" s="74" t="s">
        <v>24</v>
      </c>
      <c r="F132" s="74" t="s">
        <v>478</v>
      </c>
      <c r="G132" s="74" t="s">
        <v>1095</v>
      </c>
      <c r="H132" s="74" t="s">
        <v>1092</v>
      </c>
      <c r="I132" s="74">
        <v>2</v>
      </c>
      <c r="J132" s="74">
        <v>16</v>
      </c>
      <c r="K132" s="74" t="s">
        <v>181</v>
      </c>
      <c r="L132" s="74" t="s">
        <v>179</v>
      </c>
      <c r="M132" s="74" t="s">
        <v>1093</v>
      </c>
      <c r="N132" s="112" t="s">
        <v>1108</v>
      </c>
      <c r="O132" s="74" t="str">
        <f t="shared" si="8"/>
        <v>p-doip-web01-osdisk</v>
      </c>
      <c r="P132" s="74">
        <v>64</v>
      </c>
      <c r="Q132" s="74" t="s">
        <v>180</v>
      </c>
      <c r="R132" s="74"/>
      <c r="S132" s="74"/>
      <c r="T132" s="74"/>
      <c r="U132" s="74" t="str">
        <f t="shared" si="9"/>
        <v>p-doip-web01-nic</v>
      </c>
      <c r="V132" s="74" t="b">
        <v>1</v>
      </c>
      <c r="W132" s="74" t="b">
        <v>1</v>
      </c>
      <c r="X132" s="74" t="s">
        <v>326</v>
      </c>
      <c r="Y132" s="74" t="s">
        <v>347</v>
      </c>
      <c r="Z132" s="74" t="s">
        <v>1061</v>
      </c>
      <c r="AA132" s="74" t="b">
        <v>1</v>
      </c>
      <c r="AB132" s="74" t="s">
        <v>326</v>
      </c>
      <c r="AC132" s="74" t="s">
        <v>327</v>
      </c>
      <c r="AD132" s="74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DOIP</v>
      </c>
      <c r="D133" s="74" t="s">
        <v>1012</v>
      </c>
      <c r="E133" s="74" t="s">
        <v>24</v>
      </c>
      <c r="F133" s="74" t="s">
        <v>479</v>
      </c>
      <c r="G133" s="74" t="s">
        <v>1096</v>
      </c>
      <c r="H133" s="74" t="s">
        <v>1092</v>
      </c>
      <c r="I133" s="74">
        <v>2</v>
      </c>
      <c r="J133" s="74">
        <v>16</v>
      </c>
      <c r="K133" s="74" t="s">
        <v>181</v>
      </c>
      <c r="L133" s="74" t="s">
        <v>179</v>
      </c>
      <c r="M133" s="74" t="s">
        <v>1093</v>
      </c>
      <c r="N133" s="112" t="s">
        <v>1108</v>
      </c>
      <c r="O133" s="74" t="str">
        <f t="shared" si="8"/>
        <v>p-doip-web02-osdisk</v>
      </c>
      <c r="P133" s="74">
        <v>64</v>
      </c>
      <c r="Q133" s="74" t="s">
        <v>180</v>
      </c>
      <c r="R133" s="74"/>
      <c r="S133" s="74"/>
      <c r="T133" s="74"/>
      <c r="U133" s="74" t="str">
        <f t="shared" si="9"/>
        <v>p-doip-web02-nic</v>
      </c>
      <c r="V133" s="74" t="b">
        <v>1</v>
      </c>
      <c r="W133" s="74" t="b">
        <v>1</v>
      </c>
      <c r="X133" s="74" t="s">
        <v>326</v>
      </c>
      <c r="Y133" s="74" t="s">
        <v>347</v>
      </c>
      <c r="Z133" s="74" t="s">
        <v>1061</v>
      </c>
      <c r="AA133" s="74" t="b">
        <v>1</v>
      </c>
      <c r="AB133" s="74" t="s">
        <v>326</v>
      </c>
      <c r="AC133" s="74" t="s">
        <v>327</v>
      </c>
      <c r="AD133" s="74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DOIP</v>
      </c>
      <c r="D134" s="74" t="s">
        <v>1012</v>
      </c>
      <c r="E134" s="74" t="s">
        <v>24</v>
      </c>
      <c r="F134" s="74" t="s">
        <v>480</v>
      </c>
      <c r="G134" s="74" t="s">
        <v>1097</v>
      </c>
      <c r="H134" s="74" t="s">
        <v>1092</v>
      </c>
      <c r="I134" s="74">
        <v>2</v>
      </c>
      <c r="J134" s="74">
        <v>16</v>
      </c>
      <c r="K134" s="74" t="s">
        <v>181</v>
      </c>
      <c r="L134" s="74" t="s">
        <v>179</v>
      </c>
      <c r="M134" s="74" t="s">
        <v>1093</v>
      </c>
      <c r="N134" s="112" t="s">
        <v>1110</v>
      </c>
      <c r="O134" s="74" t="str">
        <f t="shared" si="8"/>
        <v>p-doip-ap01-osdisk</v>
      </c>
      <c r="P134" s="74">
        <v>64</v>
      </c>
      <c r="Q134" s="74" t="s">
        <v>180</v>
      </c>
      <c r="R134" s="74"/>
      <c r="S134" s="74"/>
      <c r="T134" s="74"/>
      <c r="U134" s="74" t="str">
        <f t="shared" si="9"/>
        <v>p-doip-ap01-nic</v>
      </c>
      <c r="V134" s="74" t="b">
        <v>1</v>
      </c>
      <c r="W134" s="74" t="b">
        <v>1</v>
      </c>
      <c r="X134" s="74" t="s">
        <v>326</v>
      </c>
      <c r="Y134" s="74" t="s">
        <v>347</v>
      </c>
      <c r="Z134" s="74" t="s">
        <v>1061</v>
      </c>
      <c r="AA134" s="74" t="b">
        <v>1</v>
      </c>
      <c r="AB134" s="74" t="s">
        <v>326</v>
      </c>
      <c r="AC134" s="74" t="s">
        <v>327</v>
      </c>
      <c r="AD134" s="74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DOIP</v>
      </c>
      <c r="D135" s="74" t="s">
        <v>1012</v>
      </c>
      <c r="E135" s="74" t="s">
        <v>24</v>
      </c>
      <c r="F135" s="74" t="s">
        <v>481</v>
      </c>
      <c r="G135" s="74" t="s">
        <v>1098</v>
      </c>
      <c r="H135" s="74" t="s">
        <v>1092</v>
      </c>
      <c r="I135" s="74">
        <v>2</v>
      </c>
      <c r="J135" s="74">
        <v>16</v>
      </c>
      <c r="K135" s="74" t="s">
        <v>181</v>
      </c>
      <c r="L135" s="74" t="s">
        <v>179</v>
      </c>
      <c r="M135" s="74" t="s">
        <v>1093</v>
      </c>
      <c r="N135" s="112" t="s">
        <v>1110</v>
      </c>
      <c r="O135" s="74" t="str">
        <f t="shared" ref="O135:O146" si="10">SUBSTITUTE(F135,"hazr-","")&amp;"-osdisk"</f>
        <v>p-doip-ap02-osdisk</v>
      </c>
      <c r="P135" s="74">
        <v>64</v>
      </c>
      <c r="Q135" s="74" t="s">
        <v>180</v>
      </c>
      <c r="R135" s="74"/>
      <c r="S135" s="74"/>
      <c r="T135" s="74"/>
      <c r="U135" s="74" t="str">
        <f t="shared" ref="U135:U146" si="11">SUBSTITUTE(F135,"hazr-","")&amp;"-nic"</f>
        <v>p-doip-ap02-nic</v>
      </c>
      <c r="V135" s="74" t="b">
        <v>1</v>
      </c>
      <c r="W135" s="74" t="b">
        <v>1</v>
      </c>
      <c r="X135" s="74" t="s">
        <v>326</v>
      </c>
      <c r="Y135" s="74" t="s">
        <v>347</v>
      </c>
      <c r="Z135" s="74" t="s">
        <v>1061</v>
      </c>
      <c r="AA135" s="74" t="b">
        <v>1</v>
      </c>
      <c r="AB135" s="74" t="s">
        <v>326</v>
      </c>
      <c r="AC135" s="74" t="s">
        <v>327</v>
      </c>
      <c r="AD135" s="74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DOIP</v>
      </c>
      <c r="D136" s="74" t="s">
        <v>1012</v>
      </c>
      <c r="E136" s="74" t="s">
        <v>24</v>
      </c>
      <c r="F136" s="74" t="s">
        <v>482</v>
      </c>
      <c r="G136" s="74" t="s">
        <v>1099</v>
      </c>
      <c r="H136" s="74" t="s">
        <v>1092</v>
      </c>
      <c r="I136" s="74">
        <v>2</v>
      </c>
      <c r="J136" s="74">
        <v>16</v>
      </c>
      <c r="K136" s="74" t="s">
        <v>181</v>
      </c>
      <c r="L136" s="74" t="s">
        <v>179</v>
      </c>
      <c r="M136" s="74" t="s">
        <v>1093</v>
      </c>
      <c r="N136" s="112" t="s">
        <v>1110</v>
      </c>
      <c r="O136" s="74" t="str">
        <f t="shared" si="10"/>
        <v>p-doip-adm01-osdisk</v>
      </c>
      <c r="P136" s="74">
        <v>64</v>
      </c>
      <c r="Q136" s="74" t="s">
        <v>180</v>
      </c>
      <c r="R136" s="74"/>
      <c r="S136" s="74"/>
      <c r="T136" s="74"/>
      <c r="U136" s="74" t="str">
        <f t="shared" si="11"/>
        <v>p-doip-adm01-nic</v>
      </c>
      <c r="V136" s="74" t="b">
        <v>1</v>
      </c>
      <c r="W136" s="74" t="b">
        <v>1</v>
      </c>
      <c r="X136" s="74" t="s">
        <v>326</v>
      </c>
      <c r="Y136" s="74" t="s">
        <v>347</v>
      </c>
      <c r="Z136" s="74" t="s">
        <v>1061</v>
      </c>
      <c r="AA136" s="74" t="b">
        <v>1</v>
      </c>
      <c r="AB136" s="74" t="s">
        <v>326</v>
      </c>
      <c r="AC136" s="74" t="s">
        <v>327</v>
      </c>
      <c r="AD136" s="74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DOIP</v>
      </c>
      <c r="D137" s="74" t="s">
        <v>1012</v>
      </c>
      <c r="E137" s="74" t="s">
        <v>24</v>
      </c>
      <c r="F137" s="74" t="s">
        <v>483</v>
      </c>
      <c r="G137" s="74" t="s">
        <v>1100</v>
      </c>
      <c r="H137" s="74" t="s">
        <v>1092</v>
      </c>
      <c r="I137" s="74">
        <v>2</v>
      </c>
      <c r="J137" s="74">
        <v>16</v>
      </c>
      <c r="K137" s="74" t="s">
        <v>181</v>
      </c>
      <c r="L137" s="74" t="s">
        <v>179</v>
      </c>
      <c r="M137" s="74" t="s">
        <v>1093</v>
      </c>
      <c r="N137" s="112" t="s">
        <v>1110</v>
      </c>
      <c r="O137" s="74" t="str">
        <f t="shared" si="10"/>
        <v>p-doip-adm02-osdisk</v>
      </c>
      <c r="P137" s="74">
        <v>64</v>
      </c>
      <c r="Q137" s="74" t="s">
        <v>180</v>
      </c>
      <c r="R137" s="74"/>
      <c r="S137" s="74"/>
      <c r="T137" s="74"/>
      <c r="U137" s="74" t="str">
        <f t="shared" si="11"/>
        <v>p-doip-adm02-nic</v>
      </c>
      <c r="V137" s="74" t="b">
        <v>1</v>
      </c>
      <c r="W137" s="74" t="b">
        <v>1</v>
      </c>
      <c r="X137" s="74" t="s">
        <v>326</v>
      </c>
      <c r="Y137" s="74" t="s">
        <v>347</v>
      </c>
      <c r="Z137" s="74" t="s">
        <v>1061</v>
      </c>
      <c r="AA137" s="74" t="b">
        <v>1</v>
      </c>
      <c r="AB137" s="74" t="s">
        <v>326</v>
      </c>
      <c r="AC137" s="74" t="s">
        <v>327</v>
      </c>
      <c r="AD137" s="74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640</v>
      </c>
      <c r="N138" s="98" t="s">
        <v>1086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640</v>
      </c>
      <c r="N139" s="98" t="s">
        <v>1086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640</v>
      </c>
      <c r="N140" s="98" t="s">
        <v>1085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640</v>
      </c>
      <c r="N141" s="98" t="s">
        <v>1085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640</v>
      </c>
      <c r="N142" s="98" t="s">
        <v>1085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640</v>
      </c>
      <c r="N143" s="98" t="s">
        <v>1085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640</v>
      </c>
      <c r="N144" s="98" t="s">
        <v>1085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1:32" x14ac:dyDescent="0.3">
      <c r="A145" s="90"/>
      <c r="B145" s="74" t="s">
        <v>1084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1106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640</v>
      </c>
      <c r="N145" s="98" t="s">
        <v>1085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1087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1:32" x14ac:dyDescent="0.3">
      <c r="A146" s="90"/>
      <c r="B146" s="74" t="s">
        <v>1084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1107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640</v>
      </c>
      <c r="N146" s="98" t="s">
        <v>1086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1087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workbookViewId="0">
      <selection activeCell="A2" sqref="A1:A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953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1054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1054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1054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1054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1054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1054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1054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1054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1054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1054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1054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1054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1054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1054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1054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1054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1054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1054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1054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1054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1054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1055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1055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1055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1055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1055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1055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1055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1055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1055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1054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1054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1054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1054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1054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1088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1088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1088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1088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1055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1055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1054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1054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1054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1054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1054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1054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08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1054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08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1054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1054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1054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1054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1054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1054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1054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1054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1054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1054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1054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1054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1054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1054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1054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1054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1054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1054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1054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1055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1055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1054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1054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1056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1056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1056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1056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1056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1056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1057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1057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1058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1058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1057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1057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1057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1084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1089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1084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1089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1084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1089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1057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1057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1057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1059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1059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1060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1060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1059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1059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1061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1061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1061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1061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1061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1061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1062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1062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1056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1056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1056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1056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1056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A145" s="90"/>
      <c r="B145" s="80" t="s">
        <v>1084</v>
      </c>
      <c r="C145" s="80" t="s">
        <v>1084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1087</v>
      </c>
      <c r="I145" s="74" t="s">
        <v>491</v>
      </c>
      <c r="J145" s="74" t="s">
        <v>234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A146" s="90"/>
      <c r="B146" s="78" t="s">
        <v>1084</v>
      </c>
      <c r="C146" s="78" t="s">
        <v>1084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1087</v>
      </c>
      <c r="I146" s="73" t="s">
        <v>492</v>
      </c>
      <c r="J146" s="73" t="s">
        <v>234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963</v>
      </c>
      <c r="I149" s="74"/>
      <c r="J149" s="74"/>
      <c r="K149" s="74"/>
      <c r="L149" s="74" t="s">
        <v>231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A159" s="90"/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A160" s="90"/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1102</v>
      </c>
      <c r="I8" s="74" t="s">
        <v>222</v>
      </c>
      <c r="J8" s="74" t="s">
        <v>224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954</v>
      </c>
      <c r="G23" s="82" t="s">
        <v>198</v>
      </c>
      <c r="H23" s="82" t="s">
        <v>955</v>
      </c>
      <c r="I23" s="82" t="s">
        <v>222</v>
      </c>
      <c r="J23" s="82" t="s">
        <v>956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954</v>
      </c>
      <c r="G24" s="74" t="s">
        <v>199</v>
      </c>
      <c r="H24" s="74" t="s">
        <v>957</v>
      </c>
      <c r="I24" s="74" t="s">
        <v>222</v>
      </c>
      <c r="J24" s="74" t="s">
        <v>956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954</v>
      </c>
      <c r="G25" s="82" t="s">
        <v>200</v>
      </c>
      <c r="H25" s="82" t="s">
        <v>958</v>
      </c>
      <c r="I25" s="82" t="s">
        <v>222</v>
      </c>
      <c r="J25" s="82" t="s">
        <v>956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954</v>
      </c>
      <c r="G26" s="74" t="s">
        <v>201</v>
      </c>
      <c r="H26" s="74" t="s">
        <v>959</v>
      </c>
      <c r="I26" s="74" t="s">
        <v>222</v>
      </c>
      <c r="J26" s="74" t="s">
        <v>956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954</v>
      </c>
      <c r="G27" s="82" t="s">
        <v>202</v>
      </c>
      <c r="H27" s="82" t="s">
        <v>960</v>
      </c>
      <c r="I27" s="82" t="s">
        <v>222</v>
      </c>
      <c r="J27" s="82" t="s">
        <v>956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954</v>
      </c>
      <c r="G28" s="74" t="s">
        <v>225</v>
      </c>
      <c r="H28" s="74" t="s">
        <v>961</v>
      </c>
      <c r="I28" s="74" t="s">
        <v>222</v>
      </c>
      <c r="J28" s="74" t="s">
        <v>956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954</v>
      </c>
      <c r="G29" s="82" t="s">
        <v>332</v>
      </c>
      <c r="H29" s="82" t="s">
        <v>1102</v>
      </c>
      <c r="I29" s="82" t="s">
        <v>222</v>
      </c>
      <c r="J29" s="82" t="s">
        <v>956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954</v>
      </c>
      <c r="G30" s="74" t="s">
        <v>346</v>
      </c>
      <c r="H30" s="74" t="s">
        <v>278</v>
      </c>
      <c r="I30" s="74" t="s">
        <v>222</v>
      </c>
      <c r="J30" s="74" t="s">
        <v>956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954</v>
      </c>
      <c r="G31" s="82" t="s">
        <v>204</v>
      </c>
      <c r="H31" s="82" t="s">
        <v>336</v>
      </c>
      <c r="I31" s="82" t="s">
        <v>222</v>
      </c>
      <c r="J31" s="82" t="s">
        <v>956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954</v>
      </c>
      <c r="G32" s="74" t="s">
        <v>205</v>
      </c>
      <c r="H32" s="74" t="s">
        <v>337</v>
      </c>
      <c r="I32" s="74" t="s">
        <v>222</v>
      </c>
      <c r="J32" s="74" t="s">
        <v>956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954</v>
      </c>
      <c r="G33" s="82" t="s">
        <v>206</v>
      </c>
      <c r="H33" s="82" t="s">
        <v>338</v>
      </c>
      <c r="I33" s="82" t="s">
        <v>222</v>
      </c>
      <c r="J33" s="82" t="s">
        <v>956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954</v>
      </c>
      <c r="G34" s="74" t="s">
        <v>207</v>
      </c>
      <c r="H34" s="74" t="s">
        <v>339</v>
      </c>
      <c r="I34" s="74" t="s">
        <v>222</v>
      </c>
      <c r="J34" s="74" t="s">
        <v>956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954</v>
      </c>
      <c r="G35" s="82" t="s">
        <v>208</v>
      </c>
      <c r="H35" s="82" t="s">
        <v>340</v>
      </c>
      <c r="I35" s="82" t="s">
        <v>222</v>
      </c>
      <c r="J35" s="82" t="s">
        <v>956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954</v>
      </c>
      <c r="G36" s="74" t="s">
        <v>209</v>
      </c>
      <c r="H36" s="74" t="s">
        <v>341</v>
      </c>
      <c r="I36" s="74" t="s">
        <v>222</v>
      </c>
      <c r="J36" s="74" t="s">
        <v>956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954</v>
      </c>
      <c r="G37" s="82" t="s">
        <v>210</v>
      </c>
      <c r="H37" s="82" t="s">
        <v>342</v>
      </c>
      <c r="I37" s="82" t="s">
        <v>222</v>
      </c>
      <c r="J37" s="82" t="s">
        <v>956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954</v>
      </c>
      <c r="G38" s="74" t="s">
        <v>211</v>
      </c>
      <c r="H38" s="74" t="s">
        <v>343</v>
      </c>
      <c r="I38" s="74" t="s">
        <v>222</v>
      </c>
      <c r="J38" s="74" t="s">
        <v>956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954</v>
      </c>
      <c r="G39" s="82" t="s">
        <v>212</v>
      </c>
      <c r="H39" s="82" t="s">
        <v>344</v>
      </c>
      <c r="I39" s="82" t="s">
        <v>222</v>
      </c>
      <c r="J39" s="82" t="s">
        <v>956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954</v>
      </c>
      <c r="G40" s="74" t="s">
        <v>213</v>
      </c>
      <c r="H40" s="74" t="s">
        <v>345</v>
      </c>
      <c r="I40" s="74" t="s">
        <v>222</v>
      </c>
      <c r="J40" s="74" t="s">
        <v>956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6"/>
  <sheetViews>
    <sheetView tabSelected="1" workbookViewId="0">
      <pane xSplit="6" ySplit="1" topLeftCell="H6" activePane="bottomRight" state="frozen"/>
      <selection pane="topRight" activeCell="G1" sqref="G1"/>
      <selection pane="bottomLeft" activeCell="A2" sqref="A2"/>
      <selection pane="bottomRight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/>
      <c r="D2" s="82" t="s">
        <v>1007</v>
      </c>
      <c r="E2" s="82" t="s">
        <v>24</v>
      </c>
      <c r="F2" s="82" t="s">
        <v>964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3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1006</v>
      </c>
      <c r="Q2" s="83" t="str">
        <f>SUBSTITUTE(F2, "hazr-", "")&amp;"-bp"</f>
        <v>p-dis-ap-lb-bp</v>
      </c>
    </row>
    <row r="3" spans="1:17" x14ac:dyDescent="0.3">
      <c r="A3" s="90"/>
      <c r="B3" s="74" t="s">
        <v>952</v>
      </c>
      <c r="C3" s="74"/>
      <c r="D3" s="74" t="s">
        <v>1007</v>
      </c>
      <c r="E3" s="74" t="s">
        <v>24</v>
      </c>
      <c r="F3" s="74" t="s">
        <v>965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1013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/>
      <c r="D4" s="82" t="s">
        <v>1007</v>
      </c>
      <c r="E4" s="82" t="s">
        <v>24</v>
      </c>
      <c r="F4" s="82" t="s">
        <v>966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1014</v>
      </c>
      <c r="Q4" s="83" t="str">
        <f t="shared" ref="Q4:Q45" si="1">SUBSTITUTE(F4, "hazr-", "")&amp;"-bp"</f>
        <v>p-dis-bbiweb-lb-bp</v>
      </c>
    </row>
    <row r="5" spans="1:17" x14ac:dyDescent="0.3">
      <c r="A5" s="90"/>
      <c r="B5" s="74" t="s">
        <v>952</v>
      </c>
      <c r="C5" s="74"/>
      <c r="D5" s="74" t="s">
        <v>1007</v>
      </c>
      <c r="E5" s="74" t="s">
        <v>24</v>
      </c>
      <c r="F5" s="74" t="s">
        <v>967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1015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/>
      <c r="D6" s="82" t="s">
        <v>1007</v>
      </c>
      <c r="E6" s="82" t="s">
        <v>24</v>
      </c>
      <c r="F6" s="82" t="s">
        <v>968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1016</v>
      </c>
      <c r="Q6" s="83" t="str">
        <f t="shared" si="1"/>
        <v>p-dis-bbimsgap-lb-bp</v>
      </c>
    </row>
    <row r="7" spans="1:17" x14ac:dyDescent="0.3">
      <c r="A7" s="90"/>
      <c r="B7" s="74" t="s">
        <v>952</v>
      </c>
      <c r="C7" s="74"/>
      <c r="D7" s="74" t="s">
        <v>1007</v>
      </c>
      <c r="E7" s="74" t="s">
        <v>24</v>
      </c>
      <c r="F7" s="74" t="s">
        <v>969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1017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/>
      <c r="D8" s="82" t="s">
        <v>1007</v>
      </c>
      <c r="E8" s="82" t="s">
        <v>24</v>
      </c>
      <c r="F8" s="82" t="s">
        <v>970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1018</v>
      </c>
      <c r="Q8" s="83" t="str">
        <f t="shared" si="1"/>
        <v>t-dis-drvcltap-lb-bp</v>
      </c>
    </row>
    <row r="9" spans="1:17" x14ac:dyDescent="0.3">
      <c r="A9" s="90"/>
      <c r="B9" s="74" t="s">
        <v>952</v>
      </c>
      <c r="C9" s="74"/>
      <c r="D9" s="74" t="s">
        <v>1007</v>
      </c>
      <c r="E9" s="74" t="s">
        <v>24</v>
      </c>
      <c r="F9" s="74" t="s">
        <v>971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1019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/>
      <c r="D10" s="82" t="s">
        <v>1007</v>
      </c>
      <c r="E10" s="82" t="s">
        <v>24</v>
      </c>
      <c r="F10" s="82" t="s">
        <v>972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1020</v>
      </c>
      <c r="Q10" s="83" t="str">
        <f t="shared" si="1"/>
        <v>p-dis-drvmsgap-lb-bp</v>
      </c>
    </row>
    <row r="11" spans="1:17" x14ac:dyDescent="0.3">
      <c r="A11" s="90"/>
      <c r="B11" s="74" t="s">
        <v>952</v>
      </c>
      <c r="C11" s="74"/>
      <c r="D11" s="74" t="s">
        <v>1007</v>
      </c>
      <c r="E11" s="74" t="s">
        <v>24</v>
      </c>
      <c r="F11" s="74" t="s">
        <v>973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1021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/>
      <c r="D12" s="82" t="s">
        <v>1007</v>
      </c>
      <c r="E12" s="82" t="s">
        <v>24</v>
      </c>
      <c r="F12" s="82" t="s">
        <v>974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1022</v>
      </c>
      <c r="Q12" s="83" t="str">
        <f t="shared" si="1"/>
        <v>p-dis-cmsadm-lb-bp</v>
      </c>
    </row>
    <row r="13" spans="1:17" x14ac:dyDescent="0.3">
      <c r="A13" s="90"/>
      <c r="B13" s="74" t="s">
        <v>952</v>
      </c>
      <c r="C13" s="74"/>
      <c r="D13" s="74" t="s">
        <v>1007</v>
      </c>
      <c r="E13" s="74" t="s">
        <v>24</v>
      </c>
      <c r="F13" s="74" t="s">
        <v>975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1023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/>
      <c r="D14" s="82" t="s">
        <v>1007</v>
      </c>
      <c r="E14" s="82" t="s">
        <v>24</v>
      </c>
      <c r="F14" s="82" t="s">
        <v>976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1024</v>
      </c>
      <c r="Q14" s="83" t="str">
        <f t="shared" si="1"/>
        <v>p-dis-cmsweb-lb-bp</v>
      </c>
    </row>
    <row r="15" spans="1:17" x14ac:dyDescent="0.3">
      <c r="A15" s="90"/>
      <c r="B15" s="74" t="s">
        <v>952</v>
      </c>
      <c r="C15" s="74"/>
      <c r="D15" s="74" t="s">
        <v>1007</v>
      </c>
      <c r="E15" s="74" t="s">
        <v>24</v>
      </c>
      <c r="F15" s="74" t="s">
        <v>977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1025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/>
      <c r="D16" s="82" t="s">
        <v>1008</v>
      </c>
      <c r="E16" s="82" t="s">
        <v>24</v>
      </c>
      <c r="F16" s="82" t="s">
        <v>978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1054</v>
      </c>
      <c r="O16" s="82" t="s">
        <v>108</v>
      </c>
      <c r="P16" s="82" t="s">
        <v>1026</v>
      </c>
      <c r="Q16" s="83" t="str">
        <f t="shared" si="1"/>
        <v>p-dtg-ingap-lb-bp</v>
      </c>
    </row>
    <row r="17" spans="1:17" x14ac:dyDescent="0.3">
      <c r="A17" s="90"/>
      <c r="B17" s="74" t="s">
        <v>952</v>
      </c>
      <c r="C17" s="74"/>
      <c r="D17" s="74" t="s">
        <v>1008</v>
      </c>
      <c r="E17" s="74" t="s">
        <v>24</v>
      </c>
      <c r="F17" s="74" t="s">
        <v>979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1054</v>
      </c>
      <c r="O17" s="74" t="s">
        <v>108</v>
      </c>
      <c r="P17" s="74" t="s">
        <v>1027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/>
      <c r="D18" s="82" t="s">
        <v>1008</v>
      </c>
      <c r="E18" s="82" t="s">
        <v>24</v>
      </c>
      <c r="F18" s="82" t="s">
        <v>980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1054</v>
      </c>
      <c r="O18" s="82" t="s">
        <v>108</v>
      </c>
      <c r="P18" s="82" t="s">
        <v>1028</v>
      </c>
      <c r="Q18" s="83" t="str">
        <f t="shared" si="1"/>
        <v>p-dtg-extgeoap-lb-bp</v>
      </c>
    </row>
    <row r="19" spans="1:17" x14ac:dyDescent="0.3">
      <c r="A19" s="90"/>
      <c r="B19" s="74" t="s">
        <v>952</v>
      </c>
      <c r="C19" s="74"/>
      <c r="D19" s="74" t="s">
        <v>1008</v>
      </c>
      <c r="E19" s="74" t="s">
        <v>24</v>
      </c>
      <c r="F19" s="74" t="s">
        <v>981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1054</v>
      </c>
      <c r="O19" s="74" t="s">
        <v>108</v>
      </c>
      <c r="P19" s="74" t="s">
        <v>1029</v>
      </c>
      <c r="Q19" s="84" t="str">
        <f t="shared" si="1"/>
        <v>p-dtg-geoap-lb-bp</v>
      </c>
    </row>
    <row r="20" spans="1:17" x14ac:dyDescent="0.3">
      <c r="A20" s="113"/>
      <c r="B20" s="82" t="s">
        <v>23</v>
      </c>
      <c r="C20" s="82" t="str" cm="1">
        <f t="array" ref="C20">UPPER(INDEX(_xlfn.TEXTSPLIT($F20, "-"), 3))</f>
        <v>DTG</v>
      </c>
      <c r="D20" s="82" t="s">
        <v>1008</v>
      </c>
      <c r="E20" s="82" t="s">
        <v>24</v>
      </c>
      <c r="F20" s="82" t="s">
        <v>1111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p-dtg-mq-lb01-fe</v>
      </c>
      <c r="L20" s="82" t="s">
        <v>239</v>
      </c>
      <c r="M20" s="82" t="s">
        <v>240</v>
      </c>
      <c r="N20" s="82" t="s">
        <v>1055</v>
      </c>
      <c r="O20" s="82" t="s">
        <v>108</v>
      </c>
      <c r="P20" s="82" t="s">
        <v>1030</v>
      </c>
      <c r="Q20" s="83" t="str">
        <f t="shared" si="1"/>
        <v>p-dtg-mq-lb01-bp</v>
      </c>
    </row>
    <row r="21" spans="1:17" x14ac:dyDescent="0.3">
      <c r="A21" s="113"/>
      <c r="B21" s="82" t="s">
        <v>23</v>
      </c>
      <c r="C21" s="82" t="str" cm="1">
        <f t="array" ref="C21">UPPER(INDEX(_xlfn.TEXTSPLIT($F21, "-"), 3))</f>
        <v>DTG</v>
      </c>
      <c r="D21" s="82" t="s">
        <v>1008</v>
      </c>
      <c r="E21" s="82" t="s">
        <v>24</v>
      </c>
      <c r="F21" s="82" t="s">
        <v>1112</v>
      </c>
      <c r="G21" s="82" t="s">
        <v>111</v>
      </c>
      <c r="H21" s="82" t="s">
        <v>125</v>
      </c>
      <c r="I21" s="82"/>
      <c r="J21" s="82" t="s">
        <v>102</v>
      </c>
      <c r="K21" s="82" t="str">
        <f t="shared" ref="K21:K22" si="2">SUBSTITUTE(F21, "hazr-", "")&amp;"-fe"</f>
        <v>p-dtg-mq-lb02-fe</v>
      </c>
      <c r="L21" s="82" t="s">
        <v>239</v>
      </c>
      <c r="M21" s="82" t="s">
        <v>240</v>
      </c>
      <c r="N21" s="82" t="s">
        <v>1055</v>
      </c>
      <c r="O21" s="82" t="s">
        <v>108</v>
      </c>
      <c r="P21" s="82" t="s">
        <v>1114</v>
      </c>
      <c r="Q21" s="83" t="str">
        <f t="shared" ref="Q21:Q22" si="3">SUBSTITUTE(F21, "hazr-", "")&amp;"-bp"</f>
        <v>p-dtg-mq-lb02-bp</v>
      </c>
    </row>
    <row r="22" spans="1:17" x14ac:dyDescent="0.3">
      <c r="A22" s="113"/>
      <c r="B22" s="82" t="s">
        <v>23</v>
      </c>
      <c r="C22" s="82" t="str" cm="1">
        <f t="array" ref="C22">UPPER(INDEX(_xlfn.TEXTSPLIT($F22, "-"), 3))</f>
        <v>DTG</v>
      </c>
      <c r="D22" s="82" t="s">
        <v>1008</v>
      </c>
      <c r="E22" s="82" t="s">
        <v>24</v>
      </c>
      <c r="F22" s="82" t="s">
        <v>1113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2"/>
        <v>p-dtg-mq-lb03-fe</v>
      </c>
      <c r="L22" s="82" t="s">
        <v>239</v>
      </c>
      <c r="M22" s="82" t="s">
        <v>240</v>
      </c>
      <c r="N22" s="82" t="s">
        <v>1055</v>
      </c>
      <c r="O22" s="82" t="s">
        <v>108</v>
      </c>
      <c r="P22" s="82" t="s">
        <v>1115</v>
      </c>
      <c r="Q22" s="83" t="str">
        <f t="shared" si="3"/>
        <v>p-dtg-mq-lb03-bp</v>
      </c>
    </row>
    <row r="23" spans="1:17" x14ac:dyDescent="0.3">
      <c r="A23" s="90"/>
      <c r="B23" s="74" t="s">
        <v>952</v>
      </c>
      <c r="C23" s="74"/>
      <c r="D23" s="74" t="s">
        <v>1008</v>
      </c>
      <c r="E23" s="74" t="s">
        <v>24</v>
      </c>
      <c r="F23" s="74" t="s">
        <v>982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p-dtg-admweb-lb-fe</v>
      </c>
      <c r="L23" s="74" t="s">
        <v>239</v>
      </c>
      <c r="M23" s="74" t="s">
        <v>241</v>
      </c>
      <c r="N23" s="74" t="s">
        <v>1054</v>
      </c>
      <c r="O23" s="74" t="s">
        <v>108</v>
      </c>
      <c r="P23" s="74" t="s">
        <v>1031</v>
      </c>
      <c r="Q23" s="84" t="str">
        <f t="shared" si="1"/>
        <v>p-dtg-admweb-lb-bp</v>
      </c>
    </row>
    <row r="24" spans="1:17" x14ac:dyDescent="0.3">
      <c r="A24" s="90"/>
      <c r="B24" s="82" t="s">
        <v>23</v>
      </c>
      <c r="C24" s="82"/>
      <c r="D24" s="82" t="s">
        <v>1008</v>
      </c>
      <c r="E24" s="82" t="s">
        <v>24</v>
      </c>
      <c r="F24" s="82" t="s">
        <v>983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p-dtg-admap-lb-fe</v>
      </c>
      <c r="L24" s="82" t="s">
        <v>239</v>
      </c>
      <c r="M24" s="82" t="s">
        <v>241</v>
      </c>
      <c r="N24" s="82" t="s">
        <v>1054</v>
      </c>
      <c r="O24" s="82" t="s">
        <v>108</v>
      </c>
      <c r="P24" s="82" t="s">
        <v>1032</v>
      </c>
      <c r="Q24" s="83" t="str">
        <f t="shared" si="1"/>
        <v>p-dtg-admap-lb-bp</v>
      </c>
    </row>
    <row r="25" spans="1:17" x14ac:dyDescent="0.3">
      <c r="A25" s="90"/>
      <c r="B25" s="74" t="s">
        <v>952</v>
      </c>
      <c r="C25" s="74"/>
      <c r="D25" s="74" t="s">
        <v>1008</v>
      </c>
      <c r="E25" s="74" t="s">
        <v>24</v>
      </c>
      <c r="F25" s="74" t="s">
        <v>984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p-dtg-web-lb-fe</v>
      </c>
      <c r="L25" s="74" t="s">
        <v>239</v>
      </c>
      <c r="M25" s="74" t="s">
        <v>240</v>
      </c>
      <c r="N25" s="74" t="s">
        <v>1055</v>
      </c>
      <c r="O25" s="74" t="s">
        <v>108</v>
      </c>
      <c r="P25" s="74" t="s">
        <v>1033</v>
      </c>
      <c r="Q25" s="84" t="str">
        <f t="shared" si="1"/>
        <v>p-dtg-web-lb-bp</v>
      </c>
    </row>
    <row r="26" spans="1:17" x14ac:dyDescent="0.3">
      <c r="A26" s="90"/>
      <c r="B26" s="82" t="s">
        <v>23</v>
      </c>
      <c r="C26" s="82"/>
      <c r="D26" s="82" t="s">
        <v>1008</v>
      </c>
      <c r="E26" s="82" t="s">
        <v>24</v>
      </c>
      <c r="F26" s="82" t="s">
        <v>985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p-dtg-cdmlap-lb-fe</v>
      </c>
      <c r="L26" s="82" t="s">
        <v>239</v>
      </c>
      <c r="M26" s="82" t="s">
        <v>241</v>
      </c>
      <c r="N26" s="82" t="s">
        <v>1054</v>
      </c>
      <c r="O26" s="82" t="s">
        <v>108</v>
      </c>
      <c r="P26" s="82" t="s">
        <v>1034</v>
      </c>
      <c r="Q26" s="83" t="str">
        <f t="shared" si="1"/>
        <v>p-dtg-cdmlap-lb-bp</v>
      </c>
    </row>
    <row r="27" spans="1:17" x14ac:dyDescent="0.3">
      <c r="A27" s="90"/>
      <c r="B27" s="74" t="s">
        <v>952</v>
      </c>
      <c r="C27" s="74"/>
      <c r="D27" s="74" t="s">
        <v>1008</v>
      </c>
      <c r="E27" s="74" t="s">
        <v>24</v>
      </c>
      <c r="F27" s="74" t="s">
        <v>986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p-dtg-cdstap-lb-fe</v>
      </c>
      <c r="L27" s="74" t="s">
        <v>239</v>
      </c>
      <c r="M27" s="74" t="s">
        <v>241</v>
      </c>
      <c r="N27" s="74" t="s">
        <v>1054</v>
      </c>
      <c r="O27" s="74" t="s">
        <v>108</v>
      </c>
      <c r="P27" s="74" t="s">
        <v>1035</v>
      </c>
      <c r="Q27" s="84" t="str">
        <f t="shared" si="1"/>
        <v>p-dtg-cdstap-lb-bp</v>
      </c>
    </row>
    <row r="28" spans="1:17" x14ac:dyDescent="0.3">
      <c r="A28" s="90"/>
      <c r="B28" s="82" t="s">
        <v>23</v>
      </c>
      <c r="C28" s="82"/>
      <c r="D28" s="82" t="s">
        <v>1008</v>
      </c>
      <c r="E28" s="82" t="s">
        <v>24</v>
      </c>
      <c r="F28" s="82" t="s">
        <v>987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p-dtg-cdsvadm-lb-fe</v>
      </c>
      <c r="L28" s="82" t="s">
        <v>239</v>
      </c>
      <c r="M28" s="82" t="s">
        <v>241</v>
      </c>
      <c r="N28" s="82" t="s">
        <v>1054</v>
      </c>
      <c r="O28" s="82" t="s">
        <v>108</v>
      </c>
      <c r="P28" s="82" t="s">
        <v>1036</v>
      </c>
      <c r="Q28" s="83" t="str">
        <f t="shared" si="1"/>
        <v>p-dtg-cdsvadm-lb-bp</v>
      </c>
    </row>
    <row r="29" spans="1:17" x14ac:dyDescent="0.3">
      <c r="A29" s="90"/>
      <c r="B29" s="74" t="s">
        <v>952</v>
      </c>
      <c r="C29" s="74"/>
      <c r="D29" s="74" t="s">
        <v>1008</v>
      </c>
      <c r="E29" s="74" t="s">
        <v>24</v>
      </c>
      <c r="F29" s="74" t="s">
        <v>988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p-dtg-diosap-lb-fe</v>
      </c>
      <c r="L29" s="74" t="s">
        <v>239</v>
      </c>
      <c r="M29" s="74" t="s">
        <v>241</v>
      </c>
      <c r="N29" s="74" t="s">
        <v>1054</v>
      </c>
      <c r="O29" s="74" t="s">
        <v>108</v>
      </c>
      <c r="P29" s="74" t="s">
        <v>1037</v>
      </c>
      <c r="Q29" s="84" t="str">
        <f t="shared" si="1"/>
        <v>p-dtg-diosap-lb-bp</v>
      </c>
    </row>
    <row r="30" spans="1:17" x14ac:dyDescent="0.3">
      <c r="A30" s="90"/>
      <c r="B30" s="82" t="s">
        <v>23</v>
      </c>
      <c r="C30" s="82"/>
      <c r="D30" s="82" t="s">
        <v>1008</v>
      </c>
      <c r="E30" s="82" t="s">
        <v>24</v>
      </c>
      <c r="F30" s="82" t="s">
        <v>989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p-dtg-diosweb-lb-fe</v>
      </c>
      <c r="L30" s="82" t="s">
        <v>239</v>
      </c>
      <c r="M30" s="82" t="s">
        <v>241</v>
      </c>
      <c r="N30" s="82" t="s">
        <v>1054</v>
      </c>
      <c r="O30" s="82" t="s">
        <v>108</v>
      </c>
      <c r="P30" s="82" t="s">
        <v>1038</v>
      </c>
      <c r="Q30" s="83" t="str">
        <f t="shared" si="1"/>
        <v>p-dtg-diosweb-lb-bp</v>
      </c>
    </row>
    <row r="31" spans="1:17" x14ac:dyDescent="0.3">
      <c r="A31" s="90"/>
      <c r="B31" s="74" t="s">
        <v>952</v>
      </c>
      <c r="C31" s="74"/>
      <c r="D31" s="74" t="s">
        <v>1008</v>
      </c>
      <c r="E31" s="74" t="s">
        <v>24</v>
      </c>
      <c r="F31" s="74" t="s">
        <v>990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p-dtg-dprweb-lb-fe</v>
      </c>
      <c r="L31" s="74" t="s">
        <v>239</v>
      </c>
      <c r="M31" s="74" t="s">
        <v>240</v>
      </c>
      <c r="N31" s="74" t="s">
        <v>1055</v>
      </c>
      <c r="O31" s="74" t="s">
        <v>108</v>
      </c>
      <c r="P31" s="74" t="s">
        <v>1039</v>
      </c>
      <c r="Q31" s="84" t="str">
        <f t="shared" si="1"/>
        <v>p-dtg-dprweb-lb-bp</v>
      </c>
    </row>
    <row r="32" spans="1:17" x14ac:dyDescent="0.3">
      <c r="A32" s="90"/>
      <c r="B32" s="82" t="s">
        <v>23</v>
      </c>
      <c r="C32" s="82"/>
      <c r="D32" s="82" t="s">
        <v>1008</v>
      </c>
      <c r="E32" s="82" t="s">
        <v>24</v>
      </c>
      <c r="F32" s="82" t="s">
        <v>991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si="0"/>
        <v>p-dtg-dprap-lb-fe</v>
      </c>
      <c r="L32" s="82" t="s">
        <v>239</v>
      </c>
      <c r="M32" s="82" t="s">
        <v>241</v>
      </c>
      <c r="N32" s="82" t="s">
        <v>1054</v>
      </c>
      <c r="O32" s="82" t="s">
        <v>108</v>
      </c>
      <c r="P32" s="82" t="s">
        <v>1040</v>
      </c>
      <c r="Q32" s="83" t="str">
        <f t="shared" si="1"/>
        <v>p-dtg-dprap-lb-bp</v>
      </c>
    </row>
    <row r="33" spans="1:17" x14ac:dyDescent="0.3">
      <c r="A33" s="90"/>
      <c r="B33" s="74" t="s">
        <v>952</v>
      </c>
      <c r="C33" s="74"/>
      <c r="D33" s="74" t="s">
        <v>1009</v>
      </c>
      <c r="E33" s="74" t="s">
        <v>24</v>
      </c>
      <c r="F33" s="74" t="s">
        <v>992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0"/>
        <v>p-bdp-cxmadm-lb-fe</v>
      </c>
      <c r="L33" s="74" t="s">
        <v>239</v>
      </c>
      <c r="M33" s="74" t="s">
        <v>241</v>
      </c>
      <c r="N33" s="74" t="s">
        <v>1056</v>
      </c>
      <c r="O33" s="74" t="s">
        <v>108</v>
      </c>
      <c r="P33" s="74" t="s">
        <v>1041</v>
      </c>
      <c r="Q33" s="84" t="str">
        <f t="shared" si="1"/>
        <v>p-bdp-cxmadm-lb-bp</v>
      </c>
    </row>
    <row r="34" spans="1:17" x14ac:dyDescent="0.3">
      <c r="A34" s="90"/>
      <c r="B34" s="82" t="s">
        <v>23</v>
      </c>
      <c r="C34" s="82"/>
      <c r="D34" s="82" t="s">
        <v>1009</v>
      </c>
      <c r="E34" s="82" t="s">
        <v>24</v>
      </c>
      <c r="F34" s="82" t="s">
        <v>993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ref="K34:K45" si="4">SUBSTITUTE(F34, "hazr-", "")&amp;"-fe"</f>
        <v>p-bdp-slap-lb-fe</v>
      </c>
      <c r="L34" s="82" t="s">
        <v>239</v>
      </c>
      <c r="M34" s="82" t="s">
        <v>241</v>
      </c>
      <c r="N34" s="82" t="s">
        <v>1056</v>
      </c>
      <c r="O34" s="82" t="s">
        <v>108</v>
      </c>
      <c r="P34" s="82" t="s">
        <v>1042</v>
      </c>
      <c r="Q34" s="83" t="str">
        <f t="shared" si="1"/>
        <v>p-bdp-slap-lb-bp</v>
      </c>
    </row>
    <row r="35" spans="1:17" x14ac:dyDescent="0.3">
      <c r="A35" s="90"/>
      <c r="B35" s="74" t="s">
        <v>952</v>
      </c>
      <c r="C35" s="74"/>
      <c r="D35" s="74" t="s">
        <v>1010</v>
      </c>
      <c r="E35" s="74" t="s">
        <v>24</v>
      </c>
      <c r="F35" s="74" t="s">
        <v>994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4"/>
        <v>p-if-auth-lb-fe</v>
      </c>
      <c r="L35" s="74" t="s">
        <v>239</v>
      </c>
      <c r="M35" s="74" t="s">
        <v>241</v>
      </c>
      <c r="N35" s="74" t="s">
        <v>1057</v>
      </c>
      <c r="O35" s="74" t="s">
        <v>108</v>
      </c>
      <c r="P35" s="74" t="s">
        <v>1043</v>
      </c>
      <c r="Q35" s="84" t="str">
        <f t="shared" si="1"/>
        <v>p-if-auth-lb-bp</v>
      </c>
    </row>
    <row r="36" spans="1:17" x14ac:dyDescent="0.3">
      <c r="A36" s="90"/>
      <c r="B36" s="82" t="s">
        <v>23</v>
      </c>
      <c r="C36" s="82"/>
      <c r="D36" s="82" t="s">
        <v>1010</v>
      </c>
      <c r="E36" s="82" t="s">
        <v>24</v>
      </c>
      <c r="F36" s="82" t="s">
        <v>995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4"/>
        <v>p-if-proxy-lb-fe</v>
      </c>
      <c r="L36" s="82" t="s">
        <v>239</v>
      </c>
      <c r="M36" s="82" t="s">
        <v>240</v>
      </c>
      <c r="N36" s="82" t="s">
        <v>1058</v>
      </c>
      <c r="O36" s="82" t="s">
        <v>108</v>
      </c>
      <c r="P36" s="82" t="s">
        <v>1044</v>
      </c>
      <c r="Q36" s="83" t="str">
        <f t="shared" si="1"/>
        <v>p-if-proxy-lb-bp</v>
      </c>
    </row>
    <row r="37" spans="1:17" x14ac:dyDescent="0.3">
      <c r="A37" s="90"/>
      <c r="B37" s="74" t="s">
        <v>952</v>
      </c>
      <c r="C37" s="74"/>
      <c r="D37" s="74" t="s">
        <v>1011</v>
      </c>
      <c r="E37" s="74" t="s">
        <v>24</v>
      </c>
      <c r="F37" s="74" t="s">
        <v>996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4"/>
        <v>p-cs-chtap-lb-fe</v>
      </c>
      <c r="L37" s="74" t="s">
        <v>239</v>
      </c>
      <c r="M37" s="74" t="s">
        <v>241</v>
      </c>
      <c r="N37" s="74" t="s">
        <v>1059</v>
      </c>
      <c r="O37" s="74" t="s">
        <v>108</v>
      </c>
      <c r="P37" s="74" t="s">
        <v>1045</v>
      </c>
      <c r="Q37" s="84" t="str">
        <f t="shared" si="1"/>
        <v>p-cs-chtap-lb-bp</v>
      </c>
    </row>
    <row r="38" spans="1:17" x14ac:dyDescent="0.3">
      <c r="A38" s="90"/>
      <c r="B38" s="82" t="s">
        <v>23</v>
      </c>
      <c r="C38" s="82"/>
      <c r="D38" s="82" t="s">
        <v>1011</v>
      </c>
      <c r="E38" s="82" t="s">
        <v>24</v>
      </c>
      <c r="F38" s="82" t="s">
        <v>997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4"/>
        <v>p-cs-chtweb-lb-fe</v>
      </c>
      <c r="L38" s="82" t="s">
        <v>239</v>
      </c>
      <c r="M38" s="82" t="s">
        <v>240</v>
      </c>
      <c r="N38" s="82" t="s">
        <v>1060</v>
      </c>
      <c r="O38" s="82" t="s">
        <v>108</v>
      </c>
      <c r="P38" s="82" t="s">
        <v>1046</v>
      </c>
      <c r="Q38" s="83" t="str">
        <f t="shared" si="1"/>
        <v>p-cs-chtweb-lb-bp</v>
      </c>
    </row>
    <row r="39" spans="1:17" x14ac:dyDescent="0.3">
      <c r="A39" s="90"/>
      <c r="B39" s="74" t="s">
        <v>952</v>
      </c>
      <c r="C39" s="74"/>
      <c r="D39" s="74" t="s">
        <v>1011</v>
      </c>
      <c r="E39" s="74" t="s">
        <v>24</v>
      </c>
      <c r="F39" s="74" t="s">
        <v>998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4"/>
        <v>p-cs-chtintweb-lb-fe</v>
      </c>
      <c r="L39" s="74" t="s">
        <v>239</v>
      </c>
      <c r="M39" s="74" t="s">
        <v>241</v>
      </c>
      <c r="N39" s="74" t="s">
        <v>1059</v>
      </c>
      <c r="O39" s="74" t="s">
        <v>108</v>
      </c>
      <c r="P39" s="74" t="s">
        <v>1047</v>
      </c>
      <c r="Q39" s="84" t="str">
        <f t="shared" si="1"/>
        <v>p-cs-chtintweb-lb-bp</v>
      </c>
    </row>
    <row r="40" spans="1:17" x14ac:dyDescent="0.3">
      <c r="A40" s="90"/>
      <c r="B40" s="82" t="s">
        <v>23</v>
      </c>
      <c r="C40" s="82"/>
      <c r="D40" s="82" t="s">
        <v>1012</v>
      </c>
      <c r="E40" s="82" t="s">
        <v>24</v>
      </c>
      <c r="F40" s="82" t="s">
        <v>999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4"/>
        <v>p-doip-web-lb-fe</v>
      </c>
      <c r="L40" s="82" t="s">
        <v>239</v>
      </c>
      <c r="M40" s="82" t="s">
        <v>241</v>
      </c>
      <c r="N40" s="82" t="s">
        <v>1061</v>
      </c>
      <c r="O40" s="82" t="s">
        <v>108</v>
      </c>
      <c r="P40" s="82" t="s">
        <v>1048</v>
      </c>
      <c r="Q40" s="83" t="str">
        <f t="shared" si="1"/>
        <v>p-doip-web-lb-bp</v>
      </c>
    </row>
    <row r="41" spans="1:17" x14ac:dyDescent="0.3">
      <c r="A41" s="90"/>
      <c r="B41" s="74" t="s">
        <v>952</v>
      </c>
      <c r="C41" s="74"/>
      <c r="D41" s="74" t="s">
        <v>1012</v>
      </c>
      <c r="E41" s="74" t="s">
        <v>24</v>
      </c>
      <c r="F41" s="74" t="s">
        <v>1000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4"/>
        <v>p-doip-ap-lb-fe</v>
      </c>
      <c r="L41" s="74" t="s">
        <v>239</v>
      </c>
      <c r="M41" s="74" t="s">
        <v>241</v>
      </c>
      <c r="N41" s="74" t="s">
        <v>1061</v>
      </c>
      <c r="O41" s="74" t="s">
        <v>108</v>
      </c>
      <c r="P41" s="74" t="s">
        <v>1049</v>
      </c>
      <c r="Q41" s="84" t="str">
        <f t="shared" si="1"/>
        <v>p-doip-ap-lb-bp</v>
      </c>
    </row>
    <row r="42" spans="1:17" x14ac:dyDescent="0.3">
      <c r="A42" s="90"/>
      <c r="B42" s="82" t="s">
        <v>23</v>
      </c>
      <c r="C42" s="82"/>
      <c r="D42" s="82" t="s">
        <v>1012</v>
      </c>
      <c r="E42" s="82" t="s">
        <v>24</v>
      </c>
      <c r="F42" s="82" t="s">
        <v>1001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4"/>
        <v>p-doip-adm-lb-fe</v>
      </c>
      <c r="L42" s="82" t="s">
        <v>239</v>
      </c>
      <c r="M42" s="82" t="s">
        <v>241</v>
      </c>
      <c r="N42" s="82" t="s">
        <v>1061</v>
      </c>
      <c r="O42" s="82" t="s">
        <v>108</v>
      </c>
      <c r="P42" s="82" t="s">
        <v>1050</v>
      </c>
      <c r="Q42" s="83" t="str">
        <f t="shared" si="1"/>
        <v>p-doip-adm-lb-bp</v>
      </c>
    </row>
    <row r="43" spans="1:17" x14ac:dyDescent="0.3">
      <c r="A43" s="90"/>
      <c r="B43" s="74" t="s">
        <v>952</v>
      </c>
      <c r="C43" s="74"/>
      <c r="D43" s="74" t="s">
        <v>1009</v>
      </c>
      <c r="E43" s="74" t="s">
        <v>24</v>
      </c>
      <c r="F43" s="74" t="s">
        <v>1002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4"/>
        <v>p-bdp-crkweb-lb-fe</v>
      </c>
      <c r="L43" s="74" t="s">
        <v>239</v>
      </c>
      <c r="M43" s="74" t="s">
        <v>240</v>
      </c>
      <c r="N43" s="74" t="s">
        <v>1062</v>
      </c>
      <c r="O43" s="74" t="s">
        <v>108</v>
      </c>
      <c r="P43" s="74" t="s">
        <v>1051</v>
      </c>
      <c r="Q43" s="84" t="str">
        <f t="shared" si="1"/>
        <v>p-bdp-crkweb-lb-bp</v>
      </c>
    </row>
    <row r="44" spans="1:17" x14ac:dyDescent="0.3">
      <c r="A44" s="90"/>
      <c r="B44" s="82" t="s">
        <v>23</v>
      </c>
      <c r="C44" s="82"/>
      <c r="D44" s="82" t="s">
        <v>1009</v>
      </c>
      <c r="E44" s="82" t="s">
        <v>24</v>
      </c>
      <c r="F44" s="82" t="s">
        <v>1003</v>
      </c>
      <c r="G44" s="82" t="s">
        <v>111</v>
      </c>
      <c r="H44" s="82" t="s">
        <v>125</v>
      </c>
      <c r="I44" s="82"/>
      <c r="J44" s="82" t="s">
        <v>102</v>
      </c>
      <c r="K44" s="82" t="str">
        <f t="shared" si="4"/>
        <v>p-bdp-crkap-lb-fe</v>
      </c>
      <c r="L44" s="82" t="s">
        <v>239</v>
      </c>
      <c r="M44" s="82" t="s">
        <v>241</v>
      </c>
      <c r="N44" s="82" t="s">
        <v>1056</v>
      </c>
      <c r="O44" s="82" t="s">
        <v>108</v>
      </c>
      <c r="P44" s="82" t="s">
        <v>1052</v>
      </c>
      <c r="Q44" s="83" t="str">
        <f t="shared" si="1"/>
        <v>p-bdp-crkap-lb-bp</v>
      </c>
    </row>
    <row r="45" spans="1:17" x14ac:dyDescent="0.3">
      <c r="A45" s="90"/>
      <c r="B45" s="74" t="s">
        <v>952</v>
      </c>
      <c r="C45" s="74"/>
      <c r="D45" s="74" t="s">
        <v>1009</v>
      </c>
      <c r="E45" s="74" t="s">
        <v>24</v>
      </c>
      <c r="F45" s="74" t="s">
        <v>1004</v>
      </c>
      <c r="G45" s="74" t="s">
        <v>111</v>
      </c>
      <c r="H45" s="74" t="s">
        <v>125</v>
      </c>
      <c r="I45" s="74"/>
      <c r="J45" s="74" t="s">
        <v>102</v>
      </c>
      <c r="K45" s="74" t="str">
        <f t="shared" si="4"/>
        <v>p-bdp-crkml-lb-fe</v>
      </c>
      <c r="L45" s="74" t="s">
        <v>239</v>
      </c>
      <c r="M45" s="74" t="s">
        <v>241</v>
      </c>
      <c r="N45" s="74" t="s">
        <v>1056</v>
      </c>
      <c r="O45" s="74" t="s">
        <v>108</v>
      </c>
      <c r="P45" s="74" t="s">
        <v>1053</v>
      </c>
      <c r="Q45" s="84" t="str">
        <f t="shared" si="1"/>
        <v>p-bdp-crkml-lb-bp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6"/>
  <sheetViews>
    <sheetView workbookViewId="0"/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/>
      <c r="D2" s="82" t="s">
        <v>1007</v>
      </c>
      <c r="E2" s="82" t="s">
        <v>1005</v>
      </c>
      <c r="F2" s="51" t="str">
        <f t="shared" ref="F2:F52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/>
      <c r="D3" s="74" t="s">
        <v>1007</v>
      </c>
      <c r="E3" s="74" t="s">
        <v>1063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/>
      <c r="D4" s="82" t="s">
        <v>1007</v>
      </c>
      <c r="E4" s="82" t="s">
        <v>1064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/>
      <c r="D5" s="74" t="s">
        <v>1007</v>
      </c>
      <c r="E5" s="74" t="s">
        <v>967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/>
      <c r="D6" s="74" t="s">
        <v>1007</v>
      </c>
      <c r="E6" s="74" t="s">
        <v>967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/>
      <c r="D7" s="74" t="s">
        <v>1007</v>
      </c>
      <c r="E7" s="74" t="s">
        <v>967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/>
      <c r="D8" s="82" t="s">
        <v>1007</v>
      </c>
      <c r="E8" s="82" t="s">
        <v>1065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/>
      <c r="D9" s="74" t="s">
        <v>1007</v>
      </c>
      <c r="E9" s="74" t="s">
        <v>969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/>
      <c r="D10" s="82" t="s">
        <v>1007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/>
      <c r="D11" s="74" t="s">
        <v>1007</v>
      </c>
      <c r="E11" s="74" t="s">
        <v>971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/>
      <c r="D12" s="82" t="s">
        <v>1007</v>
      </c>
      <c r="E12" s="82" t="s">
        <v>1066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/>
      <c r="D13" s="74" t="s">
        <v>1007</v>
      </c>
      <c r="E13" s="74" t="s">
        <v>973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/>
      <c r="D14" s="74" t="s">
        <v>1007</v>
      </c>
      <c r="E14" s="74" t="s">
        <v>973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/>
      <c r="D15" s="82" t="s">
        <v>1007</v>
      </c>
      <c r="E15" s="82" t="s">
        <v>1078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/>
      <c r="D16" s="74" t="s">
        <v>1007</v>
      </c>
      <c r="E16" s="74" t="s">
        <v>975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/>
      <c r="D17" s="82" t="s">
        <v>1007</v>
      </c>
      <c r="E17" s="82" t="s">
        <v>1067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/>
      <c r="D18" s="82" t="s">
        <v>1007</v>
      </c>
      <c r="E18" s="82" t="s">
        <v>1067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/>
      <c r="D19" s="74" t="s">
        <v>1007</v>
      </c>
      <c r="E19" s="74" t="s">
        <v>977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/>
      <c r="D20" s="82" t="s">
        <v>1008</v>
      </c>
      <c r="E20" s="82" t="s">
        <v>1068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/>
      <c r="D21" s="74" t="s">
        <v>1008</v>
      </c>
      <c r="E21" s="74" t="s">
        <v>979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/>
      <c r="D22" s="74" t="s">
        <v>1008</v>
      </c>
      <c r="E22" s="74" t="s">
        <v>979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/>
      <c r="D23" s="82" t="s">
        <v>1008</v>
      </c>
      <c r="E23" s="82" t="s">
        <v>1069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/>
      <c r="D24" s="82" t="s">
        <v>1008</v>
      </c>
      <c r="E24" s="82" t="s">
        <v>1069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/>
      <c r="D25" s="74" t="s">
        <v>1008</v>
      </c>
      <c r="E25" s="74" t="s">
        <v>981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/>
      <c r="D26" s="74" t="s">
        <v>1008</v>
      </c>
      <c r="E26" s="74" t="s">
        <v>981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1008</v>
      </c>
      <c r="E27" s="82" t="s">
        <v>1111</v>
      </c>
      <c r="F27" s="51" t="str">
        <f t="shared" si="0"/>
        <v>p-dtg-mq-lb01-pb1883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1008</v>
      </c>
      <c r="E28" s="82" t="s">
        <v>1111</v>
      </c>
      <c r="F28" s="51" t="str">
        <f t="shared" ref="F28:F29" si="5">SUBSTITUTE(E28, "hazr-", "")&amp;"-pb"&amp;H28</f>
        <v>p-dtg-mq-lb01-pb1884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114" t="s">
        <v>23</v>
      </c>
      <c r="C29" s="114" t="str" cm="1">
        <f t="array" ref="C29">UPPER(INDEX(_xlfn.TEXTSPLIT($D29, "-"), 3))</f>
        <v>DTG</v>
      </c>
      <c r="D29" s="114" t="s">
        <v>1008</v>
      </c>
      <c r="E29" s="114" t="s">
        <v>1117</v>
      </c>
      <c r="F29" s="115" t="str">
        <f t="shared" si="5"/>
        <v>p-dtg-mq-lb02-pb1883</v>
      </c>
      <c r="G29" s="114" t="s">
        <v>57</v>
      </c>
      <c r="H29" s="114">
        <v>1883</v>
      </c>
      <c r="I29" s="114"/>
      <c r="J29" s="114">
        <v>5</v>
      </c>
      <c r="K29" s="114">
        <v>2</v>
      </c>
    </row>
    <row r="30" spans="1:11" x14ac:dyDescent="0.3">
      <c r="A30" s="90"/>
      <c r="B30" s="114" t="s">
        <v>23</v>
      </c>
      <c r="C30" s="114" t="str" cm="1">
        <f t="array" ref="C30">UPPER(INDEX(_xlfn.TEXTSPLIT($D30, "-"), 3))</f>
        <v>DTG</v>
      </c>
      <c r="D30" s="114" t="s">
        <v>1008</v>
      </c>
      <c r="E30" s="114" t="s">
        <v>1117</v>
      </c>
      <c r="F30" s="115" t="str">
        <f t="shared" ref="F30:F32" si="6">SUBSTITUTE(E30, "hazr-", "")&amp;"-pb"&amp;H30</f>
        <v>p-dtg-mq-lb02-pb1884</v>
      </c>
      <c r="G30" s="114" t="s">
        <v>57</v>
      </c>
      <c r="H30" s="114">
        <v>1884</v>
      </c>
      <c r="I30" s="114"/>
      <c r="J30" s="114">
        <v>5</v>
      </c>
      <c r="K30" s="114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1008</v>
      </c>
      <c r="E31" s="82" t="s">
        <v>1116</v>
      </c>
      <c r="F31" s="51" t="str">
        <f t="shared" si="6"/>
        <v>p-dtg-mq-lb03-pb1883</v>
      </c>
      <c r="G31" s="82" t="s">
        <v>57</v>
      </c>
      <c r="H31" s="82">
        <v>1883</v>
      </c>
      <c r="I31" s="82"/>
      <c r="J31" s="82">
        <v>5</v>
      </c>
      <c r="K31" s="82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1008</v>
      </c>
      <c r="E32" s="82" t="s">
        <v>1116</v>
      </c>
      <c r="F32" s="51" t="str">
        <f t="shared" si="6"/>
        <v>p-dtg-mq-lb03-pb1884</v>
      </c>
      <c r="G32" s="82" t="s">
        <v>57</v>
      </c>
      <c r="H32" s="82">
        <v>1884</v>
      </c>
      <c r="I32" s="82"/>
      <c r="J32" s="82">
        <v>5</v>
      </c>
      <c r="K32" s="82">
        <v>2</v>
      </c>
    </row>
    <row r="33" spans="1:11" x14ac:dyDescent="0.3">
      <c r="A33" s="90"/>
      <c r="B33" s="74" t="s">
        <v>23</v>
      </c>
      <c r="C33" s="74"/>
      <c r="D33" s="74" t="s">
        <v>1008</v>
      </c>
      <c r="E33" s="74" t="s">
        <v>982</v>
      </c>
      <c r="F33" s="50" t="str">
        <f t="shared" si="0"/>
        <v>p-dtg-admweb-lb-pb8088</v>
      </c>
      <c r="G33" s="74" t="s">
        <v>57</v>
      </c>
      <c r="H33" s="74">
        <v>8088</v>
      </c>
      <c r="I33" s="74"/>
      <c r="J33" s="74">
        <v>5</v>
      </c>
      <c r="K33" s="74">
        <v>2</v>
      </c>
    </row>
    <row r="34" spans="1:11" x14ac:dyDescent="0.3">
      <c r="A34" s="90"/>
      <c r="B34" s="82" t="s">
        <v>23</v>
      </c>
      <c r="C34" s="82"/>
      <c r="D34" s="82" t="s">
        <v>1008</v>
      </c>
      <c r="E34" s="82" t="s">
        <v>1070</v>
      </c>
      <c r="F34" s="51" t="str">
        <f t="shared" si="0"/>
        <v>p-dtg-admap-lb-pb8085</v>
      </c>
      <c r="G34" s="82" t="s">
        <v>57</v>
      </c>
      <c r="H34" s="82">
        <v>8085</v>
      </c>
      <c r="I34" s="82"/>
      <c r="J34" s="82">
        <v>5</v>
      </c>
      <c r="K34" s="82">
        <v>2</v>
      </c>
    </row>
    <row r="35" spans="1:11" x14ac:dyDescent="0.3">
      <c r="A35" s="90"/>
      <c r="B35" s="82" t="s">
        <v>23</v>
      </c>
      <c r="C35" s="82"/>
      <c r="D35" s="82" t="s">
        <v>1008</v>
      </c>
      <c r="E35" s="82" t="s">
        <v>1070</v>
      </c>
      <c r="F35" s="51" t="str">
        <f t="shared" ref="F35" si="7">SUBSTITUTE(E35, "hazr-", "")&amp;"-pb"&amp;H35</f>
        <v>p-dtg-admap-lb-pb8087</v>
      </c>
      <c r="G35" s="82" t="s">
        <v>57</v>
      </c>
      <c r="H35" s="82">
        <v>8087</v>
      </c>
      <c r="I35" s="82"/>
      <c r="J35" s="82">
        <v>5</v>
      </c>
      <c r="K35" s="82">
        <v>2</v>
      </c>
    </row>
    <row r="36" spans="1:11" x14ac:dyDescent="0.3">
      <c r="A36" s="90"/>
      <c r="B36" s="74" t="s">
        <v>23</v>
      </c>
      <c r="C36" s="74"/>
      <c r="D36" s="74" t="s">
        <v>1008</v>
      </c>
      <c r="E36" s="74" t="s">
        <v>984</v>
      </c>
      <c r="F36" s="50" t="str">
        <f t="shared" si="0"/>
        <v>p-dtg-web-lb-pb8080</v>
      </c>
      <c r="G36" s="74" t="s">
        <v>57</v>
      </c>
      <c r="H36" s="74">
        <v>8080</v>
      </c>
      <c r="I36" s="74"/>
      <c r="J36" s="74">
        <v>5</v>
      </c>
      <c r="K36" s="74">
        <v>2</v>
      </c>
    </row>
    <row r="37" spans="1:11" x14ac:dyDescent="0.3">
      <c r="A37" s="90"/>
      <c r="B37" s="74" t="s">
        <v>23</v>
      </c>
      <c r="C37" s="74"/>
      <c r="D37" s="74" t="s">
        <v>1008</v>
      </c>
      <c r="E37" s="74" t="s">
        <v>984</v>
      </c>
      <c r="F37" s="50" t="str">
        <f t="shared" ref="F37" si="8">SUBSTITUTE(E37, "hazr-", "")&amp;"-pb"&amp;H37</f>
        <v>p-dtg-web-lb-pb8081</v>
      </c>
      <c r="G37" s="74" t="s">
        <v>57</v>
      </c>
      <c r="H37" s="74">
        <v>8081</v>
      </c>
      <c r="I37" s="74"/>
      <c r="J37" s="74">
        <v>5</v>
      </c>
      <c r="K37" s="74">
        <v>2</v>
      </c>
    </row>
    <row r="38" spans="1:11" x14ac:dyDescent="0.3">
      <c r="A38" s="90"/>
      <c r="B38" s="82" t="s">
        <v>23</v>
      </c>
      <c r="C38" s="82"/>
      <c r="D38" s="82" t="s">
        <v>1008</v>
      </c>
      <c r="E38" s="82" t="s">
        <v>1071</v>
      </c>
      <c r="F38" s="51" t="str">
        <f t="shared" si="0"/>
        <v>p-dtg-cdmlap-lb-pb3000</v>
      </c>
      <c r="G38" s="82" t="s">
        <v>57</v>
      </c>
      <c r="H38" s="82">
        <v>3000</v>
      </c>
      <c r="I38" s="82"/>
      <c r="J38" s="82">
        <v>5</v>
      </c>
      <c r="K38" s="82">
        <v>2</v>
      </c>
    </row>
    <row r="39" spans="1:11" x14ac:dyDescent="0.3">
      <c r="A39" s="90"/>
      <c r="B39" s="74" t="s">
        <v>23</v>
      </c>
      <c r="C39" s="74"/>
      <c r="D39" s="74" t="s">
        <v>1008</v>
      </c>
      <c r="E39" s="74" t="s">
        <v>986</v>
      </c>
      <c r="F39" s="50" t="str">
        <f t="shared" si="0"/>
        <v>p-dtg-cdstap-lb-pb9305</v>
      </c>
      <c r="G39" s="74" t="s">
        <v>57</v>
      </c>
      <c r="H39" s="74">
        <v>9305</v>
      </c>
      <c r="I39" s="74"/>
      <c r="J39" s="74">
        <v>5</v>
      </c>
      <c r="K39" s="74">
        <v>2</v>
      </c>
    </row>
    <row r="40" spans="1:11" x14ac:dyDescent="0.3">
      <c r="A40" s="90"/>
      <c r="B40" s="74" t="s">
        <v>23</v>
      </c>
      <c r="C40" s="74"/>
      <c r="D40" s="74" t="s">
        <v>1008</v>
      </c>
      <c r="E40" s="74" t="s">
        <v>986</v>
      </c>
      <c r="F40" s="50" t="str">
        <f t="shared" ref="F40" si="9">SUBSTITUTE(E40, "hazr-", "")&amp;"-pb"&amp;H40</f>
        <v>p-dtg-cdstap-lb-pb9306</v>
      </c>
      <c r="G40" s="74" t="s">
        <v>57</v>
      </c>
      <c r="H40" s="74">
        <v>9306</v>
      </c>
      <c r="I40" s="74"/>
      <c r="J40" s="74">
        <v>5</v>
      </c>
      <c r="K40" s="74">
        <v>2</v>
      </c>
    </row>
    <row r="41" spans="1:11" x14ac:dyDescent="0.3">
      <c r="A41" s="90"/>
      <c r="B41" s="82" t="s">
        <v>23</v>
      </c>
      <c r="C41" s="82"/>
      <c r="D41" s="82" t="s">
        <v>1008</v>
      </c>
      <c r="E41" s="82" t="s">
        <v>1072</v>
      </c>
      <c r="F41" s="51" t="str">
        <f t="shared" si="0"/>
        <v>p-dtg-cdsvadm-lb-pb9100</v>
      </c>
      <c r="G41" s="82" t="s">
        <v>57</v>
      </c>
      <c r="H41" s="82">
        <v>9100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/>
      <c r="D42" s="82" t="s">
        <v>1008</v>
      </c>
      <c r="E42" s="82" t="s">
        <v>1072</v>
      </c>
      <c r="F42" s="51" t="str">
        <f t="shared" ref="F42:F45" si="10">SUBSTITUTE(E42, "hazr-", "")&amp;"-pb"&amp;H42</f>
        <v>p-dtg-cdsvadm-lb-pb9300</v>
      </c>
      <c r="G42" s="82" t="s">
        <v>57</v>
      </c>
      <c r="H42" s="82">
        <v>9300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/>
      <c r="D43" s="82" t="s">
        <v>1008</v>
      </c>
      <c r="E43" s="82" t="s">
        <v>1072</v>
      </c>
      <c r="F43" s="51" t="str">
        <f t="shared" si="10"/>
        <v>p-dtg-cdsvadm-lb-pb9105</v>
      </c>
      <c r="G43" s="82" t="s">
        <v>57</v>
      </c>
      <c r="H43" s="82">
        <v>9105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/>
      <c r="D44" s="82" t="s">
        <v>1008</v>
      </c>
      <c r="E44" s="82" t="s">
        <v>1072</v>
      </c>
      <c r="F44" s="51" t="str">
        <f t="shared" si="10"/>
        <v>p-dtg-cdsvadm-lb-pb9003</v>
      </c>
      <c r="G44" s="82" t="s">
        <v>57</v>
      </c>
      <c r="H44" s="82">
        <v>9003</v>
      </c>
      <c r="I44" s="82"/>
      <c r="J44" s="82">
        <v>5</v>
      </c>
      <c r="K44" s="82">
        <v>2</v>
      </c>
    </row>
    <row r="45" spans="1:11" x14ac:dyDescent="0.3">
      <c r="A45" s="90"/>
      <c r="B45" s="82" t="s">
        <v>23</v>
      </c>
      <c r="C45" s="82"/>
      <c r="D45" s="82" t="s">
        <v>1008</v>
      </c>
      <c r="E45" s="82" t="s">
        <v>1072</v>
      </c>
      <c r="F45" s="51" t="str">
        <f t="shared" si="10"/>
        <v>p-dtg-cdsvadm-lb-pb8088</v>
      </c>
      <c r="G45" s="82" t="s">
        <v>57</v>
      </c>
      <c r="H45" s="82">
        <v>8088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/>
      <c r="D46" s="74" t="s">
        <v>1008</v>
      </c>
      <c r="E46" s="74" t="s">
        <v>988</v>
      </c>
      <c r="F46" s="50" t="str">
        <f t="shared" si="0"/>
        <v>p-dtg-diosap-lb-pb8080</v>
      </c>
      <c r="G46" s="74" t="s">
        <v>57</v>
      </c>
      <c r="H46" s="74">
        <v>8080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/>
      <c r="D47" s="82" t="s">
        <v>1008</v>
      </c>
      <c r="E47" s="82" t="s">
        <v>1073</v>
      </c>
      <c r="F47" s="51" t="str">
        <f t="shared" si="0"/>
        <v>p-dtg-diosweb-lb-pb443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/>
      <c r="D48" s="74" t="s">
        <v>1008</v>
      </c>
      <c r="E48" s="74" t="s">
        <v>990</v>
      </c>
      <c r="F48" s="50" t="str">
        <f t="shared" si="0"/>
        <v>p-dtg-dprweb-lb-pb443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/>
      <c r="D49" s="82" t="s">
        <v>1008</v>
      </c>
      <c r="E49" s="82" t="s">
        <v>1074</v>
      </c>
      <c r="F49" s="51" t="str">
        <f t="shared" si="0"/>
        <v>p-dtg-dprap-lb-pb8082</v>
      </c>
      <c r="G49" s="82" t="s">
        <v>57</v>
      </c>
      <c r="H49" s="82">
        <v>8082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/>
      <c r="D50" s="74" t="s">
        <v>1009</v>
      </c>
      <c r="E50" s="74" t="s">
        <v>992</v>
      </c>
      <c r="F50" s="50" t="str">
        <f t="shared" si="0"/>
        <v>p-bdp-cxmadm-lb-pb443</v>
      </c>
      <c r="G50" s="74" t="s">
        <v>57</v>
      </c>
      <c r="H50" s="74">
        <v>443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/>
      <c r="D51" s="82" t="s">
        <v>1009</v>
      </c>
      <c r="E51" s="82" t="s">
        <v>1075</v>
      </c>
      <c r="F51" s="51" t="str">
        <f t="shared" si="0"/>
        <v>p-bdp-slap-lb-pb443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74" t="s">
        <v>23</v>
      </c>
      <c r="C52" s="74"/>
      <c r="D52" s="74" t="s">
        <v>1010</v>
      </c>
      <c r="E52" s="74" t="s">
        <v>994</v>
      </c>
      <c r="F52" s="50" t="str">
        <f t="shared" si="0"/>
        <v>p-if-auth-lb-pb8088</v>
      </c>
      <c r="G52" s="74" t="s">
        <v>57</v>
      </c>
      <c r="H52" s="74">
        <v>8088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/>
      <c r="D53" s="74" t="s">
        <v>1010</v>
      </c>
      <c r="E53" s="74" t="s">
        <v>994</v>
      </c>
      <c r="F53" s="50" t="str">
        <f t="shared" ref="F53:F54" si="11">SUBSTITUTE(E53, "hazr-", "")&amp;"-pb"&amp;H53</f>
        <v>p-if-auth-lb-pb9003</v>
      </c>
      <c r="G53" s="74" t="s">
        <v>57</v>
      </c>
      <c r="H53" s="74">
        <v>9003</v>
      </c>
      <c r="I53" s="74"/>
      <c r="J53" s="74">
        <v>5</v>
      </c>
      <c r="K53" s="74">
        <v>2</v>
      </c>
    </row>
    <row r="54" spans="1:11" x14ac:dyDescent="0.3">
      <c r="A54" s="90"/>
      <c r="B54" s="74" t="s">
        <v>23</v>
      </c>
      <c r="C54" s="74"/>
      <c r="D54" s="74" t="s">
        <v>1010</v>
      </c>
      <c r="E54" s="74" t="s">
        <v>994</v>
      </c>
      <c r="F54" s="50" t="str">
        <f t="shared" si="11"/>
        <v>p-if-auth-lb-pb9005</v>
      </c>
      <c r="G54" s="74" t="s">
        <v>57</v>
      </c>
      <c r="H54" s="74">
        <v>9005</v>
      </c>
      <c r="I54" s="74"/>
      <c r="J54" s="74">
        <v>5</v>
      </c>
      <c r="K54" s="74">
        <v>2</v>
      </c>
    </row>
    <row r="55" spans="1:11" x14ac:dyDescent="0.3">
      <c r="A55" s="90"/>
      <c r="B55" s="82" t="s">
        <v>23</v>
      </c>
      <c r="C55" s="82"/>
      <c r="D55" s="82" t="s">
        <v>1010</v>
      </c>
      <c r="E55" s="82" t="s">
        <v>1077</v>
      </c>
      <c r="F55" s="51" t="str">
        <f t="shared" ref="F55:F66" si="12">SUBSTITUTE(E55, "hazr-", "")&amp;"-pb"&amp;H55</f>
        <v>p-if-proxy-lb-pb443</v>
      </c>
      <c r="G55" s="82" t="s">
        <v>57</v>
      </c>
      <c r="H55" s="82">
        <v>443</v>
      </c>
      <c r="I55" s="82"/>
      <c r="J55" s="82">
        <v>5</v>
      </c>
      <c r="K55" s="82">
        <v>2</v>
      </c>
    </row>
    <row r="56" spans="1:11" x14ac:dyDescent="0.3">
      <c r="A56" s="90"/>
      <c r="B56" s="82" t="s">
        <v>23</v>
      </c>
      <c r="C56" s="82"/>
      <c r="D56" s="82" t="s">
        <v>1010</v>
      </c>
      <c r="E56" s="82" t="s">
        <v>1077</v>
      </c>
      <c r="F56" s="51" t="str">
        <f t="shared" ref="F56" si="13">SUBSTITUTE(E56, "hazr-", "")&amp;"-pb"&amp;H56</f>
        <v>p-if-proxy-lb-pb8080</v>
      </c>
      <c r="G56" s="82" t="s">
        <v>1076</v>
      </c>
      <c r="H56" s="82">
        <v>8080</v>
      </c>
      <c r="I56" s="82"/>
      <c r="J56" s="82"/>
      <c r="K56" s="82"/>
    </row>
    <row r="57" spans="1:11" x14ac:dyDescent="0.3">
      <c r="B57" s="102" t="s">
        <v>1080</v>
      </c>
      <c r="C57" s="102"/>
      <c r="D57" s="102" t="s">
        <v>1011</v>
      </c>
      <c r="E57" s="102" t="s">
        <v>996</v>
      </c>
      <c r="F57" s="104" t="str">
        <f t="shared" si="12"/>
        <v>p-cs-chtap-lb-pb?</v>
      </c>
      <c r="G57" s="102" t="s">
        <v>57</v>
      </c>
      <c r="H57" s="102" t="s">
        <v>1079</v>
      </c>
      <c r="I57" s="102"/>
      <c r="J57" s="102">
        <v>5</v>
      </c>
      <c r="K57" s="102">
        <v>2</v>
      </c>
    </row>
    <row r="58" spans="1:11" x14ac:dyDescent="0.3">
      <c r="B58" s="102" t="s">
        <v>1080</v>
      </c>
      <c r="C58" s="102"/>
      <c r="D58" s="102" t="s">
        <v>1011</v>
      </c>
      <c r="E58" s="102" t="s">
        <v>1081</v>
      </c>
      <c r="F58" s="104" t="str">
        <f t="shared" si="12"/>
        <v>p-cs-chtweb-lb-pb?</v>
      </c>
      <c r="G58" s="102" t="s">
        <v>57</v>
      </c>
      <c r="H58" s="102" t="s">
        <v>1079</v>
      </c>
      <c r="I58" s="102"/>
      <c r="J58" s="102">
        <v>5</v>
      </c>
      <c r="K58" s="102">
        <v>2</v>
      </c>
    </row>
    <row r="59" spans="1:11" x14ac:dyDescent="0.3">
      <c r="B59" s="102" t="s">
        <v>1080</v>
      </c>
      <c r="C59" s="102"/>
      <c r="D59" s="102" t="s">
        <v>1011</v>
      </c>
      <c r="E59" s="102" t="s">
        <v>998</v>
      </c>
      <c r="F59" s="104" t="str">
        <f t="shared" si="12"/>
        <v>p-cs-chtintweb-lb-pb?</v>
      </c>
      <c r="G59" s="102" t="s">
        <v>57</v>
      </c>
      <c r="H59" s="102" t="s">
        <v>1079</v>
      </c>
      <c r="I59" s="102"/>
      <c r="J59" s="102">
        <v>5</v>
      </c>
      <c r="K59" s="102">
        <v>2</v>
      </c>
    </row>
    <row r="60" spans="1:11" x14ac:dyDescent="0.3">
      <c r="B60" s="102" t="s">
        <v>1080</v>
      </c>
      <c r="C60" s="102"/>
      <c r="D60" s="102" t="s">
        <v>1012</v>
      </c>
      <c r="E60" s="102" t="s">
        <v>1082</v>
      </c>
      <c r="F60" s="104" t="str">
        <f t="shared" si="12"/>
        <v>p-doip-web-lb-pb?</v>
      </c>
      <c r="G60" s="102" t="s">
        <v>57</v>
      </c>
      <c r="H60" s="102" t="s">
        <v>1079</v>
      </c>
      <c r="I60" s="102"/>
      <c r="J60" s="102">
        <v>5</v>
      </c>
      <c r="K60" s="102">
        <v>2</v>
      </c>
    </row>
    <row r="61" spans="1:11" x14ac:dyDescent="0.3">
      <c r="B61" s="102" t="s">
        <v>1080</v>
      </c>
      <c r="C61" s="102"/>
      <c r="D61" s="102" t="s">
        <v>1012</v>
      </c>
      <c r="E61" s="102" t="s">
        <v>1000</v>
      </c>
      <c r="F61" s="104" t="str">
        <f t="shared" si="12"/>
        <v>p-doip-ap-lb-pb?</v>
      </c>
      <c r="G61" s="102" t="s">
        <v>57</v>
      </c>
      <c r="H61" s="102" t="s">
        <v>1079</v>
      </c>
      <c r="I61" s="102"/>
      <c r="J61" s="102">
        <v>5</v>
      </c>
      <c r="K61" s="102">
        <v>2</v>
      </c>
    </row>
    <row r="62" spans="1:11" x14ac:dyDescent="0.3">
      <c r="B62" s="102" t="s">
        <v>1080</v>
      </c>
      <c r="C62" s="102"/>
      <c r="D62" s="102" t="s">
        <v>1012</v>
      </c>
      <c r="E62" s="102" t="s">
        <v>1083</v>
      </c>
      <c r="F62" s="104" t="str">
        <f t="shared" si="12"/>
        <v>p-doip-adm-lb-pb?</v>
      </c>
      <c r="G62" s="102" t="s">
        <v>57</v>
      </c>
      <c r="H62" s="102" t="s">
        <v>1079</v>
      </c>
      <c r="I62" s="102"/>
      <c r="J62" s="102">
        <v>5</v>
      </c>
      <c r="K62" s="102">
        <v>2</v>
      </c>
    </row>
    <row r="63" spans="1:11" x14ac:dyDescent="0.3">
      <c r="A63" s="90"/>
      <c r="B63" s="74" t="s">
        <v>23</v>
      </c>
      <c r="C63" s="74"/>
      <c r="D63" s="74" t="s">
        <v>1009</v>
      </c>
      <c r="E63" s="74" t="s">
        <v>1002</v>
      </c>
      <c r="F63" s="50" t="str">
        <f t="shared" si="12"/>
        <v>p-bdp-crkweb-lb-pb443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/>
      <c r="D64" s="74" t="s">
        <v>1009</v>
      </c>
      <c r="E64" s="74" t="s">
        <v>1002</v>
      </c>
      <c r="F64" s="50" t="str">
        <f t="shared" ref="F64" si="14">SUBSTITUTE(E64, "hazr-", "")&amp;"-pb"&amp;H64</f>
        <v>p-bdp-crkweb-lb-pb8080</v>
      </c>
      <c r="G64" s="74" t="s">
        <v>57</v>
      </c>
      <c r="H64" s="74">
        <v>8080</v>
      </c>
      <c r="I64" s="74"/>
      <c r="J64" s="74"/>
      <c r="K64" s="74"/>
    </row>
    <row r="65" spans="1:11" x14ac:dyDescent="0.3">
      <c r="A65" s="90"/>
      <c r="B65" s="82" t="s">
        <v>23</v>
      </c>
      <c r="C65" s="82"/>
      <c r="D65" s="82" t="s">
        <v>1009</v>
      </c>
      <c r="E65" s="82" t="s">
        <v>1003</v>
      </c>
      <c r="F65" s="51" t="str">
        <f t="shared" si="12"/>
        <v>p-bdp-crkap-lb-pb8085</v>
      </c>
      <c r="G65" s="82" t="s">
        <v>57</v>
      </c>
      <c r="H65" s="82">
        <v>8085</v>
      </c>
      <c r="I65" s="82"/>
      <c r="J65" s="82">
        <v>5</v>
      </c>
      <c r="K65" s="82">
        <v>2</v>
      </c>
    </row>
    <row r="66" spans="1:11" x14ac:dyDescent="0.3">
      <c r="A66" s="90"/>
      <c r="B66" s="74" t="s">
        <v>23</v>
      </c>
      <c r="C66" s="74"/>
      <c r="D66" s="74" t="s">
        <v>1009</v>
      </c>
      <c r="E66" s="74" t="s">
        <v>1004</v>
      </c>
      <c r="F66" s="50" t="str">
        <f t="shared" si="12"/>
        <v>p-bdp-crkml-lb-pb8082</v>
      </c>
      <c r="G66" s="74" t="s">
        <v>57</v>
      </c>
      <c r="H66" s="74">
        <v>8082</v>
      </c>
      <c r="I66" s="74"/>
      <c r="J66" s="74">
        <v>5</v>
      </c>
      <c r="K66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6"/>
  <sheetViews>
    <sheetView workbookViewId="0">
      <selection activeCell="B1" sqref="B1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128</v>
      </c>
      <c r="K1" s="76" t="s">
        <v>110</v>
      </c>
      <c r="L1" s="77" t="s">
        <v>119</v>
      </c>
      <c r="M1" s="91" t="s">
        <v>112</v>
      </c>
      <c r="N1" s="77" t="s">
        <v>238</v>
      </c>
      <c r="O1" s="72" t="s">
        <v>237</v>
      </c>
      <c r="P1" s="91" t="s">
        <v>121</v>
      </c>
      <c r="Q1" s="77" t="s">
        <v>122</v>
      </c>
      <c r="R1" s="91" t="s">
        <v>127</v>
      </c>
      <c r="S1" s="91" t="s">
        <v>120</v>
      </c>
    </row>
    <row r="2" spans="1:19" x14ac:dyDescent="0.3">
      <c r="A2" s="90"/>
      <c r="B2" s="82" t="s">
        <v>23</v>
      </c>
      <c r="C2" s="82"/>
      <c r="D2" s="82" t="s">
        <v>1007</v>
      </c>
      <c r="E2" s="82" t="s">
        <v>1005</v>
      </c>
      <c r="F2" s="82" t="str">
        <f t="shared" ref="F2:F20" si="0">SUBSTITUTE(E2, "hazr-", "")&amp;"-rule"&amp;O2</f>
        <v>p-dis-ap-lb-rule8080</v>
      </c>
      <c r="G2" s="82" t="str">
        <f t="shared" ref="G2:G37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7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/>
      <c r="D3" s="74" t="s">
        <v>1007</v>
      </c>
      <c r="E3" s="74" t="s">
        <v>1063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/>
      <c r="D4" s="82" t="s">
        <v>1007</v>
      </c>
      <c r="E4" s="82" t="s">
        <v>1064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/>
      <c r="D5" s="74" t="s">
        <v>1007</v>
      </c>
      <c r="E5" s="74" t="s">
        <v>967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/>
      <c r="D6" s="74" t="s">
        <v>1007</v>
      </c>
      <c r="E6" s="74" t="s">
        <v>967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/>
      <c r="D7" s="74" t="s">
        <v>1007</v>
      </c>
      <c r="E7" s="74" t="s">
        <v>967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/>
      <c r="D8" s="82" t="s">
        <v>1007</v>
      </c>
      <c r="E8" s="82" t="s">
        <v>1065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/>
      <c r="D9" s="74" t="s">
        <v>1007</v>
      </c>
      <c r="E9" s="74" t="s">
        <v>969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/>
      <c r="D10" s="82" t="s">
        <v>1007</v>
      </c>
      <c r="E10" s="82" t="s">
        <v>226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/>
      <c r="D11" s="74" t="s">
        <v>1007</v>
      </c>
      <c r="E11" s="74" t="s">
        <v>971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/>
      <c r="D12" s="82" t="s">
        <v>1007</v>
      </c>
      <c r="E12" s="82" t="s">
        <v>1066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/>
      <c r="D13" s="74" t="s">
        <v>1007</v>
      </c>
      <c r="E13" s="74" t="s">
        <v>973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/>
      <c r="D14" s="74" t="s">
        <v>1007</v>
      </c>
      <c r="E14" s="74" t="s">
        <v>973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/>
      <c r="D15" s="82" t="s">
        <v>1007</v>
      </c>
      <c r="E15" s="82" t="s">
        <v>1078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/>
      <c r="D16" s="74" t="s">
        <v>1007</v>
      </c>
      <c r="E16" s="74" t="s">
        <v>975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/>
      <c r="D17" s="82" t="s">
        <v>1007</v>
      </c>
      <c r="E17" s="82" t="s">
        <v>1067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/>
      <c r="D18" s="82" t="s">
        <v>1007</v>
      </c>
      <c r="E18" s="82" t="s">
        <v>1067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/>
      <c r="D19" s="74" t="s">
        <v>1007</v>
      </c>
      <c r="E19" s="74" t="s">
        <v>977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/>
      <c r="D20" s="82" t="s">
        <v>1008</v>
      </c>
      <c r="E20" s="82" t="s">
        <v>1068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/>
      <c r="D21" s="74" t="s">
        <v>1008</v>
      </c>
      <c r="E21" s="74" t="s">
        <v>979</v>
      </c>
      <c r="F21" s="74" t="str">
        <f t="shared" ref="F21:F34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4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/>
      <c r="D22" s="74" t="s">
        <v>1008</v>
      </c>
      <c r="E22" s="74" t="s">
        <v>979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/>
      <c r="D23" s="82" t="s">
        <v>1008</v>
      </c>
      <c r="E23" s="82" t="s">
        <v>1069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/>
      <c r="D24" s="82" t="s">
        <v>1008</v>
      </c>
      <c r="E24" s="82" t="s">
        <v>1069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/>
      <c r="D25" s="74" t="s">
        <v>1008</v>
      </c>
      <c r="E25" s="74" t="s">
        <v>981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/>
      <c r="D26" s="74" t="s">
        <v>1008</v>
      </c>
      <c r="E26" s="74" t="s">
        <v>981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1008</v>
      </c>
      <c r="E27" s="82" t="s">
        <v>1111</v>
      </c>
      <c r="F27" s="82" t="str">
        <f t="shared" si="4"/>
        <v>p-dtg-mq-lb01-rule1883</v>
      </c>
      <c r="G27" s="82" t="str">
        <f t="shared" si="1"/>
        <v>p-dtg-mq-lb01-fe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p-dtg-mq-lb01-bp</v>
      </c>
      <c r="L27" s="82">
        <v>1883</v>
      </c>
      <c r="M27" s="82" t="str">
        <f t="shared" si="5"/>
        <v>p-dtg-mq-lb01-pb1883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1008</v>
      </c>
      <c r="E28" s="82" t="s">
        <v>1111</v>
      </c>
      <c r="F28" s="82" t="str">
        <f t="shared" si="4"/>
        <v>p-dtg-mq-lb01-rule1884</v>
      </c>
      <c r="G28" s="82" t="str">
        <f t="shared" si="1"/>
        <v>p-dtg-mq-lb01-fe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p-dtg-mq-lb01-bp</v>
      </c>
      <c r="L28" s="82">
        <v>1884</v>
      </c>
      <c r="M28" s="82" t="str">
        <f t="shared" si="5"/>
        <v>p-dtg-mq-lb01-pb1884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114" t="s">
        <v>23</v>
      </c>
      <c r="C29" s="114" t="str" cm="1">
        <f t="array" ref="C29">UPPER(INDEX(_xlfn.TEXTSPLIT($D29, "-"), 3))</f>
        <v>DTG</v>
      </c>
      <c r="D29" s="114" t="s">
        <v>1008</v>
      </c>
      <c r="E29" s="114" t="s">
        <v>1117</v>
      </c>
      <c r="F29" s="114" t="str">
        <f t="shared" ref="F29:F32" si="6">SUBSTITUTE(E29, "hazr-", "")&amp;"-rule"&amp;O29</f>
        <v>p-dtg-mq-lb02-rule1883</v>
      </c>
      <c r="G29" s="114" t="str">
        <f t="shared" ref="G29:G32" si="7">SUBSTITUTE(E29, "hazr-", "")&amp;"-fe"</f>
        <v>p-dtg-mq-lb02-fe</v>
      </c>
      <c r="H29" s="114" t="s">
        <v>57</v>
      </c>
      <c r="I29" s="114">
        <v>1883</v>
      </c>
      <c r="J29" s="114" t="b">
        <v>0</v>
      </c>
      <c r="K29" s="114" t="str">
        <f t="shared" ref="K29:K32" si="8">SUBSTITUTE(E29, "hazr-", "")&amp;"-bp"</f>
        <v>p-dtg-mq-lb02-bp</v>
      </c>
      <c r="L29" s="114">
        <v>1883</v>
      </c>
      <c r="M29" s="114" t="str">
        <f t="shared" ref="M29:M32" si="9">SUBSTITUTE(E29, "hazr-", "")&amp;"-pb"&amp;IF(O29="", "", O29)</f>
        <v>p-dtg-mq-lb02-pb1883</v>
      </c>
      <c r="N29" s="114" t="s">
        <v>57</v>
      </c>
      <c r="O29" s="114">
        <v>1883</v>
      </c>
      <c r="P29" s="114">
        <v>4</v>
      </c>
      <c r="Q29" s="114" t="s">
        <v>123</v>
      </c>
      <c r="R29" s="114" t="b">
        <v>1</v>
      </c>
      <c r="S29" s="114" t="b">
        <v>0</v>
      </c>
    </row>
    <row r="30" spans="1:19" x14ac:dyDescent="0.3">
      <c r="A30" s="90"/>
      <c r="B30" s="114" t="s">
        <v>23</v>
      </c>
      <c r="C30" s="114" t="str" cm="1">
        <f t="array" ref="C30">UPPER(INDEX(_xlfn.TEXTSPLIT($D30, "-"), 3))</f>
        <v>DTG</v>
      </c>
      <c r="D30" s="114" t="s">
        <v>1008</v>
      </c>
      <c r="E30" s="114" t="s">
        <v>1117</v>
      </c>
      <c r="F30" s="114" t="str">
        <f t="shared" si="6"/>
        <v>p-dtg-mq-lb02-rule1884</v>
      </c>
      <c r="G30" s="114" t="str">
        <f t="shared" si="7"/>
        <v>p-dtg-mq-lb02-fe</v>
      </c>
      <c r="H30" s="114" t="s">
        <v>57</v>
      </c>
      <c r="I30" s="114">
        <v>1884</v>
      </c>
      <c r="J30" s="114" t="b">
        <v>0</v>
      </c>
      <c r="K30" s="114" t="str">
        <f t="shared" si="8"/>
        <v>p-dtg-mq-lb02-bp</v>
      </c>
      <c r="L30" s="114">
        <v>1884</v>
      </c>
      <c r="M30" s="114" t="str">
        <f t="shared" si="9"/>
        <v>p-dtg-mq-lb02-pb1884</v>
      </c>
      <c r="N30" s="114" t="s">
        <v>57</v>
      </c>
      <c r="O30" s="114">
        <v>1884</v>
      </c>
      <c r="P30" s="114">
        <v>4</v>
      </c>
      <c r="Q30" s="114" t="s">
        <v>123</v>
      </c>
      <c r="R30" s="114" t="b">
        <v>1</v>
      </c>
      <c r="S30" s="114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1008</v>
      </c>
      <c r="E31" s="82" t="s">
        <v>1116</v>
      </c>
      <c r="F31" s="82" t="str">
        <f t="shared" si="6"/>
        <v>p-dtg-mq-lb03-rule1883</v>
      </c>
      <c r="G31" s="82" t="str">
        <f t="shared" si="7"/>
        <v>p-dtg-mq-lb03-fe</v>
      </c>
      <c r="H31" s="82" t="s">
        <v>57</v>
      </c>
      <c r="I31" s="82">
        <v>1883</v>
      </c>
      <c r="J31" s="82" t="b">
        <v>0</v>
      </c>
      <c r="K31" s="82" t="str">
        <f t="shared" si="8"/>
        <v>p-dtg-mq-lb03-bp</v>
      </c>
      <c r="L31" s="82">
        <v>1883</v>
      </c>
      <c r="M31" s="82" t="str">
        <f t="shared" si="9"/>
        <v>p-dtg-mq-lb03-pb1883</v>
      </c>
      <c r="N31" s="82" t="s">
        <v>57</v>
      </c>
      <c r="O31" s="82">
        <v>1883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1008</v>
      </c>
      <c r="E32" s="82" t="s">
        <v>1116</v>
      </c>
      <c r="F32" s="82" t="str">
        <f t="shared" si="6"/>
        <v>p-dtg-mq-lb03-rule1884</v>
      </c>
      <c r="G32" s="82" t="str">
        <f t="shared" si="7"/>
        <v>p-dtg-mq-lb03-fe</v>
      </c>
      <c r="H32" s="82" t="s">
        <v>57</v>
      </c>
      <c r="I32" s="82">
        <v>1884</v>
      </c>
      <c r="J32" s="82" t="b">
        <v>0</v>
      </c>
      <c r="K32" s="82" t="str">
        <f t="shared" si="8"/>
        <v>p-dtg-mq-lb03-bp</v>
      </c>
      <c r="L32" s="82">
        <v>1884</v>
      </c>
      <c r="M32" s="82" t="str">
        <f t="shared" si="9"/>
        <v>p-dtg-mq-lb03-pb1884</v>
      </c>
      <c r="N32" s="82" t="s">
        <v>57</v>
      </c>
      <c r="O32" s="82">
        <v>1884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74" t="s">
        <v>23</v>
      </c>
      <c r="C33" s="74"/>
      <c r="D33" s="74" t="s">
        <v>1008</v>
      </c>
      <c r="E33" s="74" t="s">
        <v>982</v>
      </c>
      <c r="F33" s="74" t="str">
        <f t="shared" si="4"/>
        <v>p-dtg-admweb-lb-rule8088</v>
      </c>
      <c r="G33" s="74" t="str">
        <f t="shared" si="1"/>
        <v>p-dtg-admweb-lb-fe</v>
      </c>
      <c r="H33" s="74" t="s">
        <v>57</v>
      </c>
      <c r="I33" s="74">
        <v>8088</v>
      </c>
      <c r="J33" s="74" t="b">
        <v>0</v>
      </c>
      <c r="K33" s="74" t="str">
        <f t="shared" si="2"/>
        <v>p-dtg-admweb-lb-bp</v>
      </c>
      <c r="L33" s="74">
        <v>8088</v>
      </c>
      <c r="M33" s="74" t="str">
        <f t="shared" si="5"/>
        <v>p-dtg-admweb-lb-pb8088</v>
      </c>
      <c r="N33" s="74" t="s">
        <v>57</v>
      </c>
      <c r="O33" s="74">
        <v>8088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A34" s="90"/>
      <c r="B34" s="82" t="s">
        <v>23</v>
      </c>
      <c r="C34" s="82"/>
      <c r="D34" s="82" t="s">
        <v>1008</v>
      </c>
      <c r="E34" s="82" t="s">
        <v>1070</v>
      </c>
      <c r="F34" s="82" t="str">
        <f t="shared" si="4"/>
        <v>p-dtg-admap-lb-rule8085</v>
      </c>
      <c r="G34" s="82" t="str">
        <f t="shared" si="1"/>
        <v>p-dtg-admap-lb-fe</v>
      </c>
      <c r="H34" s="82" t="s">
        <v>57</v>
      </c>
      <c r="I34" s="82">
        <v>8085</v>
      </c>
      <c r="J34" s="82" t="b">
        <v>0</v>
      </c>
      <c r="K34" s="82" t="str">
        <f t="shared" si="2"/>
        <v>p-dtg-admap-lb-bp</v>
      </c>
      <c r="L34" s="82">
        <v>8085</v>
      </c>
      <c r="M34" s="82" t="str">
        <f t="shared" si="5"/>
        <v>p-dtg-admap-lb-pb8085</v>
      </c>
      <c r="N34" s="82" t="s">
        <v>57</v>
      </c>
      <c r="O34" s="82">
        <v>8085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82" t="s">
        <v>23</v>
      </c>
      <c r="C35" s="82"/>
      <c r="D35" s="82" t="s">
        <v>1008</v>
      </c>
      <c r="E35" s="82" t="s">
        <v>1070</v>
      </c>
      <c r="F35" s="82" t="str">
        <f t="shared" ref="F35:F66" si="10">SUBSTITUTE(E35, "hazr-", "")&amp;"-rule"&amp;O35</f>
        <v>p-dtg-admap-lb-rule8087</v>
      </c>
      <c r="G35" s="82" t="str">
        <f t="shared" si="1"/>
        <v>p-dtg-admap-lb-fe</v>
      </c>
      <c r="H35" s="82" t="s">
        <v>57</v>
      </c>
      <c r="I35" s="82">
        <v>8087</v>
      </c>
      <c r="J35" s="82" t="b">
        <v>0</v>
      </c>
      <c r="K35" s="82" t="str">
        <f t="shared" si="2"/>
        <v>p-dtg-admap-lb-bp</v>
      </c>
      <c r="L35" s="82">
        <v>8087</v>
      </c>
      <c r="M35" s="82" t="str">
        <f t="shared" ref="M35:M66" si="11">SUBSTITUTE(E35, "hazr-", "")&amp;"-pb"&amp;IF(O35="", "", O35)</f>
        <v>p-dtg-admap-lb-pb8087</v>
      </c>
      <c r="N35" s="82" t="s">
        <v>57</v>
      </c>
      <c r="O35" s="82">
        <v>8087</v>
      </c>
      <c r="P35" s="82">
        <v>4</v>
      </c>
      <c r="Q35" s="82" t="s">
        <v>123</v>
      </c>
      <c r="R35" s="82" t="b">
        <v>1</v>
      </c>
      <c r="S35" s="82" t="b">
        <v>0</v>
      </c>
    </row>
    <row r="36" spans="1:19" x14ac:dyDescent="0.3">
      <c r="A36" s="90"/>
      <c r="B36" s="74" t="s">
        <v>23</v>
      </c>
      <c r="C36" s="74"/>
      <c r="D36" s="74" t="s">
        <v>1008</v>
      </c>
      <c r="E36" s="74" t="s">
        <v>984</v>
      </c>
      <c r="F36" s="74" t="str">
        <f t="shared" si="10"/>
        <v>p-dtg-web-lb-rule8080</v>
      </c>
      <c r="G36" s="74" t="str">
        <f t="shared" si="1"/>
        <v>p-dtg-web-lb-fe</v>
      </c>
      <c r="H36" s="74" t="s">
        <v>57</v>
      </c>
      <c r="I36" s="74">
        <v>8080</v>
      </c>
      <c r="J36" s="74" t="b">
        <v>0</v>
      </c>
      <c r="K36" s="74" t="str">
        <f t="shared" si="2"/>
        <v>p-dtg-web-lb-bp</v>
      </c>
      <c r="L36" s="74">
        <v>8080</v>
      </c>
      <c r="M36" s="74" t="str">
        <f t="shared" si="11"/>
        <v>p-dtg-web-lb-pb8080</v>
      </c>
      <c r="N36" s="74" t="s">
        <v>57</v>
      </c>
      <c r="O36" s="74">
        <v>8080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74" t="s">
        <v>23</v>
      </c>
      <c r="C37" s="74"/>
      <c r="D37" s="74" t="s">
        <v>1008</v>
      </c>
      <c r="E37" s="74" t="s">
        <v>984</v>
      </c>
      <c r="F37" s="74" t="str">
        <f t="shared" si="10"/>
        <v>p-dtg-web-lb-rule8081</v>
      </c>
      <c r="G37" s="74" t="str">
        <f t="shared" si="1"/>
        <v>p-dtg-web-lb-fe</v>
      </c>
      <c r="H37" s="74" t="s">
        <v>57</v>
      </c>
      <c r="I37" s="74">
        <v>8081</v>
      </c>
      <c r="J37" s="74" t="b">
        <v>0</v>
      </c>
      <c r="K37" s="74" t="str">
        <f t="shared" si="2"/>
        <v>p-dtg-web-lb-bp</v>
      </c>
      <c r="L37" s="74">
        <v>8081</v>
      </c>
      <c r="M37" s="74" t="str">
        <f t="shared" si="11"/>
        <v>p-dtg-web-lb-pb8081</v>
      </c>
      <c r="N37" s="74" t="s">
        <v>57</v>
      </c>
      <c r="O37" s="74">
        <v>8081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82" t="s">
        <v>23</v>
      </c>
      <c r="C38" s="82"/>
      <c r="D38" s="82" t="s">
        <v>1008</v>
      </c>
      <c r="E38" s="82" t="s">
        <v>1071</v>
      </c>
      <c r="F38" s="82" t="str">
        <f t="shared" si="10"/>
        <v>p-dtg-cdmlap-lb-rule3000</v>
      </c>
      <c r="G38" s="82" t="str">
        <f t="shared" ref="G38:G66" si="12">SUBSTITUTE(E38, "hazr-", "")&amp;"-fe"</f>
        <v>p-dtg-cdmlap-lb-fe</v>
      </c>
      <c r="H38" s="82" t="s">
        <v>57</v>
      </c>
      <c r="I38" s="82">
        <v>3000</v>
      </c>
      <c r="J38" s="82" t="b">
        <v>0</v>
      </c>
      <c r="K38" s="82" t="str">
        <f t="shared" ref="K38:K66" si="13">SUBSTITUTE(E38, "hazr-", "")&amp;"-bp"</f>
        <v>p-dtg-cdmlap-lb-bp</v>
      </c>
      <c r="L38" s="82">
        <v>3000</v>
      </c>
      <c r="M38" s="82" t="str">
        <f t="shared" si="11"/>
        <v>p-dtg-cdmlap-lb-pb3000</v>
      </c>
      <c r="N38" s="82" t="s">
        <v>57</v>
      </c>
      <c r="O38" s="82">
        <v>3000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74" t="s">
        <v>23</v>
      </c>
      <c r="C39" s="74"/>
      <c r="D39" s="74" t="s">
        <v>1008</v>
      </c>
      <c r="E39" s="74" t="s">
        <v>986</v>
      </c>
      <c r="F39" s="74" t="str">
        <f t="shared" si="10"/>
        <v>p-dtg-cdstap-lb-rule9305</v>
      </c>
      <c r="G39" s="74" t="str">
        <f t="shared" si="12"/>
        <v>p-dtg-cdstap-lb-fe</v>
      </c>
      <c r="H39" s="74" t="s">
        <v>57</v>
      </c>
      <c r="I39" s="74">
        <v>9305</v>
      </c>
      <c r="J39" s="74" t="b">
        <v>0</v>
      </c>
      <c r="K39" s="74" t="str">
        <f t="shared" si="13"/>
        <v>p-dtg-cdstap-lb-bp</v>
      </c>
      <c r="L39" s="74">
        <v>9305</v>
      </c>
      <c r="M39" s="74" t="str">
        <f t="shared" si="11"/>
        <v>p-dtg-cdstap-lb-pb9305</v>
      </c>
      <c r="N39" s="74" t="s">
        <v>57</v>
      </c>
      <c r="O39" s="74">
        <v>9305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74" t="s">
        <v>23</v>
      </c>
      <c r="C40" s="74"/>
      <c r="D40" s="74" t="s">
        <v>1008</v>
      </c>
      <c r="E40" s="74" t="s">
        <v>986</v>
      </c>
      <c r="F40" s="74" t="str">
        <f t="shared" si="10"/>
        <v>p-dtg-cdstap-lb-rule9306</v>
      </c>
      <c r="G40" s="74" t="str">
        <f t="shared" si="12"/>
        <v>p-dtg-cdstap-lb-fe</v>
      </c>
      <c r="H40" s="74" t="s">
        <v>57</v>
      </c>
      <c r="I40" s="74">
        <v>9306</v>
      </c>
      <c r="J40" s="74" t="b">
        <v>0</v>
      </c>
      <c r="K40" s="74" t="str">
        <f t="shared" si="13"/>
        <v>p-dtg-cdstap-lb-bp</v>
      </c>
      <c r="L40" s="74">
        <v>9306</v>
      </c>
      <c r="M40" s="74" t="str">
        <f t="shared" si="11"/>
        <v>p-dtg-cdstap-lb-pb9306</v>
      </c>
      <c r="N40" s="74" t="s">
        <v>57</v>
      </c>
      <c r="O40" s="74">
        <v>9306</v>
      </c>
      <c r="P40" s="74">
        <v>4</v>
      </c>
      <c r="Q40" s="74" t="s">
        <v>123</v>
      </c>
      <c r="R40" s="74" t="b">
        <v>1</v>
      </c>
      <c r="S40" s="74" t="b">
        <v>0</v>
      </c>
    </row>
    <row r="41" spans="1:19" x14ac:dyDescent="0.3">
      <c r="A41" s="90"/>
      <c r="B41" s="82" t="s">
        <v>23</v>
      </c>
      <c r="C41" s="82"/>
      <c r="D41" s="82" t="s">
        <v>1008</v>
      </c>
      <c r="E41" s="82" t="s">
        <v>1072</v>
      </c>
      <c r="F41" s="82" t="str">
        <f t="shared" si="10"/>
        <v>p-dtg-cdsvadm-lb-rule9100</v>
      </c>
      <c r="G41" s="82" t="str">
        <f t="shared" si="12"/>
        <v>p-dtg-cdsvadm-lb-fe</v>
      </c>
      <c r="H41" s="82" t="s">
        <v>57</v>
      </c>
      <c r="I41" s="82">
        <v>9100</v>
      </c>
      <c r="J41" s="82" t="b">
        <v>0</v>
      </c>
      <c r="K41" s="82" t="str">
        <f t="shared" si="13"/>
        <v>p-dtg-cdsvadm-lb-bp</v>
      </c>
      <c r="L41" s="82">
        <v>9100</v>
      </c>
      <c r="M41" s="82" t="str">
        <f t="shared" si="11"/>
        <v>p-dtg-cdsvadm-lb-pb9100</v>
      </c>
      <c r="N41" s="82" t="s">
        <v>57</v>
      </c>
      <c r="O41" s="82">
        <v>9100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/>
      <c r="D42" s="82" t="s">
        <v>1008</v>
      </c>
      <c r="E42" s="82" t="s">
        <v>1072</v>
      </c>
      <c r="F42" s="82" t="str">
        <f t="shared" si="10"/>
        <v>p-dtg-cdsvadm-lb-rule9300</v>
      </c>
      <c r="G42" s="82" t="str">
        <f t="shared" si="12"/>
        <v>p-dtg-cdsvadm-lb-fe</v>
      </c>
      <c r="H42" s="82" t="s">
        <v>57</v>
      </c>
      <c r="I42" s="82">
        <v>9300</v>
      </c>
      <c r="J42" s="82" t="b">
        <v>0</v>
      </c>
      <c r="K42" s="82" t="str">
        <f t="shared" si="13"/>
        <v>p-dtg-cdsvadm-lb-bp</v>
      </c>
      <c r="L42" s="82">
        <v>9300</v>
      </c>
      <c r="M42" s="82" t="str">
        <f t="shared" si="11"/>
        <v>p-dtg-cdsvadm-lb-pb9300</v>
      </c>
      <c r="N42" s="82" t="s">
        <v>57</v>
      </c>
      <c r="O42" s="82">
        <v>9300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/>
      <c r="D43" s="82" t="s">
        <v>1008</v>
      </c>
      <c r="E43" s="82" t="s">
        <v>1072</v>
      </c>
      <c r="F43" s="82" t="str">
        <f t="shared" si="10"/>
        <v>p-dtg-cdsvadm-lb-rule9105</v>
      </c>
      <c r="G43" s="82" t="str">
        <f t="shared" si="12"/>
        <v>p-dtg-cdsvadm-lb-fe</v>
      </c>
      <c r="H43" s="82" t="s">
        <v>57</v>
      </c>
      <c r="I43" s="82">
        <v>9105</v>
      </c>
      <c r="J43" s="82" t="b">
        <v>0</v>
      </c>
      <c r="K43" s="82" t="str">
        <f t="shared" si="13"/>
        <v>p-dtg-cdsvadm-lb-bp</v>
      </c>
      <c r="L43" s="82">
        <v>9105</v>
      </c>
      <c r="M43" s="82" t="str">
        <f t="shared" si="11"/>
        <v>p-dtg-cdsvadm-lb-pb9105</v>
      </c>
      <c r="N43" s="82" t="s">
        <v>57</v>
      </c>
      <c r="O43" s="82">
        <v>9105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/>
      <c r="D44" s="82" t="s">
        <v>1008</v>
      </c>
      <c r="E44" s="82" t="s">
        <v>1072</v>
      </c>
      <c r="F44" s="82" t="str">
        <f t="shared" si="10"/>
        <v>p-dtg-cdsvadm-lb-rule9003</v>
      </c>
      <c r="G44" s="82" t="str">
        <f t="shared" si="12"/>
        <v>p-dtg-cdsvadm-lb-fe</v>
      </c>
      <c r="H44" s="82" t="s">
        <v>57</v>
      </c>
      <c r="I44" s="82">
        <v>9003</v>
      </c>
      <c r="J44" s="82" t="b">
        <v>0</v>
      </c>
      <c r="K44" s="82" t="str">
        <f t="shared" si="13"/>
        <v>p-dtg-cdsvadm-lb-bp</v>
      </c>
      <c r="L44" s="82">
        <v>9003</v>
      </c>
      <c r="M44" s="82" t="str">
        <f t="shared" si="11"/>
        <v>p-dtg-cdsvadm-lb-pb9003</v>
      </c>
      <c r="N44" s="82" t="s">
        <v>57</v>
      </c>
      <c r="O44" s="82">
        <v>9003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82" t="s">
        <v>23</v>
      </c>
      <c r="C45" s="82"/>
      <c r="D45" s="82" t="s">
        <v>1008</v>
      </c>
      <c r="E45" s="82" t="s">
        <v>1072</v>
      </c>
      <c r="F45" s="82" t="str">
        <f t="shared" si="10"/>
        <v>p-dtg-cdsvadm-lb-rule8088</v>
      </c>
      <c r="G45" s="82" t="str">
        <f t="shared" si="12"/>
        <v>p-dtg-cdsvadm-lb-fe</v>
      </c>
      <c r="H45" s="82" t="s">
        <v>57</v>
      </c>
      <c r="I45" s="82">
        <v>8088</v>
      </c>
      <c r="J45" s="82" t="b">
        <v>0</v>
      </c>
      <c r="K45" s="82" t="str">
        <f t="shared" si="13"/>
        <v>p-dtg-cdsvadm-lb-bp</v>
      </c>
      <c r="L45" s="82">
        <v>8088</v>
      </c>
      <c r="M45" s="82" t="str">
        <f t="shared" si="11"/>
        <v>p-dtg-cdsvadm-lb-pb8088</v>
      </c>
      <c r="N45" s="82" t="s">
        <v>57</v>
      </c>
      <c r="O45" s="82">
        <v>8088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/>
      <c r="D46" s="74" t="s">
        <v>1008</v>
      </c>
      <c r="E46" s="74" t="s">
        <v>988</v>
      </c>
      <c r="F46" s="74" t="str">
        <f t="shared" si="10"/>
        <v>p-dtg-diosap-lb-rule8080</v>
      </c>
      <c r="G46" s="74" t="str">
        <f t="shared" si="12"/>
        <v>p-dtg-diosap-lb-fe</v>
      </c>
      <c r="H46" s="74" t="s">
        <v>57</v>
      </c>
      <c r="I46" s="74">
        <v>8080</v>
      </c>
      <c r="J46" s="74" t="b">
        <v>0</v>
      </c>
      <c r="K46" s="74" t="str">
        <f t="shared" si="13"/>
        <v>p-dtg-diosap-lb-bp</v>
      </c>
      <c r="L46" s="74">
        <v>8080</v>
      </c>
      <c r="M46" s="74" t="str">
        <f t="shared" si="11"/>
        <v>p-dtg-diosap-lb-pb8080</v>
      </c>
      <c r="N46" s="74" t="s">
        <v>57</v>
      </c>
      <c r="O46" s="74">
        <v>8080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/>
      <c r="D47" s="82" t="s">
        <v>1008</v>
      </c>
      <c r="E47" s="82" t="s">
        <v>1073</v>
      </c>
      <c r="F47" s="82" t="str">
        <f t="shared" si="10"/>
        <v>p-dtg-diosweb-lb-rule443</v>
      </c>
      <c r="G47" s="82" t="str">
        <f t="shared" si="12"/>
        <v>p-dtg-diosweb-lb-fe</v>
      </c>
      <c r="H47" s="82" t="s">
        <v>57</v>
      </c>
      <c r="I47" s="82">
        <v>443</v>
      </c>
      <c r="J47" s="82" t="b">
        <v>0</v>
      </c>
      <c r="K47" s="82" t="str">
        <f t="shared" si="13"/>
        <v>p-dtg-diosweb-lb-bp</v>
      </c>
      <c r="L47" s="82">
        <v>443</v>
      </c>
      <c r="M47" s="82" t="str">
        <f t="shared" si="11"/>
        <v>p-dtg-diosweb-lb-pb443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/>
      <c r="D48" s="74" t="s">
        <v>1008</v>
      </c>
      <c r="E48" s="74" t="s">
        <v>990</v>
      </c>
      <c r="F48" s="74" t="str">
        <f t="shared" si="10"/>
        <v>p-dtg-dprweb-lb-rule443</v>
      </c>
      <c r="G48" s="74" t="str">
        <f t="shared" si="12"/>
        <v>p-dtg-dprweb-lb-fe</v>
      </c>
      <c r="H48" s="74" t="s">
        <v>57</v>
      </c>
      <c r="I48" s="74">
        <v>443</v>
      </c>
      <c r="J48" s="74" t="b">
        <v>0</v>
      </c>
      <c r="K48" s="74" t="str">
        <f t="shared" si="13"/>
        <v>p-dtg-dprweb-lb-bp</v>
      </c>
      <c r="L48" s="74">
        <v>443</v>
      </c>
      <c r="M48" s="74" t="str">
        <f t="shared" si="11"/>
        <v>p-dtg-dprweb-lb-pb443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/>
      <c r="D49" s="82" t="s">
        <v>1008</v>
      </c>
      <c r="E49" s="82" t="s">
        <v>1074</v>
      </c>
      <c r="F49" s="82" t="str">
        <f t="shared" si="10"/>
        <v>p-dtg-dprap-lb-rule8082</v>
      </c>
      <c r="G49" s="82" t="str">
        <f t="shared" si="12"/>
        <v>p-dtg-dprap-lb-fe</v>
      </c>
      <c r="H49" s="82" t="s">
        <v>57</v>
      </c>
      <c r="I49" s="82">
        <v>8082</v>
      </c>
      <c r="J49" s="82" t="b">
        <v>0</v>
      </c>
      <c r="K49" s="82" t="str">
        <f t="shared" si="13"/>
        <v>p-dtg-dprap-lb-bp</v>
      </c>
      <c r="L49" s="82">
        <v>8082</v>
      </c>
      <c r="M49" s="82" t="str">
        <f t="shared" si="11"/>
        <v>p-dtg-dprap-lb-pb8082</v>
      </c>
      <c r="N49" s="82" t="s">
        <v>57</v>
      </c>
      <c r="O49" s="82">
        <v>8082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/>
      <c r="D50" s="74" t="s">
        <v>1009</v>
      </c>
      <c r="E50" s="74" t="s">
        <v>992</v>
      </c>
      <c r="F50" s="74" t="str">
        <f t="shared" si="10"/>
        <v>p-bdp-cxmadm-lb-rule443</v>
      </c>
      <c r="G50" s="74" t="str">
        <f t="shared" si="12"/>
        <v>p-bdp-cxmadm-lb-fe</v>
      </c>
      <c r="H50" s="74" t="s">
        <v>57</v>
      </c>
      <c r="I50" s="74">
        <v>443</v>
      </c>
      <c r="J50" s="74" t="b">
        <v>0</v>
      </c>
      <c r="K50" s="74" t="str">
        <f t="shared" si="13"/>
        <v>p-bdp-cxmadm-lb-bp</v>
      </c>
      <c r="L50" s="74">
        <v>443</v>
      </c>
      <c r="M50" s="74" t="str">
        <f t="shared" si="11"/>
        <v>p-bdp-cxmadm-lb-pb443</v>
      </c>
      <c r="N50" s="74" t="s">
        <v>57</v>
      </c>
      <c r="O50" s="74">
        <v>443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/>
      <c r="D51" s="82" t="s">
        <v>1009</v>
      </c>
      <c r="E51" s="82" t="s">
        <v>1075</v>
      </c>
      <c r="F51" s="82" t="str">
        <f t="shared" si="10"/>
        <v>p-bdp-slap-lb-rule443</v>
      </c>
      <c r="G51" s="82" t="str">
        <f t="shared" si="12"/>
        <v>p-bdp-slap-lb-fe</v>
      </c>
      <c r="H51" s="82" t="s">
        <v>57</v>
      </c>
      <c r="I51" s="82">
        <v>443</v>
      </c>
      <c r="J51" s="82" t="b">
        <v>0</v>
      </c>
      <c r="K51" s="82" t="str">
        <f t="shared" si="13"/>
        <v>p-bdp-slap-lb-bp</v>
      </c>
      <c r="L51" s="82">
        <v>443</v>
      </c>
      <c r="M51" s="82" t="str">
        <f t="shared" si="11"/>
        <v>p-bdp-slap-lb-pb443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74" t="s">
        <v>23</v>
      </c>
      <c r="C52" s="74"/>
      <c r="D52" s="74" t="s">
        <v>1010</v>
      </c>
      <c r="E52" s="74" t="s">
        <v>994</v>
      </c>
      <c r="F52" s="74" t="str">
        <f t="shared" si="10"/>
        <v>p-if-auth-lb-rule8088</v>
      </c>
      <c r="G52" s="74" t="str">
        <f t="shared" si="12"/>
        <v>p-if-auth-lb-fe</v>
      </c>
      <c r="H52" s="74" t="s">
        <v>57</v>
      </c>
      <c r="I52" s="74">
        <v>8088</v>
      </c>
      <c r="J52" s="74" t="b">
        <v>0</v>
      </c>
      <c r="K52" s="74" t="str">
        <f t="shared" si="13"/>
        <v>p-if-auth-lb-bp</v>
      </c>
      <c r="L52" s="74">
        <v>8088</v>
      </c>
      <c r="M52" s="74" t="str">
        <f t="shared" si="11"/>
        <v>p-if-auth-lb-pb8088</v>
      </c>
      <c r="N52" s="74" t="s">
        <v>57</v>
      </c>
      <c r="O52" s="74">
        <v>8088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/>
      <c r="D53" s="74" t="s">
        <v>1010</v>
      </c>
      <c r="E53" s="74" t="s">
        <v>994</v>
      </c>
      <c r="F53" s="74" t="str">
        <f t="shared" si="10"/>
        <v>p-if-auth-lb-rule9003</v>
      </c>
      <c r="G53" s="74" t="str">
        <f t="shared" si="12"/>
        <v>p-if-auth-lb-fe</v>
      </c>
      <c r="H53" s="74" t="s">
        <v>57</v>
      </c>
      <c r="I53" s="74">
        <v>9003</v>
      </c>
      <c r="J53" s="74" t="b">
        <v>0</v>
      </c>
      <c r="K53" s="74" t="str">
        <f t="shared" si="13"/>
        <v>p-if-auth-lb-bp</v>
      </c>
      <c r="L53" s="74">
        <v>9003</v>
      </c>
      <c r="M53" s="74" t="str">
        <f t="shared" si="11"/>
        <v>p-if-auth-lb-pb9003</v>
      </c>
      <c r="N53" s="74" t="s">
        <v>57</v>
      </c>
      <c r="O53" s="74">
        <v>9003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A54" s="90"/>
      <c r="B54" s="74" t="s">
        <v>23</v>
      </c>
      <c r="C54" s="74"/>
      <c r="D54" s="74" t="s">
        <v>1010</v>
      </c>
      <c r="E54" s="74" t="s">
        <v>994</v>
      </c>
      <c r="F54" s="74" t="str">
        <f t="shared" si="10"/>
        <v>p-if-auth-lb-rule9005</v>
      </c>
      <c r="G54" s="74" t="str">
        <f t="shared" si="12"/>
        <v>p-if-auth-lb-fe</v>
      </c>
      <c r="H54" s="74" t="s">
        <v>57</v>
      </c>
      <c r="I54" s="74">
        <v>9005</v>
      </c>
      <c r="J54" s="74" t="b">
        <v>0</v>
      </c>
      <c r="K54" s="74" t="str">
        <f t="shared" si="13"/>
        <v>p-if-auth-lb-bp</v>
      </c>
      <c r="L54" s="74">
        <v>9005</v>
      </c>
      <c r="M54" s="74" t="str">
        <f t="shared" si="11"/>
        <v>p-if-auth-lb-pb9005</v>
      </c>
      <c r="N54" s="74" t="s">
        <v>57</v>
      </c>
      <c r="O54" s="74">
        <v>9005</v>
      </c>
      <c r="P54" s="74">
        <v>4</v>
      </c>
      <c r="Q54" s="74" t="s">
        <v>123</v>
      </c>
      <c r="R54" s="74" t="b">
        <v>1</v>
      </c>
      <c r="S54" s="74" t="b">
        <v>0</v>
      </c>
    </row>
    <row r="55" spans="1:19" x14ac:dyDescent="0.3">
      <c r="A55" s="90"/>
      <c r="B55" s="82" t="s">
        <v>23</v>
      </c>
      <c r="C55" s="82"/>
      <c r="D55" s="82" t="s">
        <v>1010</v>
      </c>
      <c r="E55" s="82" t="s">
        <v>1077</v>
      </c>
      <c r="F55" s="82" t="str">
        <f t="shared" si="10"/>
        <v>p-if-proxy-lb-rule443</v>
      </c>
      <c r="G55" s="82" t="str">
        <f t="shared" si="12"/>
        <v>p-if-proxy-lb-fe</v>
      </c>
      <c r="H55" s="82" t="s">
        <v>57</v>
      </c>
      <c r="I55" s="82">
        <v>443</v>
      </c>
      <c r="J55" s="82" t="b">
        <v>0</v>
      </c>
      <c r="K55" s="82" t="str">
        <f t="shared" si="13"/>
        <v>p-if-proxy-lb-bp</v>
      </c>
      <c r="L55" s="82">
        <v>443</v>
      </c>
      <c r="M55" s="82" t="str">
        <f t="shared" si="11"/>
        <v>p-if-proxy-lb-pb443</v>
      </c>
      <c r="N55" s="82" t="s">
        <v>57</v>
      </c>
      <c r="O55" s="82">
        <v>443</v>
      </c>
      <c r="P55" s="82">
        <v>4</v>
      </c>
      <c r="Q55" s="82" t="s">
        <v>123</v>
      </c>
      <c r="R55" s="82" t="b">
        <v>1</v>
      </c>
      <c r="S55" s="82" t="b">
        <v>0</v>
      </c>
    </row>
    <row r="56" spans="1:19" x14ac:dyDescent="0.3">
      <c r="A56" s="90"/>
      <c r="B56" s="82" t="s">
        <v>23</v>
      </c>
      <c r="C56" s="82"/>
      <c r="D56" s="82" t="s">
        <v>1010</v>
      </c>
      <c r="E56" s="82" t="s">
        <v>1077</v>
      </c>
      <c r="F56" s="82" t="str">
        <f t="shared" si="10"/>
        <v>p-if-proxy-lb-rule8080</v>
      </c>
      <c r="G56" s="82" t="str">
        <f t="shared" si="12"/>
        <v>p-if-proxy-lb-fe</v>
      </c>
      <c r="H56" s="82" t="s">
        <v>57</v>
      </c>
      <c r="I56" s="82">
        <v>8080</v>
      </c>
      <c r="J56" s="82" t="b">
        <v>0</v>
      </c>
      <c r="K56" s="82" t="str">
        <f t="shared" si="13"/>
        <v>p-if-proxy-lb-bp</v>
      </c>
      <c r="L56" s="82">
        <v>8080</v>
      </c>
      <c r="M56" s="82" t="str">
        <f t="shared" si="11"/>
        <v>p-if-proxy-lb-pb8080</v>
      </c>
      <c r="N56" s="82" t="s">
        <v>57</v>
      </c>
      <c r="O56" s="82">
        <v>8080</v>
      </c>
      <c r="P56" s="82">
        <v>4</v>
      </c>
      <c r="Q56" s="82" t="s">
        <v>123</v>
      </c>
      <c r="R56" s="82" t="b">
        <v>1</v>
      </c>
      <c r="S56" s="82" t="b">
        <v>0</v>
      </c>
    </row>
    <row r="57" spans="1:19" x14ac:dyDescent="0.3">
      <c r="B57" s="102" t="s">
        <v>1080</v>
      </c>
      <c r="C57" s="102"/>
      <c r="D57" s="102" t="s">
        <v>1011</v>
      </c>
      <c r="E57" s="102" t="s">
        <v>996</v>
      </c>
      <c r="F57" s="102" t="str">
        <f t="shared" si="10"/>
        <v>p-cs-chtap-lb-rule?</v>
      </c>
      <c r="G57" s="102" t="str">
        <f t="shared" si="12"/>
        <v>p-cs-chtap-lb-fe</v>
      </c>
      <c r="H57" s="102" t="s">
        <v>57</v>
      </c>
      <c r="I57" s="102" t="s">
        <v>1079</v>
      </c>
      <c r="J57" s="102" t="b">
        <v>0</v>
      </c>
      <c r="K57" s="102" t="str">
        <f t="shared" si="13"/>
        <v>p-cs-chtap-lb-bp</v>
      </c>
      <c r="L57" s="102" t="s">
        <v>1079</v>
      </c>
      <c r="M57" s="102" t="str">
        <f t="shared" si="11"/>
        <v>p-cs-chtap-lb-pb?</v>
      </c>
      <c r="N57" s="102" t="s">
        <v>57</v>
      </c>
      <c r="O57" s="102" t="s">
        <v>1079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1080</v>
      </c>
      <c r="C58" s="102"/>
      <c r="D58" s="102" t="s">
        <v>1011</v>
      </c>
      <c r="E58" s="102" t="s">
        <v>1081</v>
      </c>
      <c r="F58" s="102" t="str">
        <f t="shared" si="10"/>
        <v>p-cs-chtweb-lb-rule?</v>
      </c>
      <c r="G58" s="102" t="str">
        <f t="shared" si="12"/>
        <v>p-cs-chtweb-lb-fe</v>
      </c>
      <c r="H58" s="102" t="s">
        <v>57</v>
      </c>
      <c r="I58" s="102" t="s">
        <v>1079</v>
      </c>
      <c r="J58" s="102" t="b">
        <v>0</v>
      </c>
      <c r="K58" s="102" t="str">
        <f t="shared" si="13"/>
        <v>p-cs-chtweb-lb-bp</v>
      </c>
      <c r="L58" s="102" t="s">
        <v>1079</v>
      </c>
      <c r="M58" s="102" t="str">
        <f t="shared" si="11"/>
        <v>p-cs-chtweb-lb-pb?</v>
      </c>
      <c r="N58" s="102" t="s">
        <v>57</v>
      </c>
      <c r="O58" s="102" t="s">
        <v>1079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B59" s="102" t="s">
        <v>1080</v>
      </c>
      <c r="C59" s="102"/>
      <c r="D59" s="102" t="s">
        <v>1011</v>
      </c>
      <c r="E59" s="102" t="s">
        <v>998</v>
      </c>
      <c r="F59" s="102" t="str">
        <f t="shared" si="10"/>
        <v>p-cs-chtintweb-lb-rule?</v>
      </c>
      <c r="G59" s="102" t="str">
        <f t="shared" si="12"/>
        <v>p-cs-chtintweb-lb-fe</v>
      </c>
      <c r="H59" s="102" t="s">
        <v>57</v>
      </c>
      <c r="I59" s="102" t="s">
        <v>1079</v>
      </c>
      <c r="J59" s="102" t="b">
        <v>0</v>
      </c>
      <c r="K59" s="102" t="str">
        <f t="shared" si="13"/>
        <v>p-cs-chtintweb-lb-bp</v>
      </c>
      <c r="L59" s="102" t="s">
        <v>1079</v>
      </c>
      <c r="M59" s="102" t="str">
        <f t="shared" si="11"/>
        <v>p-cs-chtintweb-lb-pb?</v>
      </c>
      <c r="N59" s="102" t="s">
        <v>57</v>
      </c>
      <c r="O59" s="102" t="s">
        <v>1079</v>
      </c>
      <c r="P59" s="102">
        <v>4</v>
      </c>
      <c r="Q59" s="102" t="s">
        <v>123</v>
      </c>
      <c r="R59" s="102" t="b">
        <v>1</v>
      </c>
      <c r="S59" s="102" t="b">
        <v>0</v>
      </c>
    </row>
    <row r="60" spans="1:19" x14ac:dyDescent="0.3">
      <c r="B60" s="102" t="s">
        <v>1080</v>
      </c>
      <c r="C60" s="102"/>
      <c r="D60" s="102" t="s">
        <v>1012</v>
      </c>
      <c r="E60" s="102" t="s">
        <v>1082</v>
      </c>
      <c r="F60" s="102" t="str">
        <f t="shared" si="10"/>
        <v>p-doip-web-lb-rule?</v>
      </c>
      <c r="G60" s="102" t="str">
        <f t="shared" si="12"/>
        <v>p-doip-web-lb-fe</v>
      </c>
      <c r="H60" s="102" t="s">
        <v>57</v>
      </c>
      <c r="I60" s="102" t="s">
        <v>1079</v>
      </c>
      <c r="J60" s="102" t="b">
        <v>0</v>
      </c>
      <c r="K60" s="102" t="str">
        <f t="shared" si="13"/>
        <v>p-doip-web-lb-bp</v>
      </c>
      <c r="L60" s="102" t="s">
        <v>1079</v>
      </c>
      <c r="M60" s="102" t="str">
        <f t="shared" si="11"/>
        <v>p-doip-web-lb-pb?</v>
      </c>
      <c r="N60" s="102" t="s">
        <v>57</v>
      </c>
      <c r="O60" s="102" t="s">
        <v>1079</v>
      </c>
      <c r="P60" s="102">
        <v>4</v>
      </c>
      <c r="Q60" s="102" t="s">
        <v>123</v>
      </c>
      <c r="R60" s="102" t="b">
        <v>1</v>
      </c>
      <c r="S60" s="102" t="b">
        <v>0</v>
      </c>
    </row>
    <row r="61" spans="1:19" x14ac:dyDescent="0.3">
      <c r="B61" s="102" t="s">
        <v>1080</v>
      </c>
      <c r="C61" s="102"/>
      <c r="D61" s="102" t="s">
        <v>1012</v>
      </c>
      <c r="E61" s="102" t="s">
        <v>1000</v>
      </c>
      <c r="F61" s="102" t="str">
        <f t="shared" si="10"/>
        <v>p-doip-ap-lb-rule?</v>
      </c>
      <c r="G61" s="102" t="str">
        <f t="shared" si="12"/>
        <v>p-doip-ap-lb-fe</v>
      </c>
      <c r="H61" s="102" t="s">
        <v>57</v>
      </c>
      <c r="I61" s="102" t="s">
        <v>1079</v>
      </c>
      <c r="J61" s="102" t="b">
        <v>0</v>
      </c>
      <c r="K61" s="102" t="str">
        <f t="shared" si="13"/>
        <v>p-doip-ap-lb-bp</v>
      </c>
      <c r="L61" s="102" t="s">
        <v>1079</v>
      </c>
      <c r="M61" s="102" t="str">
        <f t="shared" si="11"/>
        <v>p-doip-ap-lb-pb?</v>
      </c>
      <c r="N61" s="102" t="s">
        <v>57</v>
      </c>
      <c r="O61" s="102" t="s">
        <v>1079</v>
      </c>
      <c r="P61" s="102">
        <v>4</v>
      </c>
      <c r="Q61" s="102" t="s">
        <v>123</v>
      </c>
      <c r="R61" s="102" t="b">
        <v>1</v>
      </c>
      <c r="S61" s="102" t="b">
        <v>0</v>
      </c>
    </row>
    <row r="62" spans="1:19" x14ac:dyDescent="0.3">
      <c r="B62" s="102" t="s">
        <v>1080</v>
      </c>
      <c r="C62" s="102"/>
      <c r="D62" s="102" t="s">
        <v>1012</v>
      </c>
      <c r="E62" s="102" t="s">
        <v>1083</v>
      </c>
      <c r="F62" s="102" t="str">
        <f t="shared" si="10"/>
        <v>p-doip-adm-lb-rule?</v>
      </c>
      <c r="G62" s="102" t="str">
        <f t="shared" si="12"/>
        <v>p-doip-adm-lb-fe</v>
      </c>
      <c r="H62" s="102" t="s">
        <v>57</v>
      </c>
      <c r="I62" s="102" t="s">
        <v>1079</v>
      </c>
      <c r="J62" s="102" t="b">
        <v>0</v>
      </c>
      <c r="K62" s="102" t="str">
        <f t="shared" si="13"/>
        <v>p-doip-adm-lb-bp</v>
      </c>
      <c r="L62" s="102" t="s">
        <v>1079</v>
      </c>
      <c r="M62" s="102" t="str">
        <f t="shared" si="11"/>
        <v>p-doip-adm-lb-pb?</v>
      </c>
      <c r="N62" s="102" t="s">
        <v>57</v>
      </c>
      <c r="O62" s="102" t="s">
        <v>1079</v>
      </c>
      <c r="P62" s="102">
        <v>4</v>
      </c>
      <c r="Q62" s="102" t="s">
        <v>123</v>
      </c>
      <c r="R62" s="102" t="b">
        <v>1</v>
      </c>
      <c r="S62" s="102" t="b">
        <v>0</v>
      </c>
    </row>
    <row r="63" spans="1:19" x14ac:dyDescent="0.3">
      <c r="A63" s="90"/>
      <c r="B63" s="74" t="s">
        <v>23</v>
      </c>
      <c r="C63" s="74"/>
      <c r="D63" s="74" t="s">
        <v>1009</v>
      </c>
      <c r="E63" s="74" t="s">
        <v>1002</v>
      </c>
      <c r="F63" s="74" t="str">
        <f t="shared" si="10"/>
        <v>p-bdp-crkweb-lb-rule443</v>
      </c>
      <c r="G63" s="74" t="str">
        <f t="shared" si="12"/>
        <v>p-bdp-crkweb-lb-fe</v>
      </c>
      <c r="H63" s="74" t="s">
        <v>57</v>
      </c>
      <c r="I63" s="74">
        <v>443</v>
      </c>
      <c r="J63" s="74" t="b">
        <v>0</v>
      </c>
      <c r="K63" s="74" t="str">
        <f t="shared" si="13"/>
        <v>p-bdp-crkweb-lb-bp</v>
      </c>
      <c r="L63" s="74">
        <v>443</v>
      </c>
      <c r="M63" s="74" t="str">
        <f t="shared" si="11"/>
        <v>p-bdp-crkweb-lb-pb443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/>
      <c r="D64" s="74" t="s">
        <v>1009</v>
      </c>
      <c r="E64" s="74" t="s">
        <v>1002</v>
      </c>
      <c r="F64" s="74" t="str">
        <f t="shared" si="10"/>
        <v>p-bdp-crkweb-lb-rule8080</v>
      </c>
      <c r="G64" s="74" t="str">
        <f t="shared" si="12"/>
        <v>p-bdp-crkweb-lb-fe</v>
      </c>
      <c r="H64" s="74" t="s">
        <v>57</v>
      </c>
      <c r="I64" s="74">
        <v>8080</v>
      </c>
      <c r="J64" s="74" t="b">
        <v>0</v>
      </c>
      <c r="K64" s="74" t="str">
        <f t="shared" si="13"/>
        <v>p-bdp-crkweb-lb-bp</v>
      </c>
      <c r="L64" s="74">
        <v>8080</v>
      </c>
      <c r="M64" s="74" t="str">
        <f t="shared" si="11"/>
        <v>p-bdp-crkweb-lb-pb8080</v>
      </c>
      <c r="N64" s="74" t="s">
        <v>57</v>
      </c>
      <c r="O64" s="74">
        <v>8080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/>
      <c r="D65" s="82" t="s">
        <v>1009</v>
      </c>
      <c r="E65" s="82" t="s">
        <v>1003</v>
      </c>
      <c r="F65" s="82" t="str">
        <f t="shared" si="10"/>
        <v>p-bdp-crkap-lb-rule8085</v>
      </c>
      <c r="G65" s="82" t="str">
        <f t="shared" si="12"/>
        <v>p-bdp-crkap-lb-fe</v>
      </c>
      <c r="H65" s="82" t="s">
        <v>57</v>
      </c>
      <c r="I65" s="82">
        <v>8085</v>
      </c>
      <c r="J65" s="82" t="b">
        <v>0</v>
      </c>
      <c r="K65" s="82" t="str">
        <f t="shared" si="13"/>
        <v>p-bdp-crkap-lb-bp</v>
      </c>
      <c r="L65" s="82">
        <v>8085</v>
      </c>
      <c r="M65" s="82" t="str">
        <f t="shared" si="11"/>
        <v>p-bdp-crkap-lb-pb8085</v>
      </c>
      <c r="N65" s="82" t="s">
        <v>57</v>
      </c>
      <c r="O65" s="82">
        <v>8085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74" t="s">
        <v>23</v>
      </c>
      <c r="C66" s="74"/>
      <c r="D66" s="74" t="s">
        <v>1009</v>
      </c>
      <c r="E66" s="74" t="s">
        <v>1004</v>
      </c>
      <c r="F66" s="74" t="str">
        <f t="shared" si="10"/>
        <v>p-bdp-crkml-lb-rule8082</v>
      </c>
      <c r="G66" s="74" t="str">
        <f t="shared" si="12"/>
        <v>p-bdp-crkml-lb-fe</v>
      </c>
      <c r="H66" s="74" t="s">
        <v>57</v>
      </c>
      <c r="I66" s="74">
        <v>8082</v>
      </c>
      <c r="J66" s="74" t="b">
        <v>0</v>
      </c>
      <c r="K66" s="74" t="str">
        <f t="shared" si="13"/>
        <v>p-bdp-crkml-lb-bp</v>
      </c>
      <c r="L66" s="74">
        <v>8082</v>
      </c>
      <c r="M66" s="74" t="str">
        <f t="shared" si="11"/>
        <v>p-bdp-crkml-lb-pb8082</v>
      </c>
      <c r="N66" s="74" t="s">
        <v>57</v>
      </c>
      <c r="O66" s="74">
        <v>8082</v>
      </c>
      <c r="P66" s="74">
        <v>4</v>
      </c>
      <c r="Q66" s="74" t="s">
        <v>123</v>
      </c>
      <c r="R66" s="74" t="b">
        <v>1</v>
      </c>
      <c r="S66" s="74" t="b">
        <v>0</v>
      </c>
    </row>
  </sheetData>
  <autoFilter ref="B1:S66" xr:uid="{A4BC862D-08E7-4593-9A34-4D2B508CF25B}">
    <sortState xmlns:xlrd2="http://schemas.microsoft.com/office/spreadsheetml/2017/richdata2" ref="B2:S54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VM_Datadisk</vt:lpstr>
      <vt:lpstr>VM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2026-06-25T05:11:17Z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