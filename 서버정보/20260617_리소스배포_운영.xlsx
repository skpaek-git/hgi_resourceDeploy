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7CD9820-8EE3-40A7-8476-03E7B99CD6B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29" i="11"/>
  <c r="M30" i="11"/>
  <c r="F28" i="11"/>
  <c r="F29" i="11"/>
  <c r="F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33" i="11" a="1"/>
  <c r="C33" i="11" s="1"/>
  <c r="C32" i="11" a="1"/>
  <c r="C32" i="11" s="1"/>
  <c r="C31" i="11" a="1"/>
  <c r="C31" i="11" s="1"/>
  <c r="C30" i="11" a="1"/>
  <c r="C30" i="11" s="1"/>
  <c r="C16" i="11" a="1"/>
  <c r="C16" i="11" s="1"/>
  <c r="C15" i="11" a="1"/>
  <c r="C15" i="11" s="1"/>
  <c r="C14" i="11" a="1"/>
  <c r="C14" i="11" s="1"/>
  <c r="C50" i="11" a="1"/>
  <c r="C50" i="11" s="1"/>
  <c r="C45" i="11" a="1"/>
  <c r="C45" i="11" s="1"/>
  <c r="C43" i="11" a="1"/>
  <c r="C43" i="11" s="1"/>
  <c r="C29" i="11" a="1"/>
  <c r="C29" i="11" s="1"/>
  <c r="C28" i="11" a="1"/>
  <c r="C28" i="11" s="1"/>
  <c r="C27" i="11" a="1"/>
  <c r="C27" i="11" s="1"/>
  <c r="C26" i="11" a="1"/>
  <c r="C26" i="11" s="1"/>
  <c r="C25" i="11" a="1"/>
  <c r="C25" i="11" s="1"/>
  <c r="C24" i="11" a="1"/>
  <c r="C24" i="11" s="1"/>
  <c r="C23" i="11" a="1"/>
  <c r="C23" i="11" s="1"/>
  <c r="C22" i="11" a="1"/>
  <c r="C22" i="11" s="1"/>
  <c r="C21" i="11" a="1"/>
  <c r="C21" i="11" s="1"/>
  <c r="C20" i="11" a="1"/>
  <c r="C20" i="11" s="1"/>
  <c r="C19" i="11" a="1"/>
  <c r="C19" i="11" s="1"/>
  <c r="C18" i="11" a="1"/>
  <c r="C18" i="11" s="1"/>
  <c r="C17" i="11" a="1"/>
  <c r="C17" i="11" s="1"/>
  <c r="C13" i="11" a="1"/>
  <c r="C13" i="11" s="1"/>
  <c r="C12" i="11" a="1"/>
  <c r="C12" i="11" s="1"/>
  <c r="C11" i="11" a="1"/>
  <c r="C11" i="11" s="1"/>
  <c r="C10" i="11" a="1"/>
  <c r="C10" i="11" s="1"/>
  <c r="C9" i="11" a="1"/>
  <c r="C9" i="11" s="1"/>
  <c r="C8" i="11" a="1"/>
  <c r="C8" i="11" s="1"/>
  <c r="C7" i="11" a="1"/>
  <c r="C7" i="11" s="1"/>
  <c r="C6" i="11" a="1"/>
  <c r="C6" i="11" s="1"/>
  <c r="C5" i="11" a="1"/>
  <c r="C5" i="11" s="1"/>
  <c r="C4" i="11" a="1"/>
  <c r="C4" i="11" s="1"/>
  <c r="C3" i="11" a="1"/>
  <c r="C3" i="11" s="1"/>
  <c r="C2" i="11" a="1"/>
  <c r="C2" i="11" s="1"/>
  <c r="C49" i="11" a="1"/>
  <c r="C49" i="11" s="1"/>
  <c r="C48" i="11" a="1"/>
  <c r="C48" i="11" s="1"/>
  <c r="C47" i="11" a="1"/>
  <c r="C47" i="11" s="1"/>
  <c r="C46" i="11" a="1"/>
  <c r="C46" i="11" s="1"/>
  <c r="C40" i="11" a="1"/>
  <c r="C40" i="11" s="1"/>
  <c r="C39" i="11" a="1"/>
  <c r="C39" i="11" s="1"/>
  <c r="C38" i="11" a="1"/>
  <c r="C38" i="11" s="1"/>
  <c r="C37" i="11" a="1"/>
  <c r="C37" i="11" s="1"/>
  <c r="C36" i="11" a="1"/>
  <c r="C36" i="11" s="1"/>
  <c r="C35" i="11" a="1"/>
  <c r="C35" i="11" s="1"/>
  <c r="C44" i="11" a="1"/>
  <c r="C44" i="11" s="1"/>
  <c r="C42" i="11" a="1"/>
  <c r="C42" i="11" s="1"/>
  <c r="C41" i="11" a="1"/>
  <c r="C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<sst xmlns="http://schemas.openxmlformats.org/spreadsheetml/2006/main" count="7361" uniqueCount="1111">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</sst>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tabSelected="1" zoomScaleNormal="100" zoomScaleSheetLayoutView="100" workbookViewId="0">
      <pane xSplit="6" ySplit="1" topLeftCell="G120" activePane="bottomRight" state="frozen"/>
      <selection pane="topRight"/>
      <selection pane="bottomLeft"/>
      <selection pane="bottomRight" activeCell="F138" sqref="F13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12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1088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12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1088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1089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1089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1106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1089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1106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1089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1088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1088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1088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1088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1088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1088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1088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1088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1088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1106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1088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1106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1088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1106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1089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1106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1089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1088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1088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1089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1089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1089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1089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1089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1089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1088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1088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1089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1089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1088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1088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1107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1088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1088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1088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1088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1088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1088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1089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1089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1089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1089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1089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1089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1088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1088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1088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1088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1088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1088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1088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1088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1088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1088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1088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1088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1088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1088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1088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1088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1088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1088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1089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1089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1088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1088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1089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1088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1088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1088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1088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1089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1089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1088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1088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1088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1088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1088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1088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1088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1088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1088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1088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1089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1088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1104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1088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1088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1088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1088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1088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1088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1088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1088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1089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1089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1088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1088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1089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1089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1089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1089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1088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1088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1089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1088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1089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1089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1089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1089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1089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1089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2" t="s">
        <v>1093</v>
      </c>
      <c r="C115" s="102"/>
      <c r="D115" s="104" t="s">
        <v>323</v>
      </c>
      <c r="E115" s="102" t="s">
        <v>24</v>
      </c>
      <c r="F115" s="102" t="s">
        <v>464</v>
      </c>
      <c r="G115" s="104" t="s">
        <v>607</v>
      </c>
      <c r="H115" s="104" t="s">
        <v>630</v>
      </c>
      <c r="I115" s="104">
        <v>2</v>
      </c>
      <c r="J115" s="104">
        <v>8</v>
      </c>
      <c r="K115" s="102" t="s">
        <v>181</v>
      </c>
      <c r="L115" s="102" t="s">
        <v>227</v>
      </c>
      <c r="M115" s="104" t="s">
        <v>640</v>
      </c>
      <c r="N115" s="105"/>
      <c r="O115" s="102" t="str">
        <f t="shared" si="8"/>
        <v>p-if-proxy01-osdisk</v>
      </c>
      <c r="P115" s="106">
        <v>64</v>
      </c>
      <c r="Q115" s="102" t="s">
        <v>180</v>
      </c>
      <c r="R115" s="102"/>
      <c r="S115" s="102"/>
      <c r="T115" s="102"/>
      <c r="U115" s="102" t="str">
        <f t="shared" si="9"/>
        <v>p-if-proxy01-nic</v>
      </c>
      <c r="V115" s="102" t="b">
        <v>1</v>
      </c>
      <c r="W115" s="102" t="b">
        <v>1</v>
      </c>
      <c r="X115" s="102" t="s">
        <v>326</v>
      </c>
      <c r="Y115" s="102" t="s">
        <v>240</v>
      </c>
      <c r="Z115" s="102" t="s">
        <v>249</v>
      </c>
      <c r="AA115" s="102" t="b">
        <v>1</v>
      </c>
      <c r="AB115" s="102" t="s">
        <v>326</v>
      </c>
      <c r="AC115" s="102" t="s">
        <v>327</v>
      </c>
      <c r="AD115" s="104">
        <v>1</v>
      </c>
      <c r="AE115" s="102"/>
      <c r="AF115" s="102"/>
    </row>
    <row r="116" spans="1:32" x14ac:dyDescent="0.3">
      <c r="B116" s="102" t="s">
        <v>1093</v>
      </c>
      <c r="C116" s="102"/>
      <c r="D116" s="104" t="s">
        <v>323</v>
      </c>
      <c r="E116" s="102" t="s">
        <v>24</v>
      </c>
      <c r="F116" s="102" t="s">
        <v>465</v>
      </c>
      <c r="G116" s="104" t="s">
        <v>608</v>
      </c>
      <c r="H116" s="104" t="s">
        <v>630</v>
      </c>
      <c r="I116" s="104">
        <v>2</v>
      </c>
      <c r="J116" s="104">
        <v>8</v>
      </c>
      <c r="K116" s="102" t="s">
        <v>181</v>
      </c>
      <c r="L116" s="102" t="s">
        <v>227</v>
      </c>
      <c r="M116" s="104" t="s">
        <v>640</v>
      </c>
      <c r="N116" s="105"/>
      <c r="O116" s="102" t="str">
        <f t="shared" si="8"/>
        <v>p-if-proxy02-osdisk</v>
      </c>
      <c r="P116" s="106">
        <v>64</v>
      </c>
      <c r="Q116" s="102" t="s">
        <v>180</v>
      </c>
      <c r="R116" s="102"/>
      <c r="S116" s="102"/>
      <c r="T116" s="102"/>
      <c r="U116" s="102" t="str">
        <f t="shared" si="9"/>
        <v>p-if-proxy02-nic</v>
      </c>
      <c r="V116" s="102" t="b">
        <v>1</v>
      </c>
      <c r="W116" s="102" t="b">
        <v>1</v>
      </c>
      <c r="X116" s="102" t="s">
        <v>326</v>
      </c>
      <c r="Y116" s="102" t="s">
        <v>240</v>
      </c>
      <c r="Z116" s="102" t="s">
        <v>249</v>
      </c>
      <c r="AA116" s="102" t="b">
        <v>1</v>
      </c>
      <c r="AB116" s="102" t="s">
        <v>326</v>
      </c>
      <c r="AC116" s="102" t="s">
        <v>327</v>
      </c>
      <c r="AD116" s="104">
        <v>2</v>
      </c>
      <c r="AE116" s="102"/>
      <c r="AF116" s="102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1108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1088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1088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2" t="s">
        <v>1093</v>
      </c>
      <c r="C119" s="102"/>
      <c r="D119" s="104" t="s">
        <v>323</v>
      </c>
      <c r="E119" s="102" t="s">
        <v>24</v>
      </c>
      <c r="F119" s="102" t="s">
        <v>468</v>
      </c>
      <c r="G119" s="104" t="s">
        <v>611</v>
      </c>
      <c r="H119" s="104" t="s">
        <v>633</v>
      </c>
      <c r="I119" s="104">
        <v>4</v>
      </c>
      <c r="J119" s="104">
        <v>16</v>
      </c>
      <c r="K119" s="102" t="s">
        <v>181</v>
      </c>
      <c r="L119" s="102" t="s">
        <v>227</v>
      </c>
      <c r="M119" s="104" t="s">
        <v>640</v>
      </c>
      <c r="N119" s="105"/>
      <c r="O119" s="102" t="str">
        <f t="shared" si="8"/>
        <v>p-if-stryweb01-osdisk</v>
      </c>
      <c r="P119" s="106">
        <v>64</v>
      </c>
      <c r="Q119" s="102" t="s">
        <v>180</v>
      </c>
      <c r="R119" s="102"/>
      <c r="S119" s="102"/>
      <c r="T119" s="102"/>
      <c r="U119" s="102" t="str">
        <f t="shared" si="9"/>
        <v>p-if-stryweb01-nic</v>
      </c>
      <c r="V119" s="102" t="b">
        <v>1</v>
      </c>
      <c r="W119" s="102" t="b">
        <v>1</v>
      </c>
      <c r="X119" s="102" t="s">
        <v>326</v>
      </c>
      <c r="Y119" s="102" t="s">
        <v>241</v>
      </c>
      <c r="Z119" s="102" t="s">
        <v>272</v>
      </c>
      <c r="AA119" s="102" t="b">
        <v>1</v>
      </c>
      <c r="AB119" s="102" t="s">
        <v>326</v>
      </c>
      <c r="AC119" s="102" t="s">
        <v>327</v>
      </c>
      <c r="AD119" s="104">
        <v>1</v>
      </c>
      <c r="AE119" s="102"/>
      <c r="AF119" s="102"/>
    </row>
    <row r="120" spans="1:32" x14ac:dyDescent="0.3">
      <c r="A120" s="90"/>
      <c r="B120" s="74" t="s">
        <v>1087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1088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1087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1088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1087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1088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1088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1093</v>
      </c>
      <c r="C124" s="102"/>
      <c r="D124" s="102" t="s">
        <v>1011</v>
      </c>
      <c r="E124" s="102" t="s">
        <v>24</v>
      </c>
      <c r="F124" s="102" t="s">
        <v>470</v>
      </c>
      <c r="G124" s="102" t="s">
        <v>1094</v>
      </c>
      <c r="H124" s="102" t="s">
        <v>1095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1096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1058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1093</v>
      </c>
      <c r="C125" s="102"/>
      <c r="D125" s="102" t="s">
        <v>1011</v>
      </c>
      <c r="E125" s="102" t="s">
        <v>24</v>
      </c>
      <c r="F125" s="102" t="s">
        <v>471</v>
      </c>
      <c r="G125" s="102" t="s">
        <v>1097</v>
      </c>
      <c r="H125" s="102" t="s">
        <v>1095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1096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1058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1088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1088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1089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1089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1089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1089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B132" s="102" t="s">
        <v>1093</v>
      </c>
      <c r="C132" s="102"/>
      <c r="D132" s="102" t="s">
        <v>1013</v>
      </c>
      <c r="E132" s="102" t="s">
        <v>24</v>
      </c>
      <c r="F132" s="102" t="s">
        <v>478</v>
      </c>
      <c r="G132" s="102" t="s">
        <v>1098</v>
      </c>
      <c r="H132" s="102" t="s">
        <v>1095</v>
      </c>
      <c r="I132" s="102">
        <v>2</v>
      </c>
      <c r="J132" s="102">
        <v>16</v>
      </c>
      <c r="K132" s="102" t="s">
        <v>181</v>
      </c>
      <c r="L132" s="102" t="s">
        <v>179</v>
      </c>
      <c r="M132" s="102" t="s">
        <v>1096</v>
      </c>
      <c r="N132" s="102"/>
      <c r="O132" s="102" t="str">
        <f t="shared" si="8"/>
        <v>p-doip-web01-osdisk</v>
      </c>
      <c r="P132" s="102">
        <v>64</v>
      </c>
      <c r="Q132" s="102" t="s">
        <v>180</v>
      </c>
      <c r="R132" s="102"/>
      <c r="S132" s="102"/>
      <c r="T132" s="102"/>
      <c r="U132" s="102" t="str">
        <f t="shared" si="9"/>
        <v>p-doip-web01-nic</v>
      </c>
      <c r="V132" s="102" t="b">
        <v>1</v>
      </c>
      <c r="W132" s="102" t="b">
        <v>1</v>
      </c>
      <c r="X132" s="102" t="s">
        <v>326</v>
      </c>
      <c r="Y132" s="102" t="s">
        <v>347</v>
      </c>
      <c r="Z132" s="102" t="s">
        <v>1062</v>
      </c>
      <c r="AA132" s="102" t="b">
        <v>1</v>
      </c>
      <c r="AB132" s="102" t="s">
        <v>326</v>
      </c>
      <c r="AC132" s="102" t="s">
        <v>327</v>
      </c>
      <c r="AD132" s="102">
        <v>1</v>
      </c>
      <c r="AE132" s="102"/>
      <c r="AF132" s="102"/>
    </row>
    <row r="133" spans="1:32" x14ac:dyDescent="0.3">
      <c r="B133" s="102" t="s">
        <v>1093</v>
      </c>
      <c r="C133" s="102"/>
      <c r="D133" s="102" t="s">
        <v>1013</v>
      </c>
      <c r="E133" s="102" t="s">
        <v>24</v>
      </c>
      <c r="F133" s="102" t="s">
        <v>479</v>
      </c>
      <c r="G133" s="102" t="s">
        <v>1099</v>
      </c>
      <c r="H133" s="102" t="s">
        <v>1095</v>
      </c>
      <c r="I133" s="102">
        <v>2</v>
      </c>
      <c r="J133" s="102">
        <v>16</v>
      </c>
      <c r="K133" s="102" t="s">
        <v>181</v>
      </c>
      <c r="L133" s="102" t="s">
        <v>179</v>
      </c>
      <c r="M133" s="102" t="s">
        <v>1096</v>
      </c>
      <c r="N133" s="102"/>
      <c r="O133" s="102" t="str">
        <f t="shared" si="8"/>
        <v>p-doip-web02-osdisk</v>
      </c>
      <c r="P133" s="102">
        <v>64</v>
      </c>
      <c r="Q133" s="102" t="s">
        <v>180</v>
      </c>
      <c r="R133" s="102"/>
      <c r="S133" s="102"/>
      <c r="T133" s="102"/>
      <c r="U133" s="102" t="str">
        <f t="shared" si="9"/>
        <v>p-doip-web02-nic</v>
      </c>
      <c r="V133" s="102" t="b">
        <v>1</v>
      </c>
      <c r="W133" s="102" t="b">
        <v>1</v>
      </c>
      <c r="X133" s="102" t="s">
        <v>326</v>
      </c>
      <c r="Y133" s="102" t="s">
        <v>347</v>
      </c>
      <c r="Z133" s="102" t="s">
        <v>1062</v>
      </c>
      <c r="AA133" s="102" t="b">
        <v>1</v>
      </c>
      <c r="AB133" s="102" t="s">
        <v>326</v>
      </c>
      <c r="AC133" s="102" t="s">
        <v>327</v>
      </c>
      <c r="AD133" s="102">
        <v>2</v>
      </c>
      <c r="AE133" s="102"/>
      <c r="AF133" s="102"/>
    </row>
    <row r="134" spans="1:32" x14ac:dyDescent="0.3">
      <c r="B134" s="102" t="s">
        <v>1093</v>
      </c>
      <c r="C134" s="102"/>
      <c r="D134" s="102" t="s">
        <v>1013</v>
      </c>
      <c r="E134" s="102" t="s">
        <v>24</v>
      </c>
      <c r="F134" s="102" t="s">
        <v>480</v>
      </c>
      <c r="G134" s="102" t="s">
        <v>1100</v>
      </c>
      <c r="H134" s="102" t="s">
        <v>1095</v>
      </c>
      <c r="I134" s="102">
        <v>2</v>
      </c>
      <c r="J134" s="102">
        <v>16</v>
      </c>
      <c r="K134" s="102" t="s">
        <v>181</v>
      </c>
      <c r="L134" s="102" t="s">
        <v>179</v>
      </c>
      <c r="M134" s="102" t="s">
        <v>1096</v>
      </c>
      <c r="N134" s="102"/>
      <c r="O134" s="102" t="str">
        <f t="shared" si="8"/>
        <v>p-doip-ap01-osdisk</v>
      </c>
      <c r="P134" s="102">
        <v>64</v>
      </c>
      <c r="Q134" s="102" t="s">
        <v>180</v>
      </c>
      <c r="R134" s="102"/>
      <c r="S134" s="102"/>
      <c r="T134" s="102"/>
      <c r="U134" s="102" t="str">
        <f t="shared" si="9"/>
        <v>p-doip-ap01-nic</v>
      </c>
      <c r="V134" s="102" t="b">
        <v>1</v>
      </c>
      <c r="W134" s="102" t="b">
        <v>1</v>
      </c>
      <c r="X134" s="102" t="s">
        <v>326</v>
      </c>
      <c r="Y134" s="102" t="s">
        <v>347</v>
      </c>
      <c r="Z134" s="102" t="s">
        <v>1062</v>
      </c>
      <c r="AA134" s="102" t="b">
        <v>1</v>
      </c>
      <c r="AB134" s="102" t="s">
        <v>326</v>
      </c>
      <c r="AC134" s="102" t="s">
        <v>327</v>
      </c>
      <c r="AD134" s="102">
        <v>1</v>
      </c>
      <c r="AE134" s="102"/>
      <c r="AF134" s="102"/>
    </row>
    <row r="135" spans="1:32" x14ac:dyDescent="0.3">
      <c r="B135" s="102" t="s">
        <v>1093</v>
      </c>
      <c r="C135" s="102"/>
      <c r="D135" s="102" t="s">
        <v>1013</v>
      </c>
      <c r="E135" s="102" t="s">
        <v>24</v>
      </c>
      <c r="F135" s="102" t="s">
        <v>481</v>
      </c>
      <c r="G135" s="102" t="s">
        <v>1101</v>
      </c>
      <c r="H135" s="102" t="s">
        <v>1095</v>
      </c>
      <c r="I135" s="102">
        <v>2</v>
      </c>
      <c r="J135" s="102">
        <v>16</v>
      </c>
      <c r="K135" s="102" t="s">
        <v>181</v>
      </c>
      <c r="L135" s="102" t="s">
        <v>179</v>
      </c>
      <c r="M135" s="102" t="s">
        <v>1096</v>
      </c>
      <c r="N135" s="102"/>
      <c r="O135" s="102" t="str">
        <f t="shared" ref="O135:O146" si="10">SUBSTITUTE(F135,"hazr-","")&amp;"-osdisk"</f>
        <v>p-doip-ap02-osdisk</v>
      </c>
      <c r="P135" s="102">
        <v>64</v>
      </c>
      <c r="Q135" s="102" t="s">
        <v>180</v>
      </c>
      <c r="R135" s="102"/>
      <c r="S135" s="102"/>
      <c r="T135" s="102"/>
      <c r="U135" s="102" t="str">
        <f t="shared" ref="U135:U146" si="11">SUBSTITUTE(F135,"hazr-","")&amp;"-nic"</f>
        <v>p-doip-ap02-nic</v>
      </c>
      <c r="V135" s="102" t="b">
        <v>1</v>
      </c>
      <c r="W135" s="102" t="b">
        <v>1</v>
      </c>
      <c r="X135" s="102" t="s">
        <v>326</v>
      </c>
      <c r="Y135" s="102" t="s">
        <v>347</v>
      </c>
      <c r="Z135" s="102" t="s">
        <v>1062</v>
      </c>
      <c r="AA135" s="102" t="b">
        <v>1</v>
      </c>
      <c r="AB135" s="102" t="s">
        <v>326</v>
      </c>
      <c r="AC135" s="102" t="s">
        <v>327</v>
      </c>
      <c r="AD135" s="102">
        <v>2</v>
      </c>
      <c r="AE135" s="102"/>
      <c r="AF135" s="102"/>
    </row>
    <row r="136" spans="1:32" x14ac:dyDescent="0.3">
      <c r="B136" s="102" t="s">
        <v>1093</v>
      </c>
      <c r="C136" s="102"/>
      <c r="D136" s="102" t="s">
        <v>1013</v>
      </c>
      <c r="E136" s="102" t="s">
        <v>24</v>
      </c>
      <c r="F136" s="102" t="s">
        <v>482</v>
      </c>
      <c r="G136" s="102" t="s">
        <v>1102</v>
      </c>
      <c r="H136" s="102" t="s">
        <v>1095</v>
      </c>
      <c r="I136" s="102">
        <v>2</v>
      </c>
      <c r="J136" s="102">
        <v>16</v>
      </c>
      <c r="K136" s="102" t="s">
        <v>181</v>
      </c>
      <c r="L136" s="102" t="s">
        <v>179</v>
      </c>
      <c r="M136" s="102" t="s">
        <v>1096</v>
      </c>
      <c r="N136" s="102"/>
      <c r="O136" s="102" t="str">
        <f t="shared" si="10"/>
        <v>p-doip-adm01-osdisk</v>
      </c>
      <c r="P136" s="102">
        <v>64</v>
      </c>
      <c r="Q136" s="102" t="s">
        <v>180</v>
      </c>
      <c r="R136" s="102"/>
      <c r="S136" s="102"/>
      <c r="T136" s="102"/>
      <c r="U136" s="102" t="str">
        <f t="shared" si="11"/>
        <v>p-doip-adm01-nic</v>
      </c>
      <c r="V136" s="102" t="b">
        <v>1</v>
      </c>
      <c r="W136" s="102" t="b">
        <v>1</v>
      </c>
      <c r="X136" s="102" t="s">
        <v>326</v>
      </c>
      <c r="Y136" s="102" t="s">
        <v>347</v>
      </c>
      <c r="Z136" s="102" t="s">
        <v>1062</v>
      </c>
      <c r="AA136" s="102" t="b">
        <v>1</v>
      </c>
      <c r="AB136" s="102" t="s">
        <v>326</v>
      </c>
      <c r="AC136" s="102" t="s">
        <v>327</v>
      </c>
      <c r="AD136" s="102">
        <v>1</v>
      </c>
      <c r="AE136" s="102"/>
      <c r="AF136" s="102"/>
    </row>
    <row r="137" spans="1:32" x14ac:dyDescent="0.3">
      <c r="B137" s="102" t="s">
        <v>1093</v>
      </c>
      <c r="C137" s="102"/>
      <c r="D137" s="102" t="s">
        <v>1013</v>
      </c>
      <c r="E137" s="102" t="s">
        <v>24</v>
      </c>
      <c r="F137" s="102" t="s">
        <v>483</v>
      </c>
      <c r="G137" s="102" t="s">
        <v>1103</v>
      </c>
      <c r="H137" s="102" t="s">
        <v>1095</v>
      </c>
      <c r="I137" s="102">
        <v>2</v>
      </c>
      <c r="J137" s="102">
        <v>16</v>
      </c>
      <c r="K137" s="102" t="s">
        <v>181</v>
      </c>
      <c r="L137" s="102" t="s">
        <v>179</v>
      </c>
      <c r="M137" s="102" t="s">
        <v>1096</v>
      </c>
      <c r="N137" s="102"/>
      <c r="O137" s="102" t="str">
        <f t="shared" si="10"/>
        <v>p-doip-adm02-osdisk</v>
      </c>
      <c r="P137" s="102">
        <v>64</v>
      </c>
      <c r="Q137" s="102" t="s">
        <v>180</v>
      </c>
      <c r="R137" s="102"/>
      <c r="S137" s="102"/>
      <c r="T137" s="102"/>
      <c r="U137" s="102" t="str">
        <f t="shared" si="11"/>
        <v>p-doip-adm02-nic</v>
      </c>
      <c r="V137" s="102" t="b">
        <v>1</v>
      </c>
      <c r="W137" s="102" t="b">
        <v>1</v>
      </c>
      <c r="X137" s="102" t="s">
        <v>326</v>
      </c>
      <c r="Y137" s="102" t="s">
        <v>347</v>
      </c>
      <c r="Z137" s="102" t="s">
        <v>1062</v>
      </c>
      <c r="AA137" s="102" t="b">
        <v>1</v>
      </c>
      <c r="AB137" s="102" t="s">
        <v>326</v>
      </c>
      <c r="AC137" s="102" t="s">
        <v>327</v>
      </c>
      <c r="AD137" s="102">
        <v>2</v>
      </c>
      <c r="AE137" s="102"/>
      <c r="AF137" s="102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1089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1089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1088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1088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1088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1088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1088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1087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1109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1088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1090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1087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1110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1089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1090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36" activePane="bottomRight" state="frozen"/>
      <selection pane="topRight" activeCell="G1" sqref="G1"/>
      <selection pane="bottomLeft" activeCell="A2" sqref="A2"/>
      <selection pane="bottomRight" activeCell="D161" sqref="D161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3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3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3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3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9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9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9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8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8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8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9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9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9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8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8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8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8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8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8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>
        <v>1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1087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1087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1087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9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9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9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9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9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9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319</v>
      </c>
      <c r="E139" s="85" t="s">
        <v>24</v>
      </c>
      <c r="F139" s="73" t="s">
        <v>472</v>
      </c>
      <c r="G139" s="73" t="s">
        <v>878</v>
      </c>
      <c r="H139" s="73" t="s">
        <v>180</v>
      </c>
      <c r="I139" s="73">
        <v>128</v>
      </c>
      <c r="J139" s="73" t="s">
        <v>879</v>
      </c>
      <c r="K139" s="73" t="s">
        <v>180</v>
      </c>
      <c r="L139" s="73">
        <v>128</v>
      </c>
      <c r="M139" s="78">
        <v>1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319</v>
      </c>
      <c r="E140" s="86" t="s">
        <v>24</v>
      </c>
      <c r="F140" s="74" t="s">
        <v>473</v>
      </c>
      <c r="G140" s="74" t="s">
        <v>880</v>
      </c>
      <c r="H140" s="74" t="s">
        <v>180</v>
      </c>
      <c r="I140" s="74">
        <v>128</v>
      </c>
      <c r="J140" s="74" t="s">
        <v>881</v>
      </c>
      <c r="K140" s="74" t="s">
        <v>180</v>
      </c>
      <c r="L140" s="74">
        <v>128</v>
      </c>
      <c r="M140" s="80">
        <v>2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474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475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476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477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321</v>
      </c>
      <c r="E145" s="85" t="s">
        <v>24</v>
      </c>
      <c r="F145" s="73" t="s">
        <v>478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321</v>
      </c>
      <c r="E146" s="86" t="s">
        <v>24</v>
      </c>
      <c r="F146" s="74" t="s">
        <v>479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480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481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483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324</v>
      </c>
      <c r="E151" s="85" t="s">
        <v>24</v>
      </c>
      <c r="F151" s="73" t="s">
        <v>484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324</v>
      </c>
      <c r="E152" s="86" t="s">
        <v>24</v>
      </c>
      <c r="F152" s="74" t="s">
        <v>485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486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487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488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489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490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3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B158" s="74" t="s">
        <v>1087</v>
      </c>
      <c r="C158" s="74" t="str" cm="1">
        <f t="array" ref="C158">UPPER(INDEX(_xlfn.TEXTSPLIT($D158, "-"), 3))</f>
        <v>COMM</v>
      </c>
      <c r="D158" s="80" t="s">
        <v>234</v>
      </c>
      <c r="E158" s="86" t="s">
        <v>24</v>
      </c>
      <c r="F158" s="74" t="s">
        <v>491</v>
      </c>
      <c r="G158" s="74" t="s">
        <v>916</v>
      </c>
      <c r="H158" s="74" t="s">
        <v>709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1</v>
      </c>
      <c r="N158" s="74" t="s">
        <v>192</v>
      </c>
      <c r="O158" s="74" t="s">
        <v>234</v>
      </c>
      <c r="P158" s="74" t="s">
        <v>235</v>
      </c>
      <c r="Q158" s="74" t="b">
        <v>1</v>
      </c>
      <c r="R158" s="74"/>
    </row>
    <row r="159" spans="1:18" x14ac:dyDescent="0.3">
      <c r="B159" s="73" t="s">
        <v>1087</v>
      </c>
      <c r="C159" s="73" t="str" cm="1">
        <f t="array" ref="C159">UPPER(INDEX(_xlfn.TEXTSPLIT($D159, "-"), 3))</f>
        <v>COMM</v>
      </c>
      <c r="D159" s="78" t="s">
        <v>234</v>
      </c>
      <c r="E159" s="85" t="s">
        <v>24</v>
      </c>
      <c r="F159" s="73" t="s">
        <v>492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1</v>
      </c>
      <c r="N159" s="73" t="s">
        <v>192</v>
      </c>
      <c r="O159" s="73" t="s">
        <v>234</v>
      </c>
      <c r="P159" s="73" t="s">
        <v>235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9" workbookViewId="0">
      <selection activeCell="F165" sqref="F1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4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4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4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1055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1055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1055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1055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1055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1055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1055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1055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1055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1055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1055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1055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1055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1055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1055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1055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1055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1055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1055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1055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1055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1056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1056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1056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1056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1056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1056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1056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1056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1056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1055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1055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1055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1055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1055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1091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1091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1091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1091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1056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1056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1055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1055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1055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1055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1055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1055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1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1055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1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1055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1055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1055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1055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1055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1055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1055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1055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1055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1055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1055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1055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1055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1055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1055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1055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1055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1055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1055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1056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1056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1055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1055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1057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1057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1057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1057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1057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1057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1058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1058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1059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1059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1058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1058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1058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1087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1092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1087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1092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1087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1092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1058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1058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1058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1060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1060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1061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1061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1060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1060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1062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1062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1062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1062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1062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1062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1063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1063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1057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1057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1057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1057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1057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B145" s="80" t="s">
        <v>1087</v>
      </c>
      <c r="C145" s="80" t="s">
        <v>1087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1090</v>
      </c>
      <c r="I145" s="74" t="s">
        <v>491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B146" s="78" t="s">
        <v>1087</v>
      </c>
      <c r="C146" s="78" t="s">
        <v>1087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1090</v>
      </c>
      <c r="I146" s="73" t="s">
        <v>492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4"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0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0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0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0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0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0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0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1105</v>
      </c>
      <c r="I8" s="74" t="s">
        <v>222</v>
      </c>
      <c r="J8" s="74" t="s">
        <v>224</v>
      </c>
    </row>
    <row r="9" spans="1:10" x14ac:dyDescent="0.3">
      <c r="A9" s="110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0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0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0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0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0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0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0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0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0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0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0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0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0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10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10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10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10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10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10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1105</v>
      </c>
      <c r="I29" s="82" t="s">
        <v>222</v>
      </c>
      <c r="J29" s="82" t="s">
        <v>956</v>
      </c>
    </row>
    <row r="30" spans="1:10" x14ac:dyDescent="0.3">
      <c r="A30" s="110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10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10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10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10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10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10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10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10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10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10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4"/>
  <sheetViews>
    <sheetView workbookViewId="0">
      <pane xSplit="6" ySplit="1" topLeftCell="G11" activePane="bottomRight" state="frozen"/>
      <selection pane="topRight" activeCell="G1" sqref="G1"/>
      <selection pane="bottomLeft" activeCell="A2" sqref="A2"/>
      <selection pane="bottomRight" activeCell="D17" sqref="D17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1008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1007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 t="str" cm="1">
        <f t="array" ref="C3">UPPER(INDEX(_xlfn.TEXTSPLIT($F3, "-"), 3))</f>
        <v>DIS</v>
      </c>
      <c r="D3" s="74" t="s">
        <v>1008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1008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1015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952</v>
      </c>
      <c r="C5" s="74" t="str" cm="1">
        <f t="array" ref="C5">UPPER(INDEX(_xlfn.TEXTSPLIT($F5, "-"), 3))</f>
        <v>DIS</v>
      </c>
      <c r="D5" s="74" t="s">
        <v>1008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1008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1017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 t="str" cm="1">
        <f t="array" ref="C7">UPPER(INDEX(_xlfn.TEXTSPLIT($F7, "-"), 3))</f>
        <v>DIS</v>
      </c>
      <c r="D7" s="74" t="s">
        <v>1008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1008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1019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 t="str" cm="1">
        <f t="array" ref="C9">UPPER(INDEX(_xlfn.TEXTSPLIT($F9, "-"), 3))</f>
        <v>DIS</v>
      </c>
      <c r="D9" s="74" t="s">
        <v>1008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1008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1021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 t="str" cm="1">
        <f t="array" ref="C11">UPPER(INDEX(_xlfn.TEXTSPLIT($F11, "-"), 3))</f>
        <v>DIS</v>
      </c>
      <c r="D11" s="74" t="s">
        <v>1008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1008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1023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 t="str" cm="1">
        <f t="array" ref="C13">UPPER(INDEX(_xlfn.TEXTSPLIT($F13, "-"), 3))</f>
        <v>DIS</v>
      </c>
      <c r="D13" s="74" t="s">
        <v>1008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1008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1025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 t="str" cm="1">
        <f t="array" ref="C15">UPPER(INDEX(_xlfn.TEXTSPLIT($F15, "-"), 3))</f>
        <v>DIS</v>
      </c>
      <c r="D15" s="74" t="s">
        <v>1008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1009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1055</v>
      </c>
      <c r="O16" s="82" t="s">
        <v>108</v>
      </c>
      <c r="P16" s="82" t="s">
        <v>1027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 t="str" cm="1">
        <f t="array" ref="C17">UPPER(INDEX(_xlfn.TEXTSPLIT($F17, "-"), 3))</f>
        <v>DTG</v>
      </c>
      <c r="D17" s="74" t="s">
        <v>1009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1055</v>
      </c>
      <c r="O17" s="74" t="s">
        <v>108</v>
      </c>
      <c r="P17" s="74" t="s">
        <v>1028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1009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1055</v>
      </c>
      <c r="O18" s="82" t="s">
        <v>108</v>
      </c>
      <c r="P18" s="82" t="s">
        <v>1029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 t="str" cm="1">
        <f t="array" ref="C19">UPPER(INDEX(_xlfn.TEXTSPLIT($F19, "-"), 3))</f>
        <v>DTG</v>
      </c>
      <c r="D19" s="74" t="s">
        <v>1009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1055</v>
      </c>
      <c r="O19" s="74" t="s">
        <v>108</v>
      </c>
      <c r="P19" s="74" t="s">
        <v>1030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1009</v>
      </c>
      <c r="E20" s="82" t="s">
        <v>24</v>
      </c>
      <c r="F20" s="82" t="s">
        <v>982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1056</v>
      </c>
      <c r="O20" s="82" t="s">
        <v>108</v>
      </c>
      <c r="P20" s="82" t="s">
        <v>1031</v>
      </c>
      <c r="Q20" s="83" t="str">
        <f t="shared" si="1"/>
        <v>p-dtg-mq-lb-bp</v>
      </c>
    </row>
    <row r="21" spans="1:17" x14ac:dyDescent="0.3">
      <c r="A21" s="90"/>
      <c r="B21" s="74" t="s">
        <v>952</v>
      </c>
      <c r="C21" s="74" t="str" cm="1">
        <f t="array" ref="C21">UPPER(INDEX(_xlfn.TEXTSPLIT($F21, "-"), 3))</f>
        <v>DTG</v>
      </c>
      <c r="D21" s="74" t="s">
        <v>1009</v>
      </c>
      <c r="E21" s="74" t="s">
        <v>24</v>
      </c>
      <c r="F21" s="74" t="s">
        <v>983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1055</v>
      </c>
      <c r="O21" s="74" t="s">
        <v>108</v>
      </c>
      <c r="P21" s="74" t="s">
        <v>1032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1009</v>
      </c>
      <c r="E22" s="82" t="s">
        <v>24</v>
      </c>
      <c r="F22" s="82" t="s">
        <v>984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1055</v>
      </c>
      <c r="O22" s="82" t="s">
        <v>108</v>
      </c>
      <c r="P22" s="82" t="s">
        <v>1033</v>
      </c>
      <c r="Q22" s="83" t="str">
        <f t="shared" si="1"/>
        <v>p-dtg-admap-lb-bp</v>
      </c>
    </row>
    <row r="23" spans="1:17" x14ac:dyDescent="0.3">
      <c r="A23" s="90"/>
      <c r="B23" s="74" t="s">
        <v>952</v>
      </c>
      <c r="C23" s="74" t="str" cm="1">
        <f t="array" ref="C23">UPPER(INDEX(_xlfn.TEXTSPLIT($F23, "-"), 3))</f>
        <v>DTG</v>
      </c>
      <c r="D23" s="74" t="s">
        <v>1009</v>
      </c>
      <c r="E23" s="74" t="s">
        <v>24</v>
      </c>
      <c r="F23" s="74" t="s">
        <v>985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1056</v>
      </c>
      <c r="O23" s="74" t="s">
        <v>108</v>
      </c>
      <c r="P23" s="74" t="s">
        <v>1034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1009</v>
      </c>
      <c r="E24" s="82" t="s">
        <v>24</v>
      </c>
      <c r="F24" s="82" t="s">
        <v>986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1055</v>
      </c>
      <c r="O24" s="82" t="s">
        <v>108</v>
      </c>
      <c r="P24" s="82" t="s">
        <v>1035</v>
      </c>
      <c r="Q24" s="83" t="str">
        <f t="shared" si="1"/>
        <v>p-dtg-cdmlap-lb-bp</v>
      </c>
    </row>
    <row r="25" spans="1:17" x14ac:dyDescent="0.3">
      <c r="A25" s="90"/>
      <c r="B25" s="74" t="s">
        <v>952</v>
      </c>
      <c r="C25" s="74" t="str" cm="1">
        <f t="array" ref="C25">UPPER(INDEX(_xlfn.TEXTSPLIT($F25, "-"), 3))</f>
        <v>DTG</v>
      </c>
      <c r="D25" s="74" t="s">
        <v>1009</v>
      </c>
      <c r="E25" s="74" t="s">
        <v>24</v>
      </c>
      <c r="F25" s="74" t="s">
        <v>987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1055</v>
      </c>
      <c r="O25" s="74" t="s">
        <v>108</v>
      </c>
      <c r="P25" s="74" t="s">
        <v>1036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1009</v>
      </c>
      <c r="E26" s="82" t="s">
        <v>24</v>
      </c>
      <c r="F26" s="82" t="s">
        <v>988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1055</v>
      </c>
      <c r="O26" s="82" t="s">
        <v>108</v>
      </c>
      <c r="P26" s="82" t="s">
        <v>1037</v>
      </c>
      <c r="Q26" s="83" t="str">
        <f t="shared" si="1"/>
        <v>p-dtg-cdsvadm-lb-bp</v>
      </c>
    </row>
    <row r="27" spans="1:17" x14ac:dyDescent="0.3">
      <c r="A27" s="90"/>
      <c r="B27" s="74" t="s">
        <v>952</v>
      </c>
      <c r="C27" s="74" t="str" cm="1">
        <f t="array" ref="C27">UPPER(INDEX(_xlfn.TEXTSPLIT($F27, "-"), 3))</f>
        <v>DTG</v>
      </c>
      <c r="D27" s="74" t="s">
        <v>1009</v>
      </c>
      <c r="E27" s="74" t="s">
        <v>24</v>
      </c>
      <c r="F27" s="74" t="s">
        <v>989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1055</v>
      </c>
      <c r="O27" s="74" t="s">
        <v>108</v>
      </c>
      <c r="P27" s="74" t="s">
        <v>1038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1009</v>
      </c>
      <c r="E28" s="82" t="s">
        <v>24</v>
      </c>
      <c r="F28" s="82" t="s">
        <v>990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1055</v>
      </c>
      <c r="O28" s="82" t="s">
        <v>108</v>
      </c>
      <c r="P28" s="82" t="s">
        <v>1039</v>
      </c>
      <c r="Q28" s="83" t="str">
        <f t="shared" si="1"/>
        <v>p-dtg-diosweb-lb-bp</v>
      </c>
    </row>
    <row r="29" spans="1:17" x14ac:dyDescent="0.3">
      <c r="A29" s="90"/>
      <c r="B29" s="74" t="s">
        <v>952</v>
      </c>
      <c r="C29" s="74" t="str" cm="1">
        <f t="array" ref="C29">UPPER(INDEX(_xlfn.TEXTSPLIT($F29, "-"), 3))</f>
        <v>DTG</v>
      </c>
      <c r="D29" s="74" t="s">
        <v>1009</v>
      </c>
      <c r="E29" s="74" t="s">
        <v>24</v>
      </c>
      <c r="F29" s="74" t="s">
        <v>991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1056</v>
      </c>
      <c r="O29" s="74" t="s">
        <v>108</v>
      </c>
      <c r="P29" s="74" t="s">
        <v>1040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1009</v>
      </c>
      <c r="E30" s="82" t="s">
        <v>24</v>
      </c>
      <c r="F30" s="82" t="s">
        <v>992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1055</v>
      </c>
      <c r="O30" s="82" t="s">
        <v>108</v>
      </c>
      <c r="P30" s="82" t="s">
        <v>1041</v>
      </c>
      <c r="Q30" s="83" t="str">
        <f t="shared" si="1"/>
        <v>p-dtg-dprap-lb-bp</v>
      </c>
    </row>
    <row r="31" spans="1:17" x14ac:dyDescent="0.3">
      <c r="A31" s="90"/>
      <c r="B31" s="74" t="s">
        <v>952</v>
      </c>
      <c r="C31" s="74" t="str" cm="1">
        <f t="array" ref="C31">UPPER(INDEX(_xlfn.TEXTSPLIT($F31, "-"), 3))</f>
        <v>BDP</v>
      </c>
      <c r="D31" s="74" t="s">
        <v>1010</v>
      </c>
      <c r="E31" s="74" t="s">
        <v>24</v>
      </c>
      <c r="F31" s="74" t="s">
        <v>993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1057</v>
      </c>
      <c r="O31" s="74" t="s">
        <v>108</v>
      </c>
      <c r="P31" s="74" t="s">
        <v>1042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1010</v>
      </c>
      <c r="E32" s="82" t="s">
        <v>24</v>
      </c>
      <c r="F32" s="82" t="s">
        <v>994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1057</v>
      </c>
      <c r="O32" s="82" t="s">
        <v>108</v>
      </c>
      <c r="P32" s="82" t="s">
        <v>1043</v>
      </c>
      <c r="Q32" s="83" t="str">
        <f t="shared" si="1"/>
        <v>p-bdp-slap-lb-bp</v>
      </c>
    </row>
    <row r="33" spans="1:17" x14ac:dyDescent="0.3">
      <c r="A33" s="90"/>
      <c r="B33" s="74" t="s">
        <v>952</v>
      </c>
      <c r="C33" s="74" t="str" cm="1">
        <f t="array" ref="C33">UPPER(INDEX(_xlfn.TEXTSPLIT($F33, "-"), 3))</f>
        <v>IF</v>
      </c>
      <c r="D33" s="74" t="s">
        <v>1011</v>
      </c>
      <c r="E33" s="74" t="s">
        <v>24</v>
      </c>
      <c r="F33" s="74" t="s">
        <v>995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1058</v>
      </c>
      <c r="O33" s="74" t="s">
        <v>108</v>
      </c>
      <c r="P33" s="74" t="s">
        <v>1044</v>
      </c>
      <c r="Q33" s="84" t="str">
        <f t="shared" si="1"/>
        <v>p-if-auth-lb-bp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IF</v>
      </c>
      <c r="D34" s="82" t="s">
        <v>1011</v>
      </c>
      <c r="E34" s="82" t="s">
        <v>24</v>
      </c>
      <c r="F34" s="82" t="s">
        <v>996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1059</v>
      </c>
      <c r="O34" s="82" t="s">
        <v>108</v>
      </c>
      <c r="P34" s="82" t="s">
        <v>1045</v>
      </c>
      <c r="Q34" s="83" t="str">
        <f t="shared" si="1"/>
        <v>p-if-proxy-lb-bp</v>
      </c>
    </row>
    <row r="35" spans="1:17" x14ac:dyDescent="0.3">
      <c r="A35" s="90"/>
      <c r="B35" s="74" t="s">
        <v>952</v>
      </c>
      <c r="C35" s="74" t="str" cm="1">
        <f t="array" ref="C35">UPPER(INDEX(_xlfn.TEXTSPLIT($F35, "-"), 3))</f>
        <v>CS</v>
      </c>
      <c r="D35" s="74" t="s">
        <v>1012</v>
      </c>
      <c r="E35" s="74" t="s">
        <v>24</v>
      </c>
      <c r="F35" s="74" t="s">
        <v>997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1060</v>
      </c>
      <c r="O35" s="74" t="s">
        <v>108</v>
      </c>
      <c r="P35" s="74" t="s">
        <v>1046</v>
      </c>
      <c r="Q35" s="84" t="str">
        <f t="shared" si="1"/>
        <v>p-cs-chtap-lb-bp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CS</v>
      </c>
      <c r="D36" s="82" t="s">
        <v>1012</v>
      </c>
      <c r="E36" s="82" t="s">
        <v>24</v>
      </c>
      <c r="F36" s="82" t="s">
        <v>998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1061</v>
      </c>
      <c r="O36" s="82" t="s">
        <v>108</v>
      </c>
      <c r="P36" s="82" t="s">
        <v>1047</v>
      </c>
      <c r="Q36" s="83" t="str">
        <f t="shared" si="1"/>
        <v>p-cs-chtweb-lb-bp</v>
      </c>
    </row>
    <row r="37" spans="1:17" x14ac:dyDescent="0.3">
      <c r="A37" s="90"/>
      <c r="B37" s="74" t="s">
        <v>952</v>
      </c>
      <c r="C37" s="74" t="str" cm="1">
        <f t="array" ref="C37">UPPER(INDEX(_xlfn.TEXTSPLIT($F37, "-"), 3))</f>
        <v>CS</v>
      </c>
      <c r="D37" s="74" t="s">
        <v>1012</v>
      </c>
      <c r="E37" s="74" t="s">
        <v>24</v>
      </c>
      <c r="F37" s="74" t="s">
        <v>999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1060</v>
      </c>
      <c r="O37" s="74" t="s">
        <v>108</v>
      </c>
      <c r="P37" s="74" t="s">
        <v>1048</v>
      </c>
      <c r="Q37" s="84" t="str">
        <f t="shared" si="1"/>
        <v>p-cs-chtintweb-lb-bp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DOIP</v>
      </c>
      <c r="D38" s="82" t="s">
        <v>1013</v>
      </c>
      <c r="E38" s="82" t="s">
        <v>24</v>
      </c>
      <c r="F38" s="82" t="s">
        <v>1000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1062</v>
      </c>
      <c r="O38" s="82" t="s">
        <v>108</v>
      </c>
      <c r="P38" s="82" t="s">
        <v>1049</v>
      </c>
      <c r="Q38" s="83" t="str">
        <f t="shared" si="1"/>
        <v>p-doip-web-lb-bp</v>
      </c>
    </row>
    <row r="39" spans="1:17" x14ac:dyDescent="0.3">
      <c r="A39" s="90"/>
      <c r="B39" s="74" t="s">
        <v>952</v>
      </c>
      <c r="C39" s="74" t="str" cm="1">
        <f t="array" ref="C39">UPPER(INDEX(_xlfn.TEXTSPLIT($F39, "-"), 3))</f>
        <v>DOIP</v>
      </c>
      <c r="D39" s="74" t="s">
        <v>1013</v>
      </c>
      <c r="E39" s="74" t="s">
        <v>24</v>
      </c>
      <c r="F39" s="74" t="s">
        <v>1001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1062</v>
      </c>
      <c r="O39" s="74" t="s">
        <v>108</v>
      </c>
      <c r="P39" s="74" t="s">
        <v>1050</v>
      </c>
      <c r="Q39" s="84" t="str">
        <f t="shared" si="1"/>
        <v>p-doip-ap-lb-bp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1013</v>
      </c>
      <c r="E40" s="82" t="s">
        <v>24</v>
      </c>
      <c r="F40" s="82" t="s">
        <v>1002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1062</v>
      </c>
      <c r="O40" s="82" t="s">
        <v>108</v>
      </c>
      <c r="P40" s="82" t="s">
        <v>1051</v>
      </c>
      <c r="Q40" s="83" t="str">
        <f t="shared" si="1"/>
        <v>p-doip-adm-lb-bp</v>
      </c>
    </row>
    <row r="41" spans="1:17" x14ac:dyDescent="0.3">
      <c r="A41" s="90"/>
      <c r="B41" s="74" t="s">
        <v>952</v>
      </c>
      <c r="C41" s="74" t="str" cm="1">
        <f t="array" ref="C41">UPPER(INDEX(_xlfn.TEXTSPLIT($F41, "-"), 3))</f>
        <v>BDP</v>
      </c>
      <c r="D41" s="74" t="s">
        <v>1010</v>
      </c>
      <c r="E41" s="74" t="s">
        <v>24</v>
      </c>
      <c r="F41" s="74" t="s">
        <v>1003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1063</v>
      </c>
      <c r="O41" s="74" t="s">
        <v>108</v>
      </c>
      <c r="P41" s="74" t="s">
        <v>1052</v>
      </c>
      <c r="Q41" s="84" t="str">
        <f t="shared" si="1"/>
        <v>p-bdp-crkweb-lb-bp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BDP</v>
      </c>
      <c r="D42" s="82" t="s">
        <v>1010</v>
      </c>
      <c r="E42" s="82" t="s">
        <v>24</v>
      </c>
      <c r="F42" s="82" t="s">
        <v>1004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1057</v>
      </c>
      <c r="O42" s="82" t="s">
        <v>108</v>
      </c>
      <c r="P42" s="82" t="s">
        <v>1053</v>
      </c>
      <c r="Q42" s="83" t="str">
        <f t="shared" si="1"/>
        <v>p-bdp-crkap-lb-bp</v>
      </c>
    </row>
    <row r="43" spans="1:17" x14ac:dyDescent="0.3">
      <c r="A43" s="90"/>
      <c r="B43" s="74" t="s">
        <v>952</v>
      </c>
      <c r="C43" s="74" t="str" cm="1">
        <f t="array" ref="C43">UPPER(INDEX(_xlfn.TEXTSPLIT($F43, "-"), 3))</f>
        <v>BDP</v>
      </c>
      <c r="D43" s="74" t="s">
        <v>1010</v>
      </c>
      <c r="E43" s="74" t="s">
        <v>24</v>
      </c>
      <c r="F43" s="74" t="s">
        <v>1005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1057</v>
      </c>
      <c r="O43" s="74" t="s">
        <v>108</v>
      </c>
      <c r="P43" s="74" t="s">
        <v>1054</v>
      </c>
      <c r="Q43" s="84" t="str">
        <f t="shared" si="1"/>
        <v>p-bdp-crkml-lb-bp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topLeftCell="A28" workbookViewId="0">
      <selection activeCell="A59" sqref="A59:A6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1:11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1:11" x14ac:dyDescent="0.3">
      <c r="B34" s="102" t="s">
        <v>1073</v>
      </c>
      <c r="C34" s="102"/>
      <c r="D34" s="102" t="s">
        <v>1009</v>
      </c>
      <c r="E34" s="102" t="s">
        <v>1074</v>
      </c>
      <c r="F34" s="107" t="str">
        <f t="shared" si="0"/>
        <v>p-dtg-cdmlap-lb-pb?</v>
      </c>
      <c r="G34" s="102" t="s">
        <v>57</v>
      </c>
      <c r="H34" s="102" t="s">
        <v>1082</v>
      </c>
      <c r="I34" s="102"/>
      <c r="J34" s="102">
        <v>5</v>
      </c>
      <c r="K34" s="10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1:11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51" t="str">
        <f t="shared" ref="F52" si="12">SUBSTITUTE(E52, "hazr-", "")&amp;"-pb"&amp;H52</f>
        <v>p-if-proxy-lb-pb8080</v>
      </c>
      <c r="G52" s="82" t="s">
        <v>1079</v>
      </c>
      <c r="H52" s="82">
        <v>8080</v>
      </c>
      <c r="I52" s="82"/>
      <c r="J52" s="82"/>
      <c r="K52" s="82"/>
    </row>
    <row r="53" spans="1:11" x14ac:dyDescent="0.3">
      <c r="B53" s="102" t="s">
        <v>1083</v>
      </c>
      <c r="C53" s="102"/>
      <c r="D53" s="102" t="s">
        <v>1012</v>
      </c>
      <c r="E53" s="102" t="s">
        <v>997</v>
      </c>
      <c r="F53" s="107" t="str">
        <f t="shared" si="11"/>
        <v>p-cs-chtap-lb-pb?</v>
      </c>
      <c r="G53" s="102" t="s">
        <v>57</v>
      </c>
      <c r="H53" s="102" t="s">
        <v>1082</v>
      </c>
      <c r="I53" s="102"/>
      <c r="J53" s="102">
        <v>5</v>
      </c>
      <c r="K53" s="102">
        <v>2</v>
      </c>
    </row>
    <row r="54" spans="1:11" x14ac:dyDescent="0.3">
      <c r="B54" s="102" t="s">
        <v>1083</v>
      </c>
      <c r="C54" s="102"/>
      <c r="D54" s="102" t="s">
        <v>1012</v>
      </c>
      <c r="E54" s="102" t="s">
        <v>1084</v>
      </c>
      <c r="F54" s="107" t="str">
        <f t="shared" si="11"/>
        <v>p-cs-chtweb-lb-pb?</v>
      </c>
      <c r="G54" s="102" t="s">
        <v>57</v>
      </c>
      <c r="H54" s="102" t="s">
        <v>1082</v>
      </c>
      <c r="I54" s="102"/>
      <c r="J54" s="102">
        <v>5</v>
      </c>
      <c r="K54" s="102">
        <v>2</v>
      </c>
    </row>
    <row r="55" spans="1:11" x14ac:dyDescent="0.3">
      <c r="B55" s="102" t="s">
        <v>1083</v>
      </c>
      <c r="C55" s="102"/>
      <c r="D55" s="102" t="s">
        <v>1012</v>
      </c>
      <c r="E55" s="102" t="s">
        <v>999</v>
      </c>
      <c r="F55" s="107" t="str">
        <f t="shared" si="11"/>
        <v>p-cs-chtintweb-lb-pb?</v>
      </c>
      <c r="G55" s="102" t="s">
        <v>57</v>
      </c>
      <c r="H55" s="102" t="s">
        <v>1082</v>
      </c>
      <c r="I55" s="102"/>
      <c r="J55" s="102">
        <v>5</v>
      </c>
      <c r="K55" s="102">
        <v>2</v>
      </c>
    </row>
    <row r="56" spans="1:11" x14ac:dyDescent="0.3">
      <c r="B56" s="102" t="s">
        <v>1083</v>
      </c>
      <c r="C56" s="102"/>
      <c r="D56" s="102" t="s">
        <v>1013</v>
      </c>
      <c r="E56" s="102" t="s">
        <v>1085</v>
      </c>
      <c r="F56" s="107" t="str">
        <f t="shared" si="11"/>
        <v>p-doip-web-lb-pb?</v>
      </c>
      <c r="G56" s="102" t="s">
        <v>57</v>
      </c>
      <c r="H56" s="102" t="s">
        <v>1082</v>
      </c>
      <c r="I56" s="102"/>
      <c r="J56" s="102">
        <v>5</v>
      </c>
      <c r="K56" s="102">
        <v>2</v>
      </c>
    </row>
    <row r="57" spans="1:11" x14ac:dyDescent="0.3">
      <c r="B57" s="102" t="s">
        <v>1083</v>
      </c>
      <c r="C57" s="102"/>
      <c r="D57" s="102" t="s">
        <v>1013</v>
      </c>
      <c r="E57" s="102" t="s">
        <v>1001</v>
      </c>
      <c r="F57" s="107" t="str">
        <f t="shared" si="11"/>
        <v>p-doip-ap-lb-pb?</v>
      </c>
      <c r="G57" s="102" t="s">
        <v>57</v>
      </c>
      <c r="H57" s="102" t="s">
        <v>1082</v>
      </c>
      <c r="I57" s="102"/>
      <c r="J57" s="102">
        <v>5</v>
      </c>
      <c r="K57" s="102">
        <v>2</v>
      </c>
    </row>
    <row r="58" spans="1:11" x14ac:dyDescent="0.3">
      <c r="B58" s="102" t="s">
        <v>1083</v>
      </c>
      <c r="C58" s="102"/>
      <c r="D58" s="102" t="s">
        <v>1013</v>
      </c>
      <c r="E58" s="102" t="s">
        <v>1086</v>
      </c>
      <c r="F58" s="107" t="str">
        <f t="shared" si="11"/>
        <v>p-doip-adm-lb-pb?</v>
      </c>
      <c r="G58" s="102" t="s">
        <v>57</v>
      </c>
      <c r="H58" s="102" t="s">
        <v>1082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40" workbookViewId="0">
      <selection activeCell="F58" sqref="F58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82" t="str">
        <f t="shared" ref="F2:F20" si="0">SUBSTITUTE(E2, "hazr-", "")&amp;"-rule"&amp;O2</f>
        <v>p-dis-ap-lb-rule8080</v>
      </c>
      <c r="G2" s="82" t="str">
        <f t="shared" ref="G2:G33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3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74" t="str">
        <f t="shared" ref="F21:F30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0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82" t="str">
        <f t="shared" si="4"/>
        <v>p-dtg-mq-lb-rule1883</v>
      </c>
      <c r="G27" s="82" t="str">
        <f t="shared" si="1"/>
        <v>p-dtg-mq-lb-fe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p-dtg-mq-lb-bp</v>
      </c>
      <c r="L27" s="82">
        <v>1883</v>
      </c>
      <c r="M27" s="82" t="str">
        <f t="shared" si="5"/>
        <v>p-dtg-mq-lb-pb1883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82" t="str">
        <f t="shared" si="4"/>
        <v>p-dtg-mq-lb-rule1884</v>
      </c>
      <c r="G28" s="82" t="str">
        <f t="shared" si="1"/>
        <v>p-dtg-mq-lb-fe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p-dtg-mq-lb-bp</v>
      </c>
      <c r="L28" s="82">
        <v>1884</v>
      </c>
      <c r="M28" s="82" t="str">
        <f t="shared" si="5"/>
        <v>p-dtg-mq-lb-pb1884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74" t="str">
        <f t="shared" si="4"/>
        <v>p-dtg-admweb-lb-rule8088</v>
      </c>
      <c r="G29" s="74" t="str">
        <f t="shared" si="1"/>
        <v>p-dtg-admweb-lb-fe</v>
      </c>
      <c r="H29" s="74" t="s">
        <v>57</v>
      </c>
      <c r="I29" s="74">
        <v>8088</v>
      </c>
      <c r="J29" s="74" t="b">
        <v>0</v>
      </c>
      <c r="K29" s="74" t="str">
        <f t="shared" si="2"/>
        <v>p-dtg-admweb-lb-bp</v>
      </c>
      <c r="L29" s="74">
        <v>8088</v>
      </c>
      <c r="M29" s="74" t="str">
        <f t="shared" si="5"/>
        <v>p-dtg-admweb-lb-pb8088</v>
      </c>
      <c r="N29" s="74" t="s">
        <v>57</v>
      </c>
      <c r="O29" s="74">
        <v>8088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82" t="str">
        <f t="shared" si="4"/>
        <v>p-dtg-admap-lb-rule8085</v>
      </c>
      <c r="G30" s="82" t="str">
        <f t="shared" si="1"/>
        <v>p-dtg-admap-lb-fe</v>
      </c>
      <c r="H30" s="82" t="s">
        <v>57</v>
      </c>
      <c r="I30" s="82">
        <v>8085</v>
      </c>
      <c r="J30" s="82" t="b">
        <v>0</v>
      </c>
      <c r="K30" s="82" t="str">
        <f t="shared" si="2"/>
        <v>p-dtg-admap-lb-bp</v>
      </c>
      <c r="L30" s="82">
        <v>8085</v>
      </c>
      <c r="M30" s="82" t="str">
        <f t="shared" si="5"/>
        <v>p-dtg-admap-lb-pb8085</v>
      </c>
      <c r="N30" s="82" t="s">
        <v>57</v>
      </c>
      <c r="O30" s="82">
        <v>8085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82" t="str">
        <f t="shared" ref="F31:F62" si="6">SUBSTITUTE(E31, "hazr-", "")&amp;"-rule"&amp;O31</f>
        <v>p-dtg-admap-lb-rule8087</v>
      </c>
      <c r="G31" s="82" t="str">
        <f t="shared" si="1"/>
        <v>p-dtg-admap-lb-fe</v>
      </c>
      <c r="H31" s="82" t="s">
        <v>57</v>
      </c>
      <c r="I31" s="82">
        <v>8087</v>
      </c>
      <c r="J31" s="82" t="b">
        <v>0</v>
      </c>
      <c r="K31" s="82" t="str">
        <f t="shared" si="2"/>
        <v>p-dtg-admap-lb-bp</v>
      </c>
      <c r="L31" s="82">
        <v>8087</v>
      </c>
      <c r="M31" s="82" t="str">
        <f t="shared" ref="M31:M62" si="7">SUBSTITUTE(E31, "hazr-", "")&amp;"-pb"&amp;IF(O31="", "", O31)</f>
        <v>p-dtg-admap-lb-pb8087</v>
      </c>
      <c r="N31" s="82" t="s">
        <v>57</v>
      </c>
      <c r="O31" s="82">
        <v>8087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74" t="str">
        <f t="shared" si="6"/>
        <v>p-dtg-web-lb-rule8080</v>
      </c>
      <c r="G32" s="74" t="str">
        <f t="shared" si="1"/>
        <v>p-dtg-web-lb-fe</v>
      </c>
      <c r="H32" s="74" t="s">
        <v>57</v>
      </c>
      <c r="I32" s="74">
        <v>8080</v>
      </c>
      <c r="J32" s="74" t="b">
        <v>0</v>
      </c>
      <c r="K32" s="74" t="str">
        <f t="shared" si="2"/>
        <v>p-dtg-web-lb-bp</v>
      </c>
      <c r="L32" s="74">
        <v>8080</v>
      </c>
      <c r="M32" s="74" t="str">
        <f t="shared" si="7"/>
        <v>p-dtg-web-lb-pb8080</v>
      </c>
      <c r="N32" s="74" t="s">
        <v>57</v>
      </c>
      <c r="O32" s="74">
        <v>8080</v>
      </c>
      <c r="P32" s="74">
        <v>4</v>
      </c>
      <c r="Q32" s="74" t="s">
        <v>123</v>
      </c>
      <c r="R32" s="74" t="b">
        <v>1</v>
      </c>
      <c r="S32" s="74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74" t="str">
        <f t="shared" si="6"/>
        <v>p-dtg-web-lb-rule8081</v>
      </c>
      <c r="G33" s="74" t="str">
        <f t="shared" si="1"/>
        <v>p-dtg-web-lb-fe</v>
      </c>
      <c r="H33" s="74" t="s">
        <v>57</v>
      </c>
      <c r="I33" s="74">
        <v>8081</v>
      </c>
      <c r="J33" s="74" t="b">
        <v>0</v>
      </c>
      <c r="K33" s="74" t="str">
        <f t="shared" si="2"/>
        <v>p-dtg-web-lb-bp</v>
      </c>
      <c r="L33" s="74">
        <v>8081</v>
      </c>
      <c r="M33" s="74" t="str">
        <f t="shared" si="7"/>
        <v>p-dtg-web-lb-pb8081</v>
      </c>
      <c r="N33" s="74" t="s">
        <v>57</v>
      </c>
      <c r="O33" s="74">
        <v>8081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B34" s="102" t="s">
        <v>1083</v>
      </c>
      <c r="C34" s="102"/>
      <c r="D34" s="102" t="s">
        <v>1009</v>
      </c>
      <c r="E34" s="102" t="s">
        <v>1074</v>
      </c>
      <c r="F34" s="102" t="str">
        <f t="shared" si="6"/>
        <v>p-dtg-cdmlap-lb-rule?</v>
      </c>
      <c r="G34" s="102" t="str">
        <f t="shared" ref="G34:G62" si="8">SUBSTITUTE(E34, "hazr-", "")&amp;"-fe"</f>
        <v>p-dtg-cdmlap-lb-fe</v>
      </c>
      <c r="H34" s="102" t="s">
        <v>57</v>
      </c>
      <c r="I34" s="102" t="s">
        <v>1082</v>
      </c>
      <c r="J34" s="102" t="b">
        <v>0</v>
      </c>
      <c r="K34" s="102" t="str">
        <f t="shared" ref="K34:K62" si="9">SUBSTITUTE(E34, "hazr-", "")&amp;"-bp"</f>
        <v>p-dtg-cdmlap-lb-bp</v>
      </c>
      <c r="L34" s="102" t="s">
        <v>1082</v>
      </c>
      <c r="M34" s="102" t="str">
        <f t="shared" si="7"/>
        <v>p-dtg-cdmlap-lb-pb?</v>
      </c>
      <c r="N34" s="102" t="s">
        <v>57</v>
      </c>
      <c r="O34" s="102" t="s">
        <v>1082</v>
      </c>
      <c r="P34" s="102">
        <v>4</v>
      </c>
      <c r="Q34" s="102" t="s">
        <v>123</v>
      </c>
      <c r="R34" s="102" t="b">
        <v>1</v>
      </c>
      <c r="S34" s="10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74" t="str">
        <f t="shared" si="6"/>
        <v>p-dtg-cdstap-lb-rule9305</v>
      </c>
      <c r="G35" s="74" t="str">
        <f t="shared" si="8"/>
        <v>p-dtg-cdstap-lb-fe</v>
      </c>
      <c r="H35" s="74" t="s">
        <v>57</v>
      </c>
      <c r="I35" s="74">
        <v>9305</v>
      </c>
      <c r="J35" s="74" t="b">
        <v>0</v>
      </c>
      <c r="K35" s="74" t="str">
        <f t="shared" si="9"/>
        <v>p-dtg-cdstap-lb-bp</v>
      </c>
      <c r="L35" s="74">
        <v>9305</v>
      </c>
      <c r="M35" s="74" t="str">
        <f t="shared" si="7"/>
        <v>p-dtg-cdstap-lb-pb9305</v>
      </c>
      <c r="N35" s="74" t="s">
        <v>57</v>
      </c>
      <c r="O35" s="74">
        <v>9305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74" t="str">
        <f t="shared" si="6"/>
        <v>p-dtg-cdstap-lb-rule9306</v>
      </c>
      <c r="G36" s="74" t="str">
        <f t="shared" si="8"/>
        <v>p-dtg-cdstap-lb-fe</v>
      </c>
      <c r="H36" s="74" t="s">
        <v>57</v>
      </c>
      <c r="I36" s="74">
        <v>9306</v>
      </c>
      <c r="J36" s="74" t="b">
        <v>0</v>
      </c>
      <c r="K36" s="74" t="str">
        <f t="shared" si="9"/>
        <v>p-dtg-cdstap-lb-bp</v>
      </c>
      <c r="L36" s="74">
        <v>9306</v>
      </c>
      <c r="M36" s="74" t="str">
        <f t="shared" si="7"/>
        <v>p-dtg-cdstap-lb-pb9306</v>
      </c>
      <c r="N36" s="74" t="s">
        <v>57</v>
      </c>
      <c r="O36" s="74">
        <v>9306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82" t="str">
        <f t="shared" si="6"/>
        <v>p-dtg-cdsvadm-lb-rule9100</v>
      </c>
      <c r="G37" s="82" t="str">
        <f t="shared" si="8"/>
        <v>p-dtg-cdsvadm-lb-fe</v>
      </c>
      <c r="H37" s="82" t="s">
        <v>57</v>
      </c>
      <c r="I37" s="82">
        <v>9100</v>
      </c>
      <c r="J37" s="82" t="b">
        <v>0</v>
      </c>
      <c r="K37" s="82" t="str">
        <f t="shared" si="9"/>
        <v>p-dtg-cdsvadm-lb-bp</v>
      </c>
      <c r="L37" s="82">
        <v>9100</v>
      </c>
      <c r="M37" s="82" t="str">
        <f t="shared" si="7"/>
        <v>p-dtg-cdsvadm-lb-pb9100</v>
      </c>
      <c r="N37" s="82" t="s">
        <v>57</v>
      </c>
      <c r="O37" s="82">
        <v>9100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82" t="str">
        <f t="shared" si="6"/>
        <v>p-dtg-cdsvadm-lb-rule9300</v>
      </c>
      <c r="G38" s="82" t="str">
        <f t="shared" si="8"/>
        <v>p-dtg-cdsvadm-lb-fe</v>
      </c>
      <c r="H38" s="82" t="s">
        <v>57</v>
      </c>
      <c r="I38" s="82">
        <v>9300</v>
      </c>
      <c r="J38" s="82" t="b">
        <v>0</v>
      </c>
      <c r="K38" s="82" t="str">
        <f t="shared" si="9"/>
        <v>p-dtg-cdsvadm-lb-bp</v>
      </c>
      <c r="L38" s="82">
        <v>9300</v>
      </c>
      <c r="M38" s="82" t="str">
        <f t="shared" si="7"/>
        <v>p-dtg-cdsvadm-lb-pb9300</v>
      </c>
      <c r="N38" s="82" t="s">
        <v>57</v>
      </c>
      <c r="O38" s="82">
        <v>9300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82" t="str">
        <f t="shared" si="6"/>
        <v>p-dtg-cdsvadm-lb-rule9105</v>
      </c>
      <c r="G39" s="82" t="str">
        <f t="shared" si="8"/>
        <v>p-dtg-cdsvadm-lb-fe</v>
      </c>
      <c r="H39" s="82" t="s">
        <v>57</v>
      </c>
      <c r="I39" s="82">
        <v>9105</v>
      </c>
      <c r="J39" s="82" t="b">
        <v>0</v>
      </c>
      <c r="K39" s="82" t="str">
        <f t="shared" si="9"/>
        <v>p-dtg-cdsvadm-lb-bp</v>
      </c>
      <c r="L39" s="82">
        <v>9105</v>
      </c>
      <c r="M39" s="82" t="str">
        <f t="shared" si="7"/>
        <v>p-dtg-cdsvadm-lb-pb9105</v>
      </c>
      <c r="N39" s="82" t="s">
        <v>57</v>
      </c>
      <c r="O39" s="82">
        <v>9105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82" t="str">
        <f t="shared" si="6"/>
        <v>p-dtg-cdsvadm-lb-rule9003</v>
      </c>
      <c r="G40" s="82" t="str">
        <f t="shared" si="8"/>
        <v>p-dtg-cdsvadm-lb-fe</v>
      </c>
      <c r="H40" s="82" t="s">
        <v>57</v>
      </c>
      <c r="I40" s="82">
        <v>9003</v>
      </c>
      <c r="J40" s="82" t="b">
        <v>0</v>
      </c>
      <c r="K40" s="82" t="str">
        <f t="shared" si="9"/>
        <v>p-dtg-cdsvadm-lb-bp</v>
      </c>
      <c r="L40" s="82">
        <v>9003</v>
      </c>
      <c r="M40" s="82" t="str">
        <f t="shared" si="7"/>
        <v>p-dtg-cdsvadm-lb-pb9003</v>
      </c>
      <c r="N40" s="82" t="s">
        <v>57</v>
      </c>
      <c r="O40" s="82">
        <v>9003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82" t="str">
        <f t="shared" si="6"/>
        <v>p-dtg-cdsvadm-lb-rule8088</v>
      </c>
      <c r="G41" s="82" t="str">
        <f t="shared" si="8"/>
        <v>p-dtg-cdsvadm-lb-fe</v>
      </c>
      <c r="H41" s="82" t="s">
        <v>57</v>
      </c>
      <c r="I41" s="82">
        <v>8088</v>
      </c>
      <c r="J41" s="82" t="b">
        <v>0</v>
      </c>
      <c r="K41" s="82" t="str">
        <f t="shared" si="9"/>
        <v>p-dtg-cdsvadm-lb-bp</v>
      </c>
      <c r="L41" s="82">
        <v>8088</v>
      </c>
      <c r="M41" s="82" t="str">
        <f t="shared" si="7"/>
        <v>p-dtg-cdsvadm-lb-pb8088</v>
      </c>
      <c r="N41" s="82" t="s">
        <v>57</v>
      </c>
      <c r="O41" s="82">
        <v>8088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74" t="str">
        <f t="shared" si="6"/>
        <v>p-dtg-diosap-lb-rule8080</v>
      </c>
      <c r="G42" s="74" t="str">
        <f t="shared" si="8"/>
        <v>p-dtg-diosap-lb-fe</v>
      </c>
      <c r="H42" s="74" t="s">
        <v>57</v>
      </c>
      <c r="I42" s="74">
        <v>8080</v>
      </c>
      <c r="J42" s="74" t="b">
        <v>0</v>
      </c>
      <c r="K42" s="74" t="str">
        <f t="shared" si="9"/>
        <v>p-dtg-diosap-lb-bp</v>
      </c>
      <c r="L42" s="74">
        <v>8080</v>
      </c>
      <c r="M42" s="74" t="str">
        <f t="shared" si="7"/>
        <v>p-dtg-diosap-lb-pb8080</v>
      </c>
      <c r="N42" s="74" t="s">
        <v>57</v>
      </c>
      <c r="O42" s="74">
        <v>8080</v>
      </c>
      <c r="P42" s="74">
        <v>4</v>
      </c>
      <c r="Q42" s="74" t="s">
        <v>123</v>
      </c>
      <c r="R42" s="74" t="b">
        <v>1</v>
      </c>
      <c r="S42" s="74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82" t="str">
        <f t="shared" si="6"/>
        <v>p-dtg-diosweb-lb-rule443</v>
      </c>
      <c r="G43" s="82" t="str">
        <f t="shared" si="8"/>
        <v>p-dtg-diosweb-lb-fe</v>
      </c>
      <c r="H43" s="82" t="s">
        <v>57</v>
      </c>
      <c r="I43" s="82">
        <v>443</v>
      </c>
      <c r="J43" s="82" t="b">
        <v>0</v>
      </c>
      <c r="K43" s="82" t="str">
        <f t="shared" si="9"/>
        <v>p-dtg-diosweb-lb-bp</v>
      </c>
      <c r="L43" s="82">
        <v>443</v>
      </c>
      <c r="M43" s="82" t="str">
        <f t="shared" si="7"/>
        <v>p-dtg-diosweb-lb-pb443</v>
      </c>
      <c r="N43" s="82" t="s">
        <v>57</v>
      </c>
      <c r="O43" s="82">
        <v>443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74" t="str">
        <f t="shared" si="6"/>
        <v>p-dtg-dprweb-lb-rule443</v>
      </c>
      <c r="G44" s="74" t="str">
        <f t="shared" si="8"/>
        <v>p-dtg-dprweb-lb-fe</v>
      </c>
      <c r="H44" s="74" t="s">
        <v>57</v>
      </c>
      <c r="I44" s="74">
        <v>443</v>
      </c>
      <c r="J44" s="74" t="b">
        <v>0</v>
      </c>
      <c r="K44" s="74" t="str">
        <f t="shared" si="9"/>
        <v>p-dtg-dprweb-lb-bp</v>
      </c>
      <c r="L44" s="74">
        <v>443</v>
      </c>
      <c r="M44" s="74" t="str">
        <f t="shared" si="7"/>
        <v>p-dtg-dprweb-lb-pb443</v>
      </c>
      <c r="N44" s="74" t="s">
        <v>57</v>
      </c>
      <c r="O44" s="74">
        <v>443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82" t="str">
        <f t="shared" si="6"/>
        <v>p-dtg-dprap-lb-rule8082</v>
      </c>
      <c r="G45" s="82" t="str">
        <f t="shared" si="8"/>
        <v>p-dtg-dprap-lb-fe</v>
      </c>
      <c r="H45" s="82" t="s">
        <v>57</v>
      </c>
      <c r="I45" s="82">
        <v>8082</v>
      </c>
      <c r="J45" s="82" t="b">
        <v>0</v>
      </c>
      <c r="K45" s="82" t="str">
        <f t="shared" si="9"/>
        <v>p-dtg-dprap-lb-bp</v>
      </c>
      <c r="L45" s="82">
        <v>8082</v>
      </c>
      <c r="M45" s="82" t="str">
        <f t="shared" si="7"/>
        <v>p-dtg-dprap-lb-pb8082</v>
      </c>
      <c r="N45" s="82" t="s">
        <v>57</v>
      </c>
      <c r="O45" s="82">
        <v>8082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74" t="str">
        <f t="shared" si="6"/>
        <v>p-bdp-cxmadm-lb-rule443</v>
      </c>
      <c r="G46" s="74" t="str">
        <f t="shared" si="8"/>
        <v>p-bdp-cxmadm-lb-fe</v>
      </c>
      <c r="H46" s="74" t="s">
        <v>57</v>
      </c>
      <c r="I46" s="74">
        <v>443</v>
      </c>
      <c r="J46" s="74" t="b">
        <v>0</v>
      </c>
      <c r="K46" s="74" t="str">
        <f t="shared" si="9"/>
        <v>p-bdp-cxmadm-lb-bp</v>
      </c>
      <c r="L46" s="74">
        <v>443</v>
      </c>
      <c r="M46" s="74" t="str">
        <f t="shared" si="7"/>
        <v>p-bdp-cxmadm-lb-pb443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82" t="str">
        <f t="shared" si="6"/>
        <v>p-bdp-slap-lb-rule443</v>
      </c>
      <c r="G47" s="82" t="str">
        <f t="shared" si="8"/>
        <v>p-bdp-slap-lb-fe</v>
      </c>
      <c r="H47" s="82" t="s">
        <v>57</v>
      </c>
      <c r="I47" s="82">
        <v>443</v>
      </c>
      <c r="J47" s="82" t="b">
        <v>0</v>
      </c>
      <c r="K47" s="82" t="str">
        <f t="shared" si="9"/>
        <v>p-bdp-slap-lb-bp</v>
      </c>
      <c r="L47" s="82">
        <v>443</v>
      </c>
      <c r="M47" s="82" t="str">
        <f t="shared" si="7"/>
        <v>p-bdp-slap-lb-pb443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74" t="str">
        <f t="shared" si="6"/>
        <v>p-if-auth-lb-rule8088</v>
      </c>
      <c r="G48" s="74" t="str">
        <f t="shared" si="8"/>
        <v>p-if-auth-lb-fe</v>
      </c>
      <c r="H48" s="74" t="s">
        <v>57</v>
      </c>
      <c r="I48" s="74">
        <v>8088</v>
      </c>
      <c r="J48" s="74" t="b">
        <v>0</v>
      </c>
      <c r="K48" s="74" t="str">
        <f t="shared" si="9"/>
        <v>p-if-auth-lb-bp</v>
      </c>
      <c r="L48" s="74">
        <v>8088</v>
      </c>
      <c r="M48" s="74" t="str">
        <f t="shared" si="7"/>
        <v>p-if-auth-lb-pb8088</v>
      </c>
      <c r="N48" s="74" t="s">
        <v>57</v>
      </c>
      <c r="O48" s="74">
        <v>8088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74" t="str">
        <f t="shared" si="6"/>
        <v>p-if-auth-lb-rule9003</v>
      </c>
      <c r="G49" s="74" t="str">
        <f t="shared" si="8"/>
        <v>p-if-auth-lb-fe</v>
      </c>
      <c r="H49" s="74" t="s">
        <v>57</v>
      </c>
      <c r="I49" s="74">
        <v>9003</v>
      </c>
      <c r="J49" s="74" t="b">
        <v>0</v>
      </c>
      <c r="K49" s="74" t="str">
        <f t="shared" si="9"/>
        <v>p-if-auth-lb-bp</v>
      </c>
      <c r="L49" s="74">
        <v>9003</v>
      </c>
      <c r="M49" s="74" t="str">
        <f t="shared" si="7"/>
        <v>p-if-auth-lb-pb9003</v>
      </c>
      <c r="N49" s="74" t="s">
        <v>57</v>
      </c>
      <c r="O49" s="74">
        <v>9003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74" t="str">
        <f t="shared" si="6"/>
        <v>p-if-auth-lb-rule9005</v>
      </c>
      <c r="G50" s="74" t="str">
        <f t="shared" si="8"/>
        <v>p-if-auth-lb-fe</v>
      </c>
      <c r="H50" s="74" t="s">
        <v>57</v>
      </c>
      <c r="I50" s="74">
        <v>9005</v>
      </c>
      <c r="J50" s="74" t="b">
        <v>0</v>
      </c>
      <c r="K50" s="74" t="str">
        <f t="shared" si="9"/>
        <v>p-if-auth-lb-bp</v>
      </c>
      <c r="L50" s="74">
        <v>9005</v>
      </c>
      <c r="M50" s="74" t="str">
        <f t="shared" si="7"/>
        <v>p-if-auth-lb-pb9005</v>
      </c>
      <c r="N50" s="74" t="s">
        <v>57</v>
      </c>
      <c r="O50" s="74">
        <v>9005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82" t="str">
        <f t="shared" si="6"/>
        <v>p-if-proxy-lb-rule443</v>
      </c>
      <c r="G51" s="82" t="str">
        <f t="shared" si="8"/>
        <v>p-if-proxy-lb-fe</v>
      </c>
      <c r="H51" s="82" t="s">
        <v>57</v>
      </c>
      <c r="I51" s="82">
        <v>443</v>
      </c>
      <c r="J51" s="82" t="b">
        <v>0</v>
      </c>
      <c r="K51" s="82" t="str">
        <f t="shared" si="9"/>
        <v>p-if-proxy-lb-bp</v>
      </c>
      <c r="L51" s="82">
        <v>443</v>
      </c>
      <c r="M51" s="82" t="str">
        <f t="shared" si="7"/>
        <v>p-if-proxy-lb-pb443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82" t="str">
        <f t="shared" si="6"/>
        <v>p-if-proxy-lb-rule8080</v>
      </c>
      <c r="G52" s="82" t="str">
        <f t="shared" si="8"/>
        <v>p-if-proxy-lb-fe</v>
      </c>
      <c r="H52" s="82" t="s">
        <v>57</v>
      </c>
      <c r="I52" s="82">
        <v>8080</v>
      </c>
      <c r="J52" s="82" t="b">
        <v>0</v>
      </c>
      <c r="K52" s="82" t="str">
        <f t="shared" si="9"/>
        <v>p-if-proxy-lb-bp</v>
      </c>
      <c r="L52" s="82">
        <v>8080</v>
      </c>
      <c r="M52" s="82" t="str">
        <f t="shared" si="7"/>
        <v>p-if-proxy-lb-pb8080</v>
      </c>
      <c r="N52" s="82" t="s">
        <v>57</v>
      </c>
      <c r="O52" s="82">
        <v>8080</v>
      </c>
      <c r="P52" s="82">
        <v>4</v>
      </c>
      <c r="Q52" s="82" t="s">
        <v>123</v>
      </c>
      <c r="R52" s="82" t="b">
        <v>1</v>
      </c>
      <c r="S52" s="82" t="b">
        <v>0</v>
      </c>
    </row>
    <row r="53" spans="1:19" x14ac:dyDescent="0.3">
      <c r="B53" s="102" t="s">
        <v>1083</v>
      </c>
      <c r="C53" s="102"/>
      <c r="D53" s="102" t="s">
        <v>1012</v>
      </c>
      <c r="E53" s="102" t="s">
        <v>997</v>
      </c>
      <c r="F53" s="102" t="str">
        <f t="shared" si="6"/>
        <v>p-cs-chtap-lb-rule?</v>
      </c>
      <c r="G53" s="102" t="str">
        <f t="shared" si="8"/>
        <v>p-cs-chtap-lb-fe</v>
      </c>
      <c r="H53" s="102" t="s">
        <v>57</v>
      </c>
      <c r="I53" s="102" t="s">
        <v>1082</v>
      </c>
      <c r="J53" s="102" t="b">
        <v>0</v>
      </c>
      <c r="K53" s="102" t="str">
        <f t="shared" si="9"/>
        <v>p-cs-chtap-lb-bp</v>
      </c>
      <c r="L53" s="102" t="s">
        <v>1082</v>
      </c>
      <c r="M53" s="102" t="str">
        <f t="shared" si="7"/>
        <v>p-cs-chtap-lb-pb?</v>
      </c>
      <c r="N53" s="102" t="s">
        <v>57</v>
      </c>
      <c r="O53" s="102" t="s">
        <v>1082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1083</v>
      </c>
      <c r="C54" s="102"/>
      <c r="D54" s="102" t="s">
        <v>1012</v>
      </c>
      <c r="E54" s="102" t="s">
        <v>1084</v>
      </c>
      <c r="F54" s="102" t="str">
        <f t="shared" si="6"/>
        <v>p-cs-chtweb-lb-rule?</v>
      </c>
      <c r="G54" s="102" t="str">
        <f t="shared" si="8"/>
        <v>p-cs-chtweb-lb-fe</v>
      </c>
      <c r="H54" s="102" t="s">
        <v>57</v>
      </c>
      <c r="I54" s="102" t="s">
        <v>1082</v>
      </c>
      <c r="J54" s="102" t="b">
        <v>0</v>
      </c>
      <c r="K54" s="102" t="str">
        <f t="shared" si="9"/>
        <v>p-cs-chtweb-lb-bp</v>
      </c>
      <c r="L54" s="102" t="s">
        <v>1082</v>
      </c>
      <c r="M54" s="102" t="str">
        <f t="shared" si="7"/>
        <v>p-cs-chtweb-lb-pb?</v>
      </c>
      <c r="N54" s="102" t="s">
        <v>57</v>
      </c>
      <c r="O54" s="102" t="s">
        <v>1082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1083</v>
      </c>
      <c r="C55" s="102"/>
      <c r="D55" s="102" t="s">
        <v>1012</v>
      </c>
      <c r="E55" s="102" t="s">
        <v>999</v>
      </c>
      <c r="F55" s="102" t="str">
        <f t="shared" si="6"/>
        <v>p-cs-chtintweb-lb-rule?</v>
      </c>
      <c r="G55" s="102" t="str">
        <f t="shared" si="8"/>
        <v>p-cs-chtintweb-lb-fe</v>
      </c>
      <c r="H55" s="102" t="s">
        <v>57</v>
      </c>
      <c r="I55" s="102" t="s">
        <v>1082</v>
      </c>
      <c r="J55" s="102" t="b">
        <v>0</v>
      </c>
      <c r="K55" s="102" t="str">
        <f t="shared" si="9"/>
        <v>p-cs-chtintweb-lb-bp</v>
      </c>
      <c r="L55" s="102" t="s">
        <v>1082</v>
      </c>
      <c r="M55" s="102" t="str">
        <f t="shared" si="7"/>
        <v>p-cs-chtintweb-lb-pb?</v>
      </c>
      <c r="N55" s="102" t="s">
        <v>57</v>
      </c>
      <c r="O55" s="102" t="s">
        <v>1082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1083</v>
      </c>
      <c r="C56" s="102"/>
      <c r="D56" s="102" t="s">
        <v>1013</v>
      </c>
      <c r="E56" s="102" t="s">
        <v>1085</v>
      </c>
      <c r="F56" s="102" t="str">
        <f t="shared" si="6"/>
        <v>p-doip-web-lb-rule?</v>
      </c>
      <c r="G56" s="102" t="str">
        <f t="shared" si="8"/>
        <v>p-doip-web-lb-fe</v>
      </c>
      <c r="H56" s="102" t="s">
        <v>57</v>
      </c>
      <c r="I56" s="102" t="s">
        <v>1082</v>
      </c>
      <c r="J56" s="102" t="b">
        <v>0</v>
      </c>
      <c r="K56" s="102" t="str">
        <f t="shared" si="9"/>
        <v>p-doip-web-lb-bp</v>
      </c>
      <c r="L56" s="102" t="s">
        <v>1082</v>
      </c>
      <c r="M56" s="102" t="str">
        <f t="shared" si="7"/>
        <v>p-doip-web-lb-pb?</v>
      </c>
      <c r="N56" s="102" t="s">
        <v>57</v>
      </c>
      <c r="O56" s="102" t="s">
        <v>1082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1083</v>
      </c>
      <c r="C57" s="102"/>
      <c r="D57" s="102" t="s">
        <v>1013</v>
      </c>
      <c r="E57" s="102" t="s">
        <v>1001</v>
      </c>
      <c r="F57" s="102" t="str">
        <f t="shared" si="6"/>
        <v>p-doip-ap-lb-rule?</v>
      </c>
      <c r="G57" s="102" t="str">
        <f t="shared" si="8"/>
        <v>p-doip-ap-lb-fe</v>
      </c>
      <c r="H57" s="102" t="s">
        <v>57</v>
      </c>
      <c r="I57" s="102" t="s">
        <v>1082</v>
      </c>
      <c r="J57" s="102" t="b">
        <v>0</v>
      </c>
      <c r="K57" s="102" t="str">
        <f t="shared" si="9"/>
        <v>p-doip-ap-lb-bp</v>
      </c>
      <c r="L57" s="102" t="s">
        <v>1082</v>
      </c>
      <c r="M57" s="102" t="str">
        <f t="shared" si="7"/>
        <v>p-doip-ap-lb-pb?</v>
      </c>
      <c r="N57" s="102" t="s">
        <v>57</v>
      </c>
      <c r="O57" s="102" t="s">
        <v>1082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1083</v>
      </c>
      <c r="C58" s="102"/>
      <c r="D58" s="102" t="s">
        <v>1013</v>
      </c>
      <c r="E58" s="102" t="s">
        <v>1086</v>
      </c>
      <c r="F58" s="102" t="str">
        <f t="shared" si="6"/>
        <v>p-doip-adm-lb-rule?</v>
      </c>
      <c r="G58" s="102" t="str">
        <f t="shared" si="8"/>
        <v>p-doip-adm-lb-fe</v>
      </c>
      <c r="H58" s="102" t="s">
        <v>57</v>
      </c>
      <c r="I58" s="102" t="s">
        <v>1082</v>
      </c>
      <c r="J58" s="102" t="b">
        <v>0</v>
      </c>
      <c r="K58" s="102" t="str">
        <f t="shared" si="9"/>
        <v>p-doip-adm-lb-bp</v>
      </c>
      <c r="L58" s="102" t="s">
        <v>1082</v>
      </c>
      <c r="M58" s="102" t="str">
        <f t="shared" si="7"/>
        <v>p-doip-adm-lb-pb?</v>
      </c>
      <c r="N58" s="102" t="s">
        <v>57</v>
      </c>
      <c r="O58" s="102" t="s">
        <v>1082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74" t="str">
        <f t="shared" si="6"/>
        <v>p-bdp-crkweb-lb-rule443</v>
      </c>
      <c r="G59" s="74" t="str">
        <f t="shared" si="8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9"/>
        <v>p-bdp-crkweb-lb-bp</v>
      </c>
      <c r="L59" s="74">
        <v>443</v>
      </c>
      <c r="M59" s="74" t="str">
        <f t="shared" si="7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74" t="str">
        <f t="shared" si="6"/>
        <v>p-bdp-crkweb-lb-rule8080</v>
      </c>
      <c r="G60" s="74" t="str">
        <f t="shared" si="8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9"/>
        <v>p-bdp-crkweb-lb-bp</v>
      </c>
      <c r="L60" s="74">
        <v>8080</v>
      </c>
      <c r="M60" s="74" t="str">
        <f t="shared" si="7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82" t="str">
        <f t="shared" si="6"/>
        <v>p-bdp-crkap-lb-rule8085</v>
      </c>
      <c r="G61" s="82" t="str">
        <f t="shared" si="8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9"/>
        <v>p-bdp-crkap-lb-bp</v>
      </c>
      <c r="L61" s="82">
        <v>8085</v>
      </c>
      <c r="M61" s="82" t="str">
        <f t="shared" si="7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74" t="str">
        <f t="shared" si="6"/>
        <v>p-bdp-crkml-lb-rule8082</v>
      </c>
      <c r="G62" s="74" t="str">
        <f t="shared" si="8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9"/>
        <v>p-bdp-crkml-lb-bp</v>
      </c>
      <c r="L62" s="74">
        <v>8082</v>
      </c>
      <c r="M62" s="74" t="str">
        <f t="shared" si="7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0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2026-06-18T08:02:57Z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