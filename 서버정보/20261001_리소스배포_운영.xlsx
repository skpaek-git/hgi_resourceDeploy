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E7DD5406-43A2-4CC6-B1AA-DC598BD9DC2E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LB_Probe!$B$1:$K$60</definedName>
    <definedName name="_xlnm._FilterDatabase" localSheetId="9" hidden="1">LB_Rule!$B$1:$S$60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6" i="2" l="1" a="1"/>
  <c r="C176" i="2" s="1"/>
  <c r="C177" i="2" a="1"/>
  <c r="C177" i="2"/>
  <c r="E166" i="2"/>
  <c r="C166" i="2" s="1" a="1"/>
  <c r="C166" i="2" s="1"/>
  <c r="E167" i="2"/>
  <c r="C167" i="2" s="1" a="1"/>
  <c r="C167" i="2" s="1"/>
  <c r="E168" i="2"/>
  <c r="C168" i="2" s="1" a="1"/>
  <c r="C168" i="2" s="1"/>
  <c r="E169" i="2"/>
  <c r="C169" i="2" s="1" a="1"/>
  <c r="C169" i="2" s="1"/>
  <c r="E170" i="2"/>
  <c r="C170" i="2" s="1" a="1"/>
  <c r="C170" i="2" s="1"/>
  <c r="E171" i="2"/>
  <c r="C171" i="2" s="1" a="1"/>
  <c r="C171" i="2" s="1"/>
  <c r="E172" i="2"/>
  <c r="C172" i="2" s="1" a="1"/>
  <c r="C172" i="2" s="1"/>
  <c r="E173" i="2"/>
  <c r="C173" i="2" s="1" a="1"/>
  <c r="C173" i="2" s="1"/>
  <c r="E174" i="2"/>
  <c r="C174" i="2" s="1" a="1"/>
  <c r="C174" i="2" s="1"/>
  <c r="E175" i="2"/>
  <c r="C175" i="2" s="1" a="1"/>
  <c r="C175" i="2" s="1"/>
  <c r="E176" i="2"/>
  <c r="E177" i="2"/>
  <c r="K78" i="11"/>
  <c r="M78" i="11"/>
  <c r="K79" i="11"/>
  <c r="M79" i="11"/>
  <c r="K80" i="11"/>
  <c r="M80" i="11"/>
  <c r="K81" i="11"/>
  <c r="M81" i="11"/>
  <c r="K82" i="11"/>
  <c r="M82" i="11"/>
  <c r="K83" i="11"/>
  <c r="M83" i="11"/>
  <c r="K84" i="11"/>
  <c r="M84" i="11"/>
  <c r="K85" i="11"/>
  <c r="M85" i="11"/>
  <c r="K86" i="11"/>
  <c r="M86" i="11"/>
  <c r="K87" i="11"/>
  <c r="M87" i="11"/>
  <c r="G78" i="11"/>
  <c r="G79" i="11"/>
  <c r="G80" i="11"/>
  <c r="G81" i="11"/>
  <c r="G82" i="11"/>
  <c r="G83" i="11"/>
  <c r="G84" i="11"/>
  <c r="G85" i="11"/>
  <c r="G86" i="11"/>
  <c r="G87" i="11"/>
  <c r="F78" i="11"/>
  <c r="F79" i="11"/>
  <c r="F80" i="11"/>
  <c r="F81" i="11"/>
  <c r="F82" i="11"/>
  <c r="F83" i="11"/>
  <c r="F84" i="11"/>
  <c r="F85" i="11"/>
  <c r="F86" i="11"/>
  <c r="F87" i="11"/>
  <c r="C87" i="11" a="1"/>
  <c r="C87" i="11" s="1"/>
  <c r="C86" i="11"/>
  <c r="C86" i="11" a="1"/>
  <c r="C85" i="11" a="1"/>
  <c r="C85" i="11" s="1"/>
  <c r="C84" i="11" a="1"/>
  <c r="C84" i="11" s="1"/>
  <c r="C83" i="11" a="1"/>
  <c r="C83" i="11" s="1"/>
  <c r="C82" i="11" a="1"/>
  <c r="C82" i="11" s="1"/>
  <c r="C81" i="11" a="1"/>
  <c r="C81" i="11" s="1"/>
  <c r="C80" i="11" a="1"/>
  <c r="C80" i="11" s="1"/>
  <c r="C79" i="11" a="1"/>
  <c r="C79" i="11" s="1"/>
  <c r="C78" i="11" a="1"/>
  <c r="C78" i="11" s="1"/>
  <c r="F86" i="10"/>
  <c r="F87" i="10"/>
  <c r="C82" i="10" a="1"/>
  <c r="C82" i="10" s="1"/>
  <c r="C83" i="10" a="1"/>
  <c r="C83" i="10" s="1"/>
  <c r="C84" i="10" a="1"/>
  <c r="C84" i="10" s="1"/>
  <c r="C85" i="10" a="1"/>
  <c r="C85" i="10" s="1"/>
  <c r="C86" i="10" a="1"/>
  <c r="C86" i="10" s="1"/>
  <c r="C87" i="10" a="1"/>
  <c r="C87" i="10" s="1"/>
  <c r="C81" i="10" a="1"/>
  <c r="C81" i="10" s="1"/>
  <c r="F85" i="10"/>
  <c r="F84" i="10"/>
  <c r="F83" i="10"/>
  <c r="F82" i="10"/>
  <c r="F81" i="10"/>
  <c r="F80" i="10"/>
  <c r="C80" i="10" a="1"/>
  <c r="C80" i="10" s="1"/>
  <c r="F79" i="10"/>
  <c r="F78" i="10"/>
  <c r="C78" i="10" a="1"/>
  <c r="C78" i="10" s="1"/>
  <c r="C79" i="10" a="1"/>
  <c r="C79" i="10" s="1"/>
  <c r="C52" i="6" a="1"/>
  <c r="C52" i="6" s="1"/>
  <c r="K52" i="6"/>
  <c r="Q52" i="6"/>
  <c r="C51" i="6" a="1"/>
  <c r="C51" i="6" s="1"/>
  <c r="K51" i="6"/>
  <c r="Q51" i="6"/>
  <c r="C178" i="2" a="1"/>
  <c r="C178" i="2" s="1"/>
  <c r="C179" i="2" a="1"/>
  <c r="C179" i="2" s="1"/>
  <c r="K176" i="2"/>
  <c r="K177" i="2"/>
  <c r="K178" i="2"/>
  <c r="K179" i="2"/>
  <c r="G167" i="14"/>
  <c r="J167" i="14"/>
  <c r="G168" i="14"/>
  <c r="J168" i="14"/>
  <c r="G169" i="14"/>
  <c r="J169" i="14"/>
  <c r="G170" i="14"/>
  <c r="J170" i="14"/>
  <c r="C167" i="14" a="1"/>
  <c r="C167" i="14" s="1"/>
  <c r="C168" i="14" a="1"/>
  <c r="C168" i="14" s="1"/>
  <c r="C169" i="14" a="1"/>
  <c r="C169" i="14" s="1"/>
  <c r="C170" i="14" a="1"/>
  <c r="C170" i="14" s="1"/>
  <c r="C161" i="1" a="1"/>
  <c r="C161" i="1" s="1"/>
  <c r="O161" i="1"/>
  <c r="U161" i="1"/>
  <c r="C158" i="1" a="1"/>
  <c r="C158" i="1" s="1"/>
  <c r="C159" i="1" a="1"/>
  <c r="C159" i="1" s="1"/>
  <c r="C160" i="1" a="1"/>
  <c r="C160" i="1" s="1"/>
  <c r="O158" i="1"/>
  <c r="O159" i="1"/>
  <c r="O160" i="1"/>
  <c r="U158" i="1"/>
  <c r="U159" i="1"/>
  <c r="U160" i="1"/>
  <c r="K73" i="11"/>
  <c r="M73" i="11"/>
  <c r="K74" i="11"/>
  <c r="M74" i="11"/>
  <c r="K75" i="11"/>
  <c r="M75" i="11"/>
  <c r="K76" i="11"/>
  <c r="M76" i="11"/>
  <c r="K77" i="11"/>
  <c r="M77" i="11"/>
  <c r="F73" i="11"/>
  <c r="G73" i="11"/>
  <c r="F74" i="11"/>
  <c r="G74" i="11"/>
  <c r="F75" i="11"/>
  <c r="G75" i="11"/>
  <c r="F76" i="11"/>
  <c r="G76" i="11"/>
  <c r="F77" i="11"/>
  <c r="G77" i="11"/>
  <c r="C73" i="11" a="1"/>
  <c r="C73" i="11" s="1"/>
  <c r="C74" i="11" a="1"/>
  <c r="C74" i="11" s="1"/>
  <c r="C75" i="11" a="1"/>
  <c r="C75" i="11" s="1"/>
  <c r="C76" i="11" a="1"/>
  <c r="C76" i="11" s="1"/>
  <c r="C77" i="11" a="1"/>
  <c r="C77" i="11" s="1"/>
  <c r="C74" i="10" a="1"/>
  <c r="C74" i="10" s="1"/>
  <c r="C75" i="10" a="1"/>
  <c r="C75" i="10" s="1"/>
  <c r="C76" i="10" a="1"/>
  <c r="C76" i="10" s="1"/>
  <c r="C77" i="10" a="1"/>
  <c r="C77" i="10" s="1"/>
  <c r="C73" i="10" a="1"/>
  <c r="C73" i="10" s="1"/>
  <c r="F77" i="10"/>
  <c r="F76" i="10"/>
  <c r="F75" i="10"/>
  <c r="F74" i="10"/>
  <c r="F73" i="10"/>
  <c r="K166" i="2"/>
  <c r="K167" i="2"/>
  <c r="K168" i="2"/>
  <c r="K169" i="2"/>
  <c r="K170" i="2"/>
  <c r="K171" i="2"/>
  <c r="K172" i="2"/>
  <c r="K173" i="2"/>
  <c r="K174" i="2"/>
  <c r="K175" i="2"/>
  <c r="J157" i="14"/>
  <c r="J158" i="14"/>
  <c r="J159" i="14"/>
  <c r="J160" i="14"/>
  <c r="J161" i="14"/>
  <c r="J162" i="14"/>
  <c r="J163" i="14"/>
  <c r="J164" i="14"/>
  <c r="J165" i="14"/>
  <c r="J166" i="14"/>
  <c r="G157" i="14"/>
  <c r="G158" i="14"/>
  <c r="G159" i="14"/>
  <c r="G160" i="14"/>
  <c r="G161" i="14"/>
  <c r="G162" i="14"/>
  <c r="G163" i="14"/>
  <c r="G164" i="14"/>
  <c r="G165" i="14"/>
  <c r="G166" i="14"/>
  <c r="C158" i="14" a="1"/>
  <c r="C158" i="14" s="1"/>
  <c r="C159" i="14" a="1"/>
  <c r="C159" i="14" s="1"/>
  <c r="C160" i="14" a="1"/>
  <c r="C160" i="14" s="1"/>
  <c r="C161" i="14" a="1"/>
  <c r="C161" i="14" s="1"/>
  <c r="C162" i="14" a="1"/>
  <c r="C162" i="14" s="1"/>
  <c r="C163" i="14" a="1"/>
  <c r="C163" i="14" s="1"/>
  <c r="C164" i="14" a="1"/>
  <c r="C164" i="14" s="1"/>
  <c r="C165" i="14" a="1"/>
  <c r="C165" i="14" s="1"/>
  <c r="C166" i="14" a="1"/>
  <c r="C166" i="14" s="1"/>
  <c r="C157" i="14" a="1"/>
  <c r="C157" i="14" s="1"/>
  <c r="K47" i="6"/>
  <c r="K48" i="6"/>
  <c r="K49" i="6"/>
  <c r="K50" i="6"/>
  <c r="Q47" i="6"/>
  <c r="Q48" i="6"/>
  <c r="Q49" i="6"/>
  <c r="Q50" i="6"/>
  <c r="C50" i="6" a="1"/>
  <c r="C50" i="6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O148" i="1"/>
  <c r="O149" i="1"/>
  <c r="O150" i="1"/>
  <c r="O151" i="1"/>
  <c r="O152" i="1"/>
  <c r="O153" i="1"/>
  <c r="O154" i="1"/>
  <c r="O155" i="1"/>
  <c r="O156" i="1"/>
  <c r="O157" i="1"/>
  <c r="U148" i="1"/>
  <c r="U149" i="1"/>
  <c r="U150" i="1"/>
  <c r="U151" i="1"/>
  <c r="U152" i="1"/>
  <c r="U153" i="1"/>
  <c r="U154" i="1"/>
  <c r="U155" i="1"/>
  <c r="U156" i="1"/>
  <c r="U157" i="1"/>
  <c r="K46" i="6"/>
  <c r="Q46" i="6"/>
  <c r="C46" i="6" a="1"/>
  <c r="C46" i="6" s="1"/>
  <c r="C47" i="6" a="1"/>
  <c r="C47" i="6" s="1"/>
  <c r="C48" i="6" a="1"/>
  <c r="C48" i="6" s="1"/>
  <c r="C49" i="6" a="1"/>
  <c r="C49" i="6" s="1"/>
  <c r="C68" i="11" a="1"/>
  <c r="C68" i="11" s="1"/>
  <c r="F68" i="11"/>
  <c r="G68" i="11"/>
  <c r="K68" i="11"/>
  <c r="M68" i="11"/>
  <c r="C69" i="11" a="1"/>
  <c r="C69" i="11" s="1"/>
  <c r="F69" i="11"/>
  <c r="G69" i="11"/>
  <c r="K69" i="11"/>
  <c r="M69" i="11"/>
  <c r="C70" i="11" a="1"/>
  <c r="C70" i="11"/>
  <c r="F70" i="11"/>
  <c r="G70" i="11"/>
  <c r="K70" i="11"/>
  <c r="M70" i="11"/>
  <c r="C71" i="11" a="1"/>
  <c r="C71" i="11" s="1"/>
  <c r="F71" i="11"/>
  <c r="G71" i="11"/>
  <c r="K71" i="11"/>
  <c r="M71" i="11"/>
  <c r="C72" i="11" a="1"/>
  <c r="C72" i="11" s="1"/>
  <c r="F72" i="11"/>
  <c r="G72" i="11"/>
  <c r="K72" i="11"/>
  <c r="M72" i="11"/>
  <c r="M67" i="11"/>
  <c r="K67" i="11"/>
  <c r="G67" i="11"/>
  <c r="F67" i="11"/>
  <c r="C67" i="11" a="1"/>
  <c r="C67" i="11" s="1"/>
  <c r="F68" i="10"/>
  <c r="F69" i="10"/>
  <c r="F70" i="10"/>
  <c r="F71" i="10"/>
  <c r="F72" i="10"/>
  <c r="F67" i="10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67" i="10" a="1"/>
  <c r="C67" i="10" s="1"/>
  <c r="Q45" i="6"/>
  <c r="C45" i="6" a="1"/>
  <c r="C45" i="6" s="1"/>
  <c r="K45" i="6"/>
  <c r="E163" i="2"/>
  <c r="C163" i="2" s="1" a="1"/>
  <c r="C163" i="2" s="1"/>
  <c r="E164" i="2"/>
  <c r="C164" i="2" s="1" a="1"/>
  <c r="C164" i="2" s="1"/>
  <c r="E165" i="2"/>
  <c r="C165" i="2" s="1" a="1"/>
  <c r="C165" i="2" s="1"/>
  <c r="K163" i="2"/>
  <c r="K164" i="2"/>
  <c r="K165" i="2"/>
  <c r="G154" i="14"/>
  <c r="J154" i="14"/>
  <c r="G155" i="14"/>
  <c r="J155" i="14"/>
  <c r="G156" i="14"/>
  <c r="J156" i="14"/>
  <c r="C154" i="14" a="1"/>
  <c r="C154" i="14" s="1"/>
  <c r="C155" i="14" a="1"/>
  <c r="C155" i="14" s="1"/>
  <c r="C156" i="14" a="1"/>
  <c r="C156" i="14" s="1"/>
  <c r="C147" i="1" a="1"/>
  <c r="C147" i="1" s="1"/>
  <c r="O147" i="1"/>
  <c r="U147" i="1"/>
  <c r="C146" i="1" a="1"/>
  <c r="C146" i="1" s="1"/>
  <c r="O146" i="1"/>
  <c r="U146" i="1"/>
  <c r="C145" i="1" a="1"/>
  <c r="C145" i="1" s="1"/>
  <c r="O145" i="1"/>
  <c r="U145" i="1"/>
  <c r="K43" i="6"/>
  <c r="Q43" i="6"/>
  <c r="K44" i="6"/>
  <c r="Q44" i="6"/>
  <c r="C43" i="6" a="1"/>
  <c r="C43" i="6" s="1"/>
  <c r="C44" i="6" a="1"/>
  <c r="C44" i="6" s="1"/>
  <c r="C160" i="2" a="1"/>
  <c r="C160" i="2" s="1"/>
  <c r="C161" i="2" a="1"/>
  <c r="C161" i="2" s="1"/>
  <c r="C162" i="2" a="1"/>
  <c r="C162" i="2" s="1"/>
  <c r="E158" i="2"/>
  <c r="C158" i="2" s="1" a="1"/>
  <c r="C158" i="2" s="1"/>
  <c r="K158" i="2"/>
  <c r="E159" i="2"/>
  <c r="C159" i="2" s="1" a="1"/>
  <c r="C159" i="2" s="1"/>
  <c r="K159" i="2"/>
  <c r="E160" i="2"/>
  <c r="K160" i="2"/>
  <c r="E161" i="2"/>
  <c r="K161" i="2"/>
  <c r="E162" i="2"/>
  <c r="K162" i="2"/>
  <c r="G149" i="14" l="1"/>
  <c r="J149" i="14"/>
  <c r="G150" i="14"/>
  <c r="J150" i="14"/>
  <c r="G151" i="14"/>
  <c r="J151" i="14"/>
  <c r="G152" i="14"/>
  <c r="J152" i="14"/>
  <c r="G153" i="14"/>
  <c r="J153" i="14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42" i="1" a="1"/>
  <c r="C142" i="1" s="1"/>
  <c r="C143" i="1" a="1"/>
  <c r="C143" i="1" s="1"/>
  <c r="C144" i="1" a="1"/>
  <c r="C144" i="1" s="1"/>
  <c r="O142" i="1"/>
  <c r="O143" i="1"/>
  <c r="O144" i="1"/>
  <c r="U142" i="1"/>
  <c r="U143" i="1"/>
  <c r="U144" i="1"/>
  <c r="C141" i="1" a="1"/>
  <c r="C141" i="1" s="1"/>
  <c r="O141" i="1"/>
  <c r="U141" i="1"/>
  <c r="C140" i="1" a="1"/>
  <c r="C140" i="1" s="1"/>
  <c r="O140" i="1"/>
  <c r="U140" i="1"/>
  <c r="M34" i="11"/>
  <c r="K34" i="11"/>
  <c r="G34" i="11"/>
  <c r="F34" i="11"/>
  <c r="C34" i="11" a="1"/>
  <c r="C34" i="11" s="1"/>
  <c r="C33" i="11" a="1"/>
  <c r="C33" i="11" s="1"/>
  <c r="F33" i="11"/>
  <c r="G33" i="11"/>
  <c r="K33" i="11"/>
  <c r="M33" i="11"/>
  <c r="F34" i="10"/>
  <c r="C34" i="10" a="1"/>
  <c r="C34" i="10" s="1"/>
  <c r="K154" i="2"/>
  <c r="K155" i="2"/>
  <c r="K156" i="2"/>
  <c r="K157" i="2"/>
  <c r="E154" i="2"/>
  <c r="E155" i="2"/>
  <c r="E156" i="2"/>
  <c r="E157" i="2"/>
  <c r="O139" i="1"/>
  <c r="U139" i="1"/>
  <c r="O138" i="1"/>
  <c r="U138" i="1"/>
  <c r="O137" i="1"/>
  <c r="U137" i="1"/>
  <c r="O136" i="1"/>
  <c r="U136" i="1"/>
  <c r="U134" i="1"/>
  <c r="U135" i="1"/>
  <c r="C149" i="2" l="1" a="1"/>
  <c r="C149" i="2" s="1"/>
  <c r="C150" i="2" a="1"/>
  <c r="C150" i="2" s="1"/>
  <c r="C151" i="2" a="1"/>
  <c r="C151" i="2" s="1"/>
  <c r="F63" i="11"/>
  <c r="G63" i="11"/>
  <c r="K63" i="11"/>
  <c r="M63" i="11"/>
  <c r="F64" i="11"/>
  <c r="G64" i="11"/>
  <c r="K64" i="11"/>
  <c r="M64" i="11"/>
  <c r="F65" i="11"/>
  <c r="G65" i="11"/>
  <c r="K65" i="11"/>
  <c r="M65" i="11"/>
  <c r="F66" i="11"/>
  <c r="G66" i="11"/>
  <c r="K66" i="11"/>
  <c r="M66" i="11"/>
  <c r="C63" i="11" a="1"/>
  <c r="C63" i="11" s="1"/>
  <c r="C64" i="11" a="1"/>
  <c r="C64" i="11" s="1"/>
  <c r="C65" i="11" a="1"/>
  <c r="C65" i="11" s="1"/>
  <c r="C66" i="11" a="1"/>
  <c r="C66" i="11" s="1"/>
  <c r="F63" i="10"/>
  <c r="F64" i="10"/>
  <c r="F65" i="10"/>
  <c r="F66" i="10"/>
  <c r="C63" i="10" a="1"/>
  <c r="C63" i="10" s="1"/>
  <c r="C64" i="10" a="1"/>
  <c r="C64" i="10" s="1"/>
  <c r="C65" i="10" a="1"/>
  <c r="C65" i="10" s="1"/>
  <c r="C66" i="10" a="1"/>
  <c r="C66" i="10" s="1"/>
  <c r="Q42" i="6"/>
  <c r="K42" i="6"/>
  <c r="K41" i="6"/>
  <c r="Q41" i="6"/>
  <c r="C41" i="6" a="1"/>
  <c r="C41" i="6" s="1"/>
  <c r="C42" i="6" a="1"/>
  <c r="C42" i="6" s="1"/>
  <c r="K150" i="2"/>
  <c r="K151" i="2"/>
  <c r="K152" i="2"/>
  <c r="K153" i="2"/>
  <c r="E150" i="2"/>
  <c r="E151" i="2"/>
  <c r="E152" i="2"/>
  <c r="C152" i="2" s="1" a="1"/>
  <c r="C152" i="2" s="1"/>
  <c r="E153" i="2"/>
  <c r="C153" i="2" s="1" a="1"/>
  <c r="C153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/>
  <c r="C141" i="14" a="1"/>
  <c r="C141" i="14"/>
  <c r="C142" i="14" a="1"/>
  <c r="C142" i="14"/>
  <c r="C143" i="14" a="1"/>
  <c r="C143" i="14" s="1"/>
  <c r="C144" i="14" a="1"/>
  <c r="C144" i="14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49" i="2"/>
  <c r="E148" i="2"/>
  <c r="E149" i="2"/>
  <c r="G144" i="14"/>
  <c r="J144" i="14"/>
  <c r="O131" i="1"/>
  <c r="U131" i="1"/>
  <c r="M62" i="11" l="1"/>
  <c r="K62" i="11"/>
  <c r="G62" i="11"/>
  <c r="F62" i="11"/>
  <c r="C62" i="11" a="1"/>
  <c r="C62" i="11" s="1"/>
  <c r="M61" i="11"/>
  <c r="K61" i="11"/>
  <c r="G61" i="11"/>
  <c r="F61" i="11"/>
  <c r="C61" i="11" a="1"/>
  <c r="C61" i="11" s="1"/>
  <c r="F62" i="10"/>
  <c r="F61" i="10"/>
  <c r="C62" i="10" a="1"/>
  <c r="C62" i="10" s="1"/>
  <c r="C61" i="10" a="1"/>
  <c r="C61" i="10" s="1"/>
  <c r="K40" i="6"/>
  <c r="Q40" i="6"/>
  <c r="C40" i="6" a="1"/>
  <c r="C40" i="6" s="1"/>
  <c r="C148" i="2" a="1"/>
  <c r="C148" i="2" s="1"/>
  <c r="K147" i="2"/>
  <c r="K14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C147" i="2" s="1" a="1"/>
  <c r="C147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3" i="11" a="1"/>
  <c r="C53" i="11" s="1"/>
  <c r="C57" i="11" a="1"/>
  <c r="C57" i="11" s="1"/>
  <c r="C58" i="11" a="1"/>
  <c r="C58" i="11" s="1"/>
  <c r="C59" i="11" a="1"/>
  <c r="C59" i="11" s="1"/>
  <c r="C60" i="11" a="1"/>
  <c r="C60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7" i="10" a="1"/>
  <c r="C57" i="10" s="1"/>
  <c r="C58" i="10" a="1"/>
  <c r="C58" i="10" s="1"/>
  <c r="C59" i="10" a="1"/>
  <c r="C59" i="10" s="1"/>
  <c r="C60" i="10" a="1"/>
  <c r="C60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8" i="10"/>
  <c r="F52" i="10"/>
  <c r="F53" i="10"/>
  <c r="F41" i="10"/>
  <c r="F42" i="10"/>
  <c r="F43" i="10"/>
  <c r="F44" i="10"/>
  <c r="F39" i="10"/>
  <c r="F36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2" i="11"/>
  <c r="G54" i="11"/>
  <c r="G55" i="11"/>
  <c r="G56" i="11"/>
  <c r="G57" i="11"/>
  <c r="G58" i="11"/>
  <c r="G59" i="11"/>
  <c r="G60" i="11"/>
  <c r="K54" i="11"/>
  <c r="K55" i="11"/>
  <c r="K56" i="11"/>
  <c r="K57" i="11"/>
  <c r="K58" i="11"/>
  <c r="K59" i="11"/>
  <c r="K60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F18" i="10"/>
  <c r="F19" i="10"/>
  <c r="F21" i="10"/>
  <c r="F23" i="10"/>
  <c r="F32" i="10"/>
  <c r="F3" i="10"/>
  <c r="F45" i="10"/>
  <c r="F5" i="10"/>
  <c r="F9" i="10"/>
  <c r="F10" i="10"/>
  <c r="F37" i="10"/>
  <c r="F50" i="10"/>
  <c r="F40" i="10"/>
  <c r="F38" i="10"/>
  <c r="F35" i="10"/>
  <c r="F13" i="10"/>
  <c r="F14" i="10"/>
  <c r="F15" i="10"/>
  <c r="F17" i="10"/>
  <c r="F25" i="10"/>
  <c r="F31" i="10"/>
  <c r="F8" i="10"/>
  <c r="F48" i="10"/>
  <c r="F47" i="10"/>
  <c r="F46" i="10"/>
  <c r="F54" i="10"/>
  <c r="F55" i="10"/>
  <c r="F60" i="10"/>
  <c r="F57" i="10"/>
  <c r="F11" i="10"/>
  <c r="F2" i="10"/>
  <c r="F4" i="10"/>
  <c r="F56" i="10"/>
  <c r="F49" i="10"/>
  <c r="F51" i="10"/>
  <c r="F59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<sst xmlns="http://schemas.openxmlformats.org/spreadsheetml/2006/main" count="8156" uniqueCount="1169">
  <si>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</si>
  <si>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</si>
  <si>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</si>
  <si>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</si>
  <si>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</si>
  <si>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</si>
  <si>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</si>
  <si>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</si>
  <si>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</si>
  <si>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</si>
  <si>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</si>
  <si>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</si>
  <si>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</si>
  <si>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</si>
  <si>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</si>
  <si>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</si>
  <si>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</si>
  <si>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</si>
  <si>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</si>
  <si>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</si>
  <si>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</si>
  <si>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</si>
  <si>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</si>
  <si>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</si>
  <si>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</si>
  <si>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</si>
  <si>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</si>
  <si>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</si>
  <si>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</si>
  <si>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</si>
  <si>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</si>
  <si>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</si>
  <si>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</si>
  <si>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</si>
  <si>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</si>
  <si>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</si>
  <si>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</si>
  <si>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</si>
  <si>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</si>
  <si>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</si>
  <si>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</si>
  <si>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</si>
  <si>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</si>
  <si>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</si>
  <si>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</si>
  <si>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</si>
  <si>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</si>
  <si>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</si>
  <si>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</si>
  <si>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</si>
  <si>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</si>
  <si>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</si>
  <si>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</si>
  <si>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</si>
  <si>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</si>
  <si>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</si>
  <si>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</si>
  <si>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</si>
  <si>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</si>
  <si>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</si>
  <si>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</si>
  <si>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</si>
  <si>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</si>
  <si>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</si>
  <si>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</si>
  <si>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</si>
  <si>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</si>
  <si>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</si>
  <si>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</si>
  <si>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</si>
  <si>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</si>
  <si>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</si>
  <si>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</si>
  <si>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</si>
  <si>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</si>
  <si>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</si>
  <si>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</si>
  <si>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</si>
  <si>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</si>
  <si>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</si>
  <si>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</si>
  <si>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</si>
  <si>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</si>
  <si>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</si>
  <si>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</si>
  <si>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</si>
  <si>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</si>
  <si>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</si>
  <si>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</si>
  <si>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</si>
  <si>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</si>
  <si>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</si>
  <si>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</si>
  <si>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</si>
  <si>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</si>
  <si>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</si>
  <si>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</si>
  <si>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</si>
  <si>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</si>
  <si>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</si>
  <si>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</si>
  <si>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</si>
  <si>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</si>
  <si>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</si>
  <si>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</si>
  <si>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</si>
  <si>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</si>
  <si>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</si>
  <si>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</si>
  <si>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</si>
  <si>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</si>
  <si>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</si>
  <si>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</si>
  <si>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</si>
  <si>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</si>
  <si>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</si>
  <si>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</si>
  <si>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</si>
  <si>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</si>
  <si>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</si>
  <si>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</si>
  <si>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</si>
  <si>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</si>
  <si>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</si>
  <si>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</si>
  <si>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</si>
  <si>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</si>
  <si>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</si>
  <si>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</si>
  <si>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</si>
  <si>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</si>
  <si>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</si>
  <si>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</si>
  <si>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</si>
  <si>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</si>
  <si>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</si>
  <si>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</si>
  <si>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</si>
  <si>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</si>
  <si>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</si>
  <si>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</si>
  <si>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</si>
  <si>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</si>
  <si>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</si>
  <si>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</si>
  <si>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</si>
  <si>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</si>
  <si>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</si>
  <si>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</si>
  <si>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</si>
  <si>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</si>
  <si>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</si>
  <si>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</si>
  <si>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</si>
  <si>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</si>
  <si>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</si>
  <si>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</si>
  <si>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</si>
  <si>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</si>
  <si>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</si>
  <si>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</si>
  <si>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</si>
  <si>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</si>
  <si>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</si>
  <si>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</si>
  <si>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</si>
  <si>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</si>
  <si>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</si>
  <si>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</si>
  <si>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</si>
  <si>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</si>
  <si>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</si>
  <si>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</si>
  <si>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</si>
  <si>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</si>
  <si>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</si>
  <si>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</si>
  <si>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</si>
  <si>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</si>
  <si>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</si>
  <si>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</si>
  <si>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</si>
  <si>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</si>
  <si>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</si>
  <si>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</si>
  <si>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</si>
  <si>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</si>
  <si>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</si>
  <si>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</si>
  <si>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</si>
  <si>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</si>
  <si>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</si>
  <si>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</si>
  <si>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</si>
  <si>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</si>
  <si>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</si>
  <si>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</si>
  <si>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</si>
  <si>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</si>
  <si>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</si>
  <si>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</si>
  <si>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</si>
  <si>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</si>
  <si>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</si>
  <si>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</si>
  <si>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</si>
  <si>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</si>
  <si>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</si>
  <si>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</si>
  <si>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</si>
  <si>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</si>
  <si>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</si>
  <si>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</si>
  <si>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</si>
  <si>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</si>
  <si>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</si>
  <si>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</si>
  <si>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</si>
  <si>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</si>
  <si>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</si>
  <si>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</si>
  <si>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</si>
  <si>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</si>
  <si>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</si>
  <si>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</si>
  <si>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</si>
  <si>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</si>
  <si>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</si>
  <si>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</si>
  <si>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</si>
  <si>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</si>
  <si>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</si>
  <si>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</si>
  <si>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</si>
  <si>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</si>
  <si>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</si>
  <si>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</si>
  <si>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</si>
  <si>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</si>
  <si>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</si>
  <si>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</si>
  <si>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</si>
  <si>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</si>
  <si>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</si>
  <si>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</si>
  <si>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</si>
  <si>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</si>
  <si>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</si>
  <si>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</si>
  <si>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</si>
  <si>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</si>
  <si>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</si>
  <si>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</si>
  <si>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</si>
  <si>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</si>
  <si>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</si>
  <si>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</si>
  <si>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</si>
  <si>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</si>
  <si>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</si>
  <si>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</si>
  <si>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</si>
  <si>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</si>
  <si>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</si>
  <si>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</si>
  <si>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</si>
  <si>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</si>
  <si>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</si>
  <si>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</si>
  <si>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</si>
  <si>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</si>
  <si>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</si>
  <si>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</si>
  <si>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</si>
  <si>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</si>
  <si>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</si>
  <si>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</si>
  <si>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</si>
  <si>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</si>
  <si>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</si>
  <si>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</si>
  <si>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</si>
  <si>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</si>
  <si>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</si>
  <si>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</si>
  <si>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</si>
  <si>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</si>
  <si>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</si>
  <si>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</si>
  <si>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</si>
  <si>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</si>
  <si>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</si>
  <si>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</si>
  <si>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</si>
  <si>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</si>
  <si>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</si>
  <si>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</si>
  <si>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</si>
  <si>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</si>
  <si>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</si>
  <si>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</si>
  <si>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</si>
  <si>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</si>
  <si>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</si>
  <si>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</si>
  <si>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</si>
  <si>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</si>
  <si>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</si>
  <si>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</si>
  <si>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</si>
  <si>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</si>
  <si>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</si>
  <si>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</si>
  <si>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</si>
  <si>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</si>
  <si>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</si>
  <si>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</si>
  <si>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</si>
  <si>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</si>
  <si>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</si>
  <si>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</si>
  <si>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</si>
  <si>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</si>
  <si>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</si>
  <si>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</si>
  <si>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</si>
  <si>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</si>
  <si>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</si>
  <si>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</si>
  <si>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</si>
  <si>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</si>
  <si>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</si>
  <si>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</si>
  <si>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</si>
  <si>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</si>
  <si>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</si>
  <si>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</si>
  <si>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</si>
  <si>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</si>
  <si>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</si>
  <si>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</si>
  <si>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</si>
  <si>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</si>
  <si>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</si>
  <si>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</si>
  <si>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</si>
  <si>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</si>
  <si>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</si>
  <si>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</si>
  <si>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</si>
  <si>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</si>
  <si>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</si>
  <si>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</si>
  <si>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</si>
  <si>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</si>
  <si>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</si>
  <si>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</si>
  <si>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</si>
  <si>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</si>
  <si>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</si>
  <si>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</si>
  <si>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</si>
  <si>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</si>
  <si>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</si>
  <si>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</si>
  <si>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</si>
  <si>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</si>
  <si>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</si>
  <si>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</si>
  <si>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</si>
  <si>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</si>
  <si>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</si>
  <si>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</si>
  <si>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</si>
  <si>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</si>
  <si>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</si>
  <si>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</si>
  <si>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</si>
  <si>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</si>
  <si>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</si>
  <si>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</si>
  <si>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</si>
  <si>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</si>
  <si>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</si>
  <si>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</si>
  <si>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</si>
  <si>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</si>
  <si>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</si>
  <si>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</si>
  <si>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</si>
  <si>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</si>
  <si>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</si>
  <si>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</si>
  <si>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</si>
  <si>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</si>
  <si>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</si>
  <si>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</si>
  <si>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</si>
  <si>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</si>
  <si>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</si>
  <si>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</si>
  <si>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</si>
  <si>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</si>
  <si>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</si>
  <si>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</si>
  <si>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</si>
  <si>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</si>
  <si>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</si>
  <si>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</si>
  <si>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</si>
  <si>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</si>
  <si>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</si>
  <si>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</si>
  <si>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</si>
  <si>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</si>
  <si>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</si>
  <si>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</si>
  <si>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</si>
  <si>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</si>
  <si>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</si>
  <si>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</si>
  <si>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</si>
  <si>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</si>
  <si>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</si>
  <si>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</si>
  <si>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</si>
  <si>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</si>
  <si>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</si>
  <si>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</si>
  <si>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</si>
  <si>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</si>
  <si>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</si>
  <si>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</si>
  <si>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</si>
  <si>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</si>
  <si>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</si>
  <si>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</si>
  <si>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</si>
  <si>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</si>
  <si>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</si>
  <si>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</si>
  <si>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</si>
  <si>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</si>
  <si>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</si>
  <si>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</si>
  <si>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</si>
  <si>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</si>
  <si>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</si>
  <si>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</si>
  <si>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</si>
  <si>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</si>
  <si>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</si>
  <si>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</si>
  <si>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</si>
  <si>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</si>
  <si>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</si>
  <si>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</si>
  <si>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</si>
  <si>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</si>
  <si>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</si>
  <si>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</si>
  <si>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</si>
  <si>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</si>
  <si>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</si>
  <si>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</si>
  <si>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</si>
  <si>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</si>
  <si>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</si>
  <si>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</si>
  <si>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</si>
  <si>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</si>
  <si>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</si>
  <si>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</si>
  <si>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</si>
  <si>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</si>
  <si>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</si>
  <si>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</si>
  <si>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</si>
  <si>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</si>
  <si>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</si>
  <si>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</si>
  <si>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</si>
  <si>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</si>
  <si>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</si>
  <si>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</si>
  <si>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</si>
  <si>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</si>
  <si>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</si>
  <si>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</si>
  <si>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</si>
  <si>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</si>
  <si>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</si>
  <si>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</si>
  <si>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</si>
  <si>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</si>
  <si>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</si>
  <si>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</si>
  <si>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</si>
  <si>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</si>
  <si>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</si>
  <si>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</si>
  <si>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</si>
  <si>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</si>
  <si>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</si>
  <si>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</si>
  <si>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</si>
  <si>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</si>
  <si>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</si>
  <si>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</si>
  <si>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</si>
  <si>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</si>
  <si>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</si>
  <si>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</si>
  <si>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</si>
  <si>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</si>
  <si>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</si>
  <si>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</si>
  <si>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</si>
  <si>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</si>
  <si>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</si>
  <si>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</si>
  <si>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</si>
  <si>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</si>
  <si>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</si>
  <si>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</si>
  <si>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</si>
  <si>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</si>
  <si>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</si>
  <si>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</si>
  <si>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</si>
  <si>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</si>
  <si>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</si>
  <si>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</si>
  <si>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</si>
  <si>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</si>
  <si>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</si>
  <si>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</si>
  <si>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</si>
  <si>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</si>
  <si>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</si>
  <si>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</si>
  <si>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</si>
  <si>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</si>
  <si>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</si>
  <si>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</si>
  <si>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</si>
  <si>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</si>
  <si>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</si>
  <si>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</si>
  <si>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</si>
  <si>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</si>
  <si>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</si>
  <si>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</si>
  <si>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</si>
  <si>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</si>
  <si>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</si>
  <si>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</si>
  <si>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</si>
  <si>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</si>
  <si>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</si>
  <si>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</si>
  <si>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</si>
  <si>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</si>
  <si>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</si>
  <si>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</si>
  <si>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</si>
  <si>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</si>
  <si>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</si>
  <si>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</si>
  <si>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</si>
  <si>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</si>
  <si>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</si>
  <si>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</si>
  <si>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</si>
  <si>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</si>
  <si>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</si>
  <si>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</si>
  <si>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</si>
  <si>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</si>
  <si>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</si>
  <si>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</si>
  <si>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</si>
  <si>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</si>
  <si>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</si>
  <si>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</si>
  <si>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</si>
  <si>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</si>
  <si>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</si>
  <si>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</si>
  <si>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</si>
  <si>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</si>
  <si>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</si>
  <si>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</si>
  <si>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</si>
  <si>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</si>
  <si>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</si>
  <si>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</si>
  <si>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</si>
  <si>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</si>
  <si>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</si>
  <si>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</si>
  <si>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</si>
  <si>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</si>
  <si>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</si>
  <si>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</si>
  <si>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</si>
  <si>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</si>
  <si>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</si>
  <si>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</si>
  <si>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</si>
  <si>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</si>
  <si>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</si>
  <si>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</si>
  <si>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</si>
  <si>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</si>
  <si>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</si>
  <si>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</si>
  <si>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</si>
  <si>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</si>
  <si>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</si>
  <si>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</si>
  <si>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</si>
  <si>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</si>
  <si>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</si>
  <si>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</si>
  <si>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</si>
  <si>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</si>
  <si>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</si>
  <si>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</si>
  <si>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</si>
  <si>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</si>
  <si>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</si>
  <si>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</si>
  <si>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</si>
  <si>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</si>
  <si>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</si>
  <si>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</si>
  <si>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</si>
  <si>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</si>
  <si>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</si>
  <si>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</si>
  <si>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</si>
  <si>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</si>
  <si>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</si>
  <si>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</si>
  <si>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</si>
  <si>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</si>
  <si>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</si>
  <si>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</si>
  <si>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</si>
  <si>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</si>
  <si>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</si>
  <si>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</si>
  <si>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</si>
  <si>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</si>
  <si>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</si>
  <si>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</si>
  <si>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</si>
  <si>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</si>
  <si>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</si>
  <si>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</si>
  <si>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</si>
  <si>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</si>
  <si>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</si>
  <si>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</si>
  <si>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</si>
  <si>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</si>
  <si>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</si>
  <si>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</si>
  <si>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</si>
  <si>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</si>
  <si>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</si>
  <si>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</si>
  <si>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</si>
  <si>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</si>
  <si>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</si>
  <si>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</si>
  <si>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</si>
  <si>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</si>
  <si>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</si>
  <si>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</si>
  <si>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</si>
  <si>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</si>
  <si>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</si>
  <si>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</si>
  <si>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</si>
  <si>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</si>
  <si>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</si>
  <si>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</si>
  <si>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</si>
  <si>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</si>
  <si>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</si>
  <si>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</si>
  <si>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</si>
  <si>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</si>
  <si>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</si>
  <si>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</si>
  <si>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</si>
  <si>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</si>
  <si>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</si>
  <si>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</si>
  <si>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</si>
  <si>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</si>
  <si>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</si>
  <si>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</si>
  <si>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</si>
  <si>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</si>
  <si>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</si>
  <si>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</si>
  <si>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</si>
  <si>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</si>
  <si>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</si>
  <si>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</si>
  <si>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</si>
  <si>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</si>
  <si>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</si>
  <si>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</si>
  <si>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</si>
  <si>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</si>
  <si>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</si>
  <si>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</si>
  <si>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</si>
  <si>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</si>
  <si>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</si>
  <si>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</si>
  <si>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</si>
  <si>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</si>
  <si>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</si>
  <si>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</si>
  <si>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</si>
  <si>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</si>
  <si>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</si>
  <si>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</si>
  <si>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</si>
  <si>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</si>
  <si>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</si>
  <si>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</si>
  <si>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</si>
  <si>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</si>
  <si>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</si>
  <si>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</si>
  <si>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</si>
  <si>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</si>
  <si>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</si>
  <si>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</si>
  <si>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</si>
  <si>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</si>
  <si>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</si>
  <si>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</si>
  <si>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</si>
  <si>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</si>
  <si>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</si>
  <si>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</si>
  <si>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</si>
  <si>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</si>
  <si>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</si>
  <si>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</si>
  <si>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</si>
  <si>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</si>
  <si>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</si>
  <si>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</si>
  <si>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</si>
  <si>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</si>
  <si>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</si>
  <si>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</si>
  <si>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</si>
  <si>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</si>
  <si>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</si>
  <si>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</si>
  <si>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</si>
  <si>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</si>
  <si>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</si>
  <si>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</si>
  <si>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</si>
  <si>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</si>
  <si>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</si>
  <si>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</si>
  <si>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</si>
  <si>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</si>
  <si>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</si>
  <si>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</si>
  <si>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</si>
  <si>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</si>
  <si>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</si>
  <si>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</si>
  <si>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</si>
  <si>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</si>
  <si>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</si>
  <si>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</si>
  <si>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</si>
  <si>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</si>
  <si>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</si>
  <si>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</si>
  <si>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</si>
  <si>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</si>
  <si>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</si>
  <si>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</si>
  <si>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</si>
  <si>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</si>
  <si>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</si>
  <si>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</si>
  <si>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</si>
  <si>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</si>
  <si>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</si>
  <si>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</si>
  <si>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</si>
  <si>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</si>
  <si>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</si>
  <si>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</si>
  <si>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</si>
  <si>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</si>
  <si>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</si>
  <si>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</si>
  <si>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</si>
  <si>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</si>
  <si>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</si>
  <si>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</si>
  <si>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</si>
  <si>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</si>
  <si>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</si>
  <si>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</si>
  <si>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</si>
  <si>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</si>
  <si>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</si>
  <si>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</si>
  <si>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</si>
  <si>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</si>
  <si>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</si>
  <si>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</si>
  <si>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</si>
  <si>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</si>
  <si>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</si>
  <si>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</si>
  <si>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</si>
  <si>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</si>
  <si>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</si>
  <si>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</si>
  <si>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</si>
  <si>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</si>
  <si>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</si>
  <si>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</si>
  <si>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</si>
  <si>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</si>
  <si>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</si>
  <si>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</si>
  <si>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</si>
  <si>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</si>
  <si>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</si>
  <si>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</si>
  <si>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</si>
  <si>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</si>
  <si>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</si>
  <si>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</si>
  <si>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</si>
  <si>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</si>
  <si>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</si>
  <si>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</si>
  <si>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</si>
  <si>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</si>
  <si>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</si>
  <si>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</si>
  <si>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</si>
  <si>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</si>
  <si>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</si>
  <si>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</si>
  <si>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</si>
  <si>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</si>
  <si>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</si>
  <si>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</si>
  <si>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</si>
  <si>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</si>
  <si>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</si>
  <si>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</si>
  <si>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</si>
  <si>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</si>
  <si>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</si>
  <si>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</si>
  <si>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</si>
  <si>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</si>
  <si>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</si>
  <si>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</si>
  <si>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</si>
  <si>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</si>
  <si>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</si>
  <si>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</si>
  <si>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</si>
  <si>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</si>
  <si>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</si>
  <si>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</si>
  <si>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</si>
  <si>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</si>
  <si>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</si>
  <si>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</si>
  <si>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</si>
  <si>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</si>
  <si>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</si>
  <si>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</si>
  <si>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</si>
  <si>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</si>
  <si>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</si>
  <si>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</si>
  <si>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</si>
  <si>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</si>
  <si>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</si>
  <si>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</si>
  <si>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</si>
  <si>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</si>
  <si>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</si>
  <si>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</si>
  <si>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</si>
  <si>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</si>
  <si>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</si>
  <si>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</si>
  <si>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</si>
  <si>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</si>
  <si>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</si>
  <si>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</si>
  <si>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</si>
  <si>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</si>
  <si>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</si>
  <si>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</si>
  <si>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</si>
  <si>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</si>
  <si>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</si>
  <si>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</si>
  <si>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</si>
  <si>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</si>
  <si>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</si>
  <si>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</si>
  <si>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</si>
  <si>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</si>
  <si>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</si>
  <si>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</si>
  <si>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</si>
  <si>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</si>
  <si>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</si>
  <si>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</si>
  <si>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</si>
  <si>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</si>
  <si>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</si>
  <si>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</si>
  <si>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</si>
  <si>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</si>
  <si>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</si>
  <si>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</si>
  <si>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</si>
  <si>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</si>
  <si>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</si>
  <si>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</si>
  <si>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</si>
  <si>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</si>
  <si>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</si>
  <si>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</si>
  <si>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</si>
  <si>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</si>
  <si>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</si>
  <si>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</si>
  <si>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</si>
  <si>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</si>
  <si>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</si>
  <si>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</si>
  <si>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</si>
  <si>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</si>
  <si>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</si>
  <si>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</si>
  <si>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</si>
  <si>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</si>
  <si>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</si>
  <si>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</si>
  <si>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</si>
  <si>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</si>
  <si>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</si>
  <si>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</si>
  <si>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</si>
  <si>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</si>
  <si>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</si>
  <si>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</si>
  <si>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</si>
  <si>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</si>
  <si>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</si>
  <si>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</si>
  <si>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</si>
  <si>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</si>
  <si>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</si>
  <si>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</si>
  <si>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</si>
  <si>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</si>
  <si>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</si>
  <si>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</si>
  <si>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</si>
  <si>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</si>
  <si>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</si>
  <si>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</si>
  <si>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</si>
  <si>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</si>
  <si>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</si>
  <si>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</si>
  <si>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</si>
  <si>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</si>
  <si>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</si>
  <si>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</si>
  <si>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</si>
  <si>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</si>
  <si>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</si>
  <si>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</si>
  <si>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</si>
  <si>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</si>
  <si>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</si>
  <si>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</si>
  <si>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</si>
  <si>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</si>
  <si>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</si>
  <si>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</si>
  <si>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</si>
  <si>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</si>
  <si>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</si>
  <si>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</si>
  <si>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</si>
  <si>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</si>
  <si>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</si>
  <si>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</si>
  <si>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</si>
  <si>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</si>
  <si>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</si>
  <si>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</si>
  <si>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</si>
  <si>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</si>
  <si>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</si>
  <si>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</si>
  <si>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</si>
  <si>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</si>
  <si>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</si>
  <si>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</si>
  <si>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</si>
  <si>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</si>
  <si>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</si>
  <si>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</si>
  <si>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</si>
  <si>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</si>
  <si>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</si>
  <si>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</si>
  <si>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</si>
  <si>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</si>
  <si>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</si>
  <si>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</si>
  <si>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</si>
  <si>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</si>
  <si>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</si>
  <si>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</si>
  <si>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</si>
  <si>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</si>
  <si>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</si>
  <si>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</si>
  <si>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</si>
  <si>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</si>
  <si>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</si>
  <si>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</si>
  <si>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</si>
  <si>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</si>
  <si>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</si>
  <si>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</si>
  <si>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</si>
  <si>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</si>
  <si>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</si>
  <si>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</si>
  <si>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</si>
  <si>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</si>
  <si>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PRD</t>
    <phoneticPr fontId="1" type="noConversion"/>
  </si>
  <si>
    <t>hazr-p-bdp-rg</t>
    <phoneticPr fontId="1" type="noConversion"/>
  </si>
  <si>
    <t>RPD</t>
    <phoneticPr fontId="1" type="noConversion"/>
  </si>
  <si>
    <t>hazr-p-bdp-rlgcweb01</t>
    <phoneticPr fontId="1" type="noConversion"/>
  </si>
  <si>
    <t>hazr-p-bdp-rlgcweb02</t>
    <phoneticPr fontId="1" type="noConversion"/>
  </si>
  <si>
    <t>hazr-p-bdp-rlgcap01</t>
    <phoneticPr fontId="1" type="noConversion"/>
  </si>
  <si>
    <t>hazr-p-bdp-rlgcap02</t>
    <phoneticPr fontId="1" type="noConversion"/>
  </si>
  <si>
    <t>hazr-p-bdp-rlgcap03</t>
    <phoneticPr fontId="1" type="noConversion"/>
  </si>
  <si>
    <t>10.158.132.21</t>
    <phoneticPr fontId="1" type="noConversion"/>
  </si>
  <si>
    <t>10.158.132.22</t>
    <phoneticPr fontId="1" type="noConversion"/>
  </si>
  <si>
    <t>10.158.156.71</t>
    <phoneticPr fontId="1" type="noConversion"/>
  </si>
  <si>
    <t>10.158.156.72</t>
    <phoneticPr fontId="1" type="noConversion"/>
  </si>
  <si>
    <t>E4s_v5</t>
    <phoneticPr fontId="1" type="noConversion"/>
  </si>
  <si>
    <t>E32s_v5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</si>
  <si>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</si>
  <si>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</si>
  <si>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p-puls-web-sbn</t>
    <phoneticPr fontId="1" type="noConversion"/>
  </si>
  <si>
    <t>hazr-p-bdp-rlgcweb-lb</t>
    <phoneticPr fontId="1" type="noConversion"/>
  </si>
  <si>
    <t>hazr-p-bdp-rlgcap-lb</t>
    <phoneticPr fontId="1" type="noConversion"/>
  </si>
  <si>
    <t>10.158.132.20</t>
    <phoneticPr fontId="1" type="noConversion"/>
  </si>
  <si>
    <t>10.158.156.70</t>
    <phoneticPr fontId="1" type="noConversion"/>
  </si>
  <si>
    <t>10.158.156.73</t>
    <phoneticPr fontId="1" type="noConversion"/>
  </si>
  <si>
    <t>hazr-p-dtg-bbigeoap02</t>
    <phoneticPr fontId="1" type="noConversion"/>
  </si>
  <si>
    <t>PRD</t>
    <phoneticPr fontId="1" type="noConversion"/>
  </si>
  <si>
    <t>Linux</t>
    <phoneticPr fontId="1" type="noConversion"/>
  </si>
  <si>
    <t>hazr-p-if-rg</t>
    <phoneticPr fontId="1" type="noConversion"/>
  </si>
  <si>
    <t>hazr-p-if-sastweb01</t>
    <phoneticPr fontId="1" type="noConversion"/>
  </si>
  <si>
    <t>10.158.165.81</t>
    <phoneticPr fontId="1" type="noConversion"/>
  </si>
  <si>
    <t>PRD</t>
    <phoneticPr fontId="1" type="noConversion"/>
  </si>
  <si>
    <t>hazr-p-sec-rg</t>
    <phoneticPr fontId="1" type="noConversion"/>
  </si>
  <si>
    <t>10.158.150.11</t>
    <phoneticPr fontId="1" type="noConversion"/>
  </si>
  <si>
    <t>10.158.150.12</t>
    <phoneticPr fontId="1" type="noConversion"/>
  </si>
  <si>
    <t>D2s_v5</t>
    <phoneticPr fontId="1" type="noConversion"/>
  </si>
  <si>
    <t>D4s_v5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</si>
  <si>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</si>
  <si>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</si>
  <si>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hazr-p-sec-mevrsol01</t>
    <phoneticPr fontId="1" type="noConversion"/>
  </si>
  <si>
    <t>hazr-p-sec-mevrsol02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</si>
  <si>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</si>
  <si>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hazr-p-dch-int-vnet</t>
    <phoneticPr fontId="1" type="noConversion"/>
  </si>
  <si>
    <t>p-sec-ap-sbn</t>
    <phoneticPr fontId="1" type="noConversion"/>
  </si>
  <si>
    <t>p-sec-ap-sbn</t>
    <phoneticPr fontId="1" type="noConversion"/>
  </si>
  <si>
    <t>hazr-p-sec-rg</t>
    <phoneticPr fontId="1" type="noConversion"/>
  </si>
  <si>
    <t>hazr-p-sec-mevrsol-lb</t>
  </si>
  <si>
    <t>hazr-p-sec-mevrsol-lb</t>
    <phoneticPr fontId="1" type="noConversion"/>
  </si>
  <si>
    <t>hazr-p-dch-rg</t>
    <phoneticPr fontId="1" type="noConversion"/>
  </si>
  <si>
    <t>hazr-p-sec-mevrsol-lb</t>
    <phoneticPr fontId="1" type="noConversion"/>
  </si>
  <si>
    <t>10.158.150.10</t>
    <phoneticPr fontId="1" type="noConversion"/>
  </si>
  <si>
    <t>PRD</t>
    <phoneticPr fontId="1" type="noConversion"/>
  </si>
  <si>
    <t>hazr-p-dis-rg</t>
    <phoneticPr fontId="1" type="noConversion"/>
  </si>
  <si>
    <t>hazr-p-dis-clvap-lb</t>
    <phoneticPr fontId="1" type="noConversion"/>
  </si>
  <si>
    <t>hazr-p-dch-rg</t>
    <phoneticPr fontId="1" type="noConversion"/>
  </si>
  <si>
    <t>hazr-p-dch-ext-vnet</t>
    <phoneticPr fontId="1" type="noConversion"/>
  </si>
  <si>
    <t>hazr-p-dch-int-vnet</t>
    <phoneticPr fontId="1" type="noConversion"/>
  </si>
  <si>
    <t>10.158.128.20</t>
    <phoneticPr fontId="1" type="noConversion"/>
  </si>
  <si>
    <t>10.158.144.50</t>
    <phoneticPr fontId="1" type="noConversion"/>
  </si>
  <si>
    <t>10.158.144.70</t>
    <phoneticPr fontId="1" type="noConversion"/>
  </si>
  <si>
    <t>10.158.144.130</t>
    <phoneticPr fontId="1" type="noConversion"/>
  </si>
  <si>
    <t>10.158.144.140</t>
    <phoneticPr fontId="1" type="noConversion"/>
  </si>
  <si>
    <t>1,2,3</t>
  </si>
  <si>
    <t>D4ls_v5</t>
    <phoneticPr fontId="1" type="noConversion"/>
  </si>
  <si>
    <t>D4s_v5</t>
    <phoneticPr fontId="1" type="noConversion"/>
  </si>
  <si>
    <t>D2s_v5</t>
    <phoneticPr fontId="1" type="noConversion"/>
  </si>
  <si>
    <t>TCP</t>
    <phoneticPr fontId="1" type="noConversion"/>
  </si>
  <si>
    <t>10.158.144.150</t>
    <phoneticPr fontId="1" type="noConversion"/>
  </si>
  <si>
    <t>10.158.128.50</t>
    <phoneticPr fontId="1" type="noConversion"/>
  </si>
  <si>
    <t>hazr-p-clv-rg</t>
    <phoneticPr fontId="1" type="noConversion"/>
  </si>
  <si>
    <t>hazr-p-clv-web01</t>
    <phoneticPr fontId="1" type="noConversion"/>
  </si>
  <si>
    <t>hazr-p-clv-web02</t>
    <phoneticPr fontId="1" type="noConversion"/>
  </si>
  <si>
    <t>hazr-p-clv-ap01</t>
    <phoneticPr fontId="1" type="noConversion"/>
  </si>
  <si>
    <t>hazr-p-clv-ap02</t>
    <phoneticPr fontId="1" type="noConversion"/>
  </si>
  <si>
    <t>hazr-p-clv-ssrap01</t>
    <phoneticPr fontId="1" type="noConversion"/>
  </si>
  <si>
    <t>hazr-p-clv-ssrap02</t>
    <phoneticPr fontId="1" type="noConversion"/>
  </si>
  <si>
    <t>hazr-p-clv-admweb01</t>
    <phoneticPr fontId="1" type="noConversion"/>
  </si>
  <si>
    <t>hazr-p-clv-admweb02</t>
    <phoneticPr fontId="1" type="noConversion"/>
  </si>
  <si>
    <t>hazr-p-clv-admap01</t>
    <phoneticPr fontId="1" type="noConversion"/>
  </si>
  <si>
    <t>hazr-p-clv-admap02</t>
    <phoneticPr fontId="1" type="noConversion"/>
  </si>
  <si>
    <t>hazr-p-if-brpaap01</t>
    <phoneticPr fontId="1" type="noConversion"/>
  </si>
  <si>
    <t>hazr-p-if-brpadb01</t>
    <phoneticPr fontId="1" type="noConversion"/>
  </si>
  <si>
    <t>/subscriptions/b73b1d70-b43f-41b5-bb3f-34b9236d2ed9/resourceGroups/hazr-l-mgmt-rg/providers/Microsoft.Compute/galleries/hazrlmgmtgal/images/RHEL_9.8_Base_Image/versions/0.0.6</t>
    <phoneticPr fontId="1" type="noConversion"/>
  </si>
  <si>
    <t>p-clv-web-sbn</t>
    <phoneticPr fontId="1" type="noConversion"/>
  </si>
  <si>
    <t>p-clv-ap-sbn</t>
    <phoneticPr fontId="1" type="noConversion"/>
  </si>
  <si>
    <t>p-if-db-sbn</t>
    <phoneticPr fontId="1" type="noConversion"/>
  </si>
  <si>
    <t>10.158.165.91</t>
    <phoneticPr fontId="1" type="noConversion"/>
  </si>
  <si>
    <t>10.158.166.11</t>
    <phoneticPr fontId="1" type="noConversion"/>
  </si>
  <si>
    <t>10.158.159.11</t>
    <phoneticPr fontId="1" type="noConversion"/>
  </si>
  <si>
    <t>10.158.159.12</t>
    <phoneticPr fontId="1" type="noConversion"/>
  </si>
  <si>
    <t>10.158.133.11</t>
    <phoneticPr fontId="1" type="noConversion"/>
  </si>
  <si>
    <t>10.158.133.12</t>
    <phoneticPr fontId="1" type="noConversion"/>
  </si>
  <si>
    <t>10.158.159.21</t>
    <phoneticPr fontId="1" type="noConversion"/>
  </si>
  <si>
    <t>10.158.159.22</t>
    <phoneticPr fontId="1" type="noConversion"/>
  </si>
  <si>
    <t>10.158.159.31</t>
    <phoneticPr fontId="1" type="noConversion"/>
  </si>
  <si>
    <t>10.158.159.32</t>
    <phoneticPr fontId="1" type="noConversion"/>
  </si>
  <si>
    <t>10.158.159.41</t>
    <phoneticPr fontId="1" type="noConversion"/>
  </si>
  <si>
    <t>10.158.159.42</t>
    <phoneticPr fontId="1" type="noConversion"/>
  </si>
  <si>
    <t>p-clv-db-sbn</t>
    <phoneticPr fontId="1" type="noConversion"/>
  </si>
  <si>
    <t>p-clv-pe-sbn</t>
    <phoneticPr fontId="1" type="noConversion"/>
  </si>
  <si>
    <t>hazr-p-clv-web-lb</t>
    <phoneticPr fontId="1" type="noConversion"/>
  </si>
  <si>
    <t>hazr-p-clv-ap-lb</t>
    <phoneticPr fontId="1" type="noConversion"/>
  </si>
  <si>
    <t>hazr-p-clv-ssrap-lb</t>
    <phoneticPr fontId="1" type="noConversion"/>
  </si>
  <si>
    <t>hazr-p-clv-admweb-lb</t>
    <phoneticPr fontId="1" type="noConversion"/>
  </si>
  <si>
    <t>hazr-p-clv-admap-lb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</si>
</sst>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61" totalsRowShown="0" headerRowDxfId="32" dataDxfId="31">
  <autoFilter ref="B1:AF161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1029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M2" sqref="M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161"/>
  <sheetViews>
    <sheetView zoomScaleNormal="100" zoomScaleSheetLayoutView="100" workbookViewId="0">
      <pane xSplit="6" ySplit="1" topLeftCell="S138" activePane="bottomRight" state="frozen"/>
      <selection activeCell="B148" sqref="B148"/>
      <selection pane="topRight" activeCell="B148" sqref="B148"/>
      <selection pane="bottomLeft" activeCell="B148" sqref="B148"/>
      <selection pane="bottomRight" activeCell="F159" sqref="F148:F159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7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986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7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986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987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987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996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987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996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987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986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986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986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986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986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986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986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996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986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996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986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986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986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987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987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987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987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987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987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986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986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987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987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986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986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986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986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986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986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986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986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987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987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987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987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987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987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986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986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986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986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986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986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986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986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986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986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986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986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1006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986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1007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986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1008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986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1009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986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1010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986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1011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986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987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987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986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986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987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986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986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986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986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987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987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986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986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986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986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986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986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986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986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986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986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987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986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994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986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986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986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986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986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986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986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986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987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987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986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986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987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987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987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987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986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986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987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986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987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987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987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987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987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987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997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986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986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998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987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986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989</v>
      </c>
      <c r="C114" s="102"/>
      <c r="D114" s="102" t="s">
        <v>925</v>
      </c>
      <c r="E114" s="102" t="s">
        <v>24</v>
      </c>
      <c r="F114" s="102" t="s">
        <v>454</v>
      </c>
      <c r="G114" s="102" t="s">
        <v>990</v>
      </c>
      <c r="H114" s="102" t="s">
        <v>991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992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965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989</v>
      </c>
      <c r="C115" s="102"/>
      <c r="D115" s="102" t="s">
        <v>925</v>
      </c>
      <c r="E115" s="102" t="s">
        <v>24</v>
      </c>
      <c r="F115" s="102" t="s">
        <v>455</v>
      </c>
      <c r="G115" s="102" t="s">
        <v>993</v>
      </c>
      <c r="H115" s="102" t="s">
        <v>991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992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965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987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987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987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987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987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987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986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986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986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986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986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923</v>
      </c>
      <c r="E129" s="95" t="s">
        <v>24</v>
      </c>
      <c r="F129" s="95" t="s">
        <v>1018</v>
      </c>
      <c r="G129" s="95" t="s">
        <v>1020</v>
      </c>
      <c r="H129" s="95" t="s">
        <v>1022</v>
      </c>
      <c r="I129" s="95">
        <v>8</v>
      </c>
      <c r="J129" s="95">
        <v>32</v>
      </c>
      <c r="K129" s="95" t="s">
        <v>180</v>
      </c>
      <c r="L129" s="111" t="s">
        <v>178</v>
      </c>
      <c r="M129" s="95" t="s">
        <v>992</v>
      </c>
      <c r="N129" s="98" t="s">
        <v>986</v>
      </c>
      <c r="O129" s="74" t="str">
        <f t="shared" ref="O129:O135" si="12">SUBSTITUTE(F129,"hazr-","")&amp;"-osdisk"</f>
        <v>p-dtg-bbigeoap01-osdisk</v>
      </c>
      <c r="P129" s="112">
        <v>64</v>
      </c>
      <c r="Q129" s="113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962</v>
      </c>
      <c r="AA129" s="74" t="b">
        <v>1</v>
      </c>
      <c r="AB129" s="74" t="s">
        <v>317</v>
      </c>
      <c r="AC129" s="74" t="s">
        <v>318</v>
      </c>
      <c r="AD129" s="112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923</v>
      </c>
      <c r="E130" s="74" t="s">
        <v>24</v>
      </c>
      <c r="F130" s="95" t="s">
        <v>1089</v>
      </c>
      <c r="G130" s="74" t="s">
        <v>1021</v>
      </c>
      <c r="H130" s="74" t="s">
        <v>1022</v>
      </c>
      <c r="I130" s="74">
        <v>8</v>
      </c>
      <c r="J130" s="74">
        <v>32</v>
      </c>
      <c r="K130" s="74" t="s">
        <v>180</v>
      </c>
      <c r="L130" s="110" t="s">
        <v>178</v>
      </c>
      <c r="M130" s="74" t="s">
        <v>992</v>
      </c>
      <c r="N130" s="98" t="s">
        <v>986</v>
      </c>
      <c r="O130" s="74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962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1030</v>
      </c>
      <c r="D131" s="95" t="s">
        <v>925</v>
      </c>
      <c r="E131" s="95" t="s">
        <v>24</v>
      </c>
      <c r="F131" s="95" t="s">
        <v>1031</v>
      </c>
      <c r="G131" s="95" t="s">
        <v>1032</v>
      </c>
      <c r="H131" s="95" t="s">
        <v>1033</v>
      </c>
      <c r="I131" s="95">
        <v>4</v>
      </c>
      <c r="J131" s="95">
        <v>32</v>
      </c>
      <c r="K131" s="95" t="s">
        <v>180</v>
      </c>
      <c r="L131" s="111" t="s">
        <v>178</v>
      </c>
      <c r="M131" s="95" t="s">
        <v>992</v>
      </c>
      <c r="N131" s="98" t="s">
        <v>1034</v>
      </c>
      <c r="O131" s="74" t="str">
        <f t="shared" si="12"/>
        <v>p-if-hipsap01-osdisk</v>
      </c>
      <c r="P131" s="112">
        <v>64</v>
      </c>
      <c r="Q131" s="113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965</v>
      </c>
      <c r="AA131" s="95" t="b">
        <v>1</v>
      </c>
      <c r="AB131" s="95" t="s">
        <v>317</v>
      </c>
      <c r="AC131" s="95" t="s">
        <v>318</v>
      </c>
      <c r="AD131" s="112">
        <v>1</v>
      </c>
      <c r="AE131" s="95"/>
      <c r="AF131" s="95"/>
    </row>
    <row r="132" spans="1:32" x14ac:dyDescent="0.3">
      <c r="A132" s="90"/>
      <c r="B132" s="95" t="s">
        <v>23</v>
      </c>
      <c r="C132" s="95" t="str" cm="1">
        <f t="array" ref="C132">UPPER(INDEX(_xlfn.TEXTSPLIT($F132, "-"), 3))</f>
        <v>COM</v>
      </c>
      <c r="D132" s="95" t="s">
        <v>1035</v>
      </c>
      <c r="E132" s="95" t="s">
        <v>24</v>
      </c>
      <c r="F132" s="95" t="s">
        <v>1036</v>
      </c>
      <c r="G132" s="95" t="s">
        <v>1040</v>
      </c>
      <c r="H132" s="95" t="s">
        <v>1042</v>
      </c>
      <c r="I132" s="95">
        <v>16</v>
      </c>
      <c r="J132" s="95">
        <v>32</v>
      </c>
      <c r="K132" s="95" t="s">
        <v>180</v>
      </c>
      <c r="L132" s="111" t="s">
        <v>178</v>
      </c>
      <c r="M132" s="95" t="s">
        <v>992</v>
      </c>
      <c r="N132" s="118" t="s">
        <v>1050</v>
      </c>
      <c r="O132" s="74" t="str">
        <f t="shared" si="12"/>
        <v>p-com-esnweb01-osdisk</v>
      </c>
      <c r="P132" s="80">
        <v>64</v>
      </c>
      <c r="Q132" s="113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1045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A133" s="90"/>
      <c r="B133" s="95" t="s">
        <v>23</v>
      </c>
      <c r="C133" s="95" t="str" cm="1">
        <f t="array" ref="C133">UPPER(INDEX(_xlfn.TEXTSPLIT($F133, "-"), 3))</f>
        <v>COM</v>
      </c>
      <c r="D133" s="95" t="s">
        <v>1035</v>
      </c>
      <c r="E133" s="95" t="s">
        <v>24</v>
      </c>
      <c r="F133" s="95" t="s">
        <v>1037</v>
      </c>
      <c r="G133" s="95" t="s">
        <v>1041</v>
      </c>
      <c r="H133" s="95" t="s">
        <v>596</v>
      </c>
      <c r="I133" s="95">
        <v>16</v>
      </c>
      <c r="J133" s="95">
        <v>32</v>
      </c>
      <c r="K133" s="95" t="s">
        <v>180</v>
      </c>
      <c r="L133" s="111" t="s">
        <v>178</v>
      </c>
      <c r="M133" s="95" t="s">
        <v>992</v>
      </c>
      <c r="N133" s="118" t="s">
        <v>1050</v>
      </c>
      <c r="O133" s="74" t="str">
        <f t="shared" si="12"/>
        <v>p-com-esnweb02-osdisk</v>
      </c>
      <c r="P133" s="80">
        <v>64</v>
      </c>
      <c r="Q133" s="113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1045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A134" s="90"/>
      <c r="B134" s="95" t="s">
        <v>23</v>
      </c>
      <c r="C134" s="95" t="str" cm="1">
        <f t="array" ref="C134">UPPER(INDEX(_xlfn.TEXTSPLIT($F134, "-"), 3))</f>
        <v>COM</v>
      </c>
      <c r="D134" s="95" t="s">
        <v>1035</v>
      </c>
      <c r="E134" s="95" t="s">
        <v>24</v>
      </c>
      <c r="F134" s="95" t="s">
        <v>1038</v>
      </c>
      <c r="G134" s="95" t="s">
        <v>1051</v>
      </c>
      <c r="H134" s="95" t="s">
        <v>1044</v>
      </c>
      <c r="I134" s="95">
        <v>32</v>
      </c>
      <c r="J134" s="95">
        <v>64</v>
      </c>
      <c r="K134" s="95" t="s">
        <v>180</v>
      </c>
      <c r="L134" s="111" t="s">
        <v>178</v>
      </c>
      <c r="M134" s="95" t="s">
        <v>992</v>
      </c>
      <c r="N134" s="118" t="s">
        <v>1050</v>
      </c>
      <c r="O134" s="74" t="str">
        <f t="shared" si="12"/>
        <v>p-com-esnap01-osdisk</v>
      </c>
      <c r="P134" s="112">
        <v>64</v>
      </c>
      <c r="Q134" s="113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1048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A135" s="90"/>
      <c r="B135" s="95" t="s">
        <v>23</v>
      </c>
      <c r="C135" s="95" t="str" cm="1">
        <f t="array" ref="C135">UPPER(INDEX(_xlfn.TEXTSPLIT($F135, "-"), 3))</f>
        <v>COM</v>
      </c>
      <c r="D135" s="95" t="s">
        <v>1035</v>
      </c>
      <c r="E135" s="95" t="s">
        <v>24</v>
      </c>
      <c r="F135" s="95" t="s">
        <v>1039</v>
      </c>
      <c r="G135" s="95" t="s">
        <v>1052</v>
      </c>
      <c r="H135" s="95" t="s">
        <v>1043</v>
      </c>
      <c r="I135" s="95">
        <v>32</v>
      </c>
      <c r="J135" s="95">
        <v>64</v>
      </c>
      <c r="K135" s="95" t="s">
        <v>180</v>
      </c>
      <c r="L135" s="111" t="s">
        <v>178</v>
      </c>
      <c r="M135" s="95" t="s">
        <v>992</v>
      </c>
      <c r="N135" s="118" t="s">
        <v>1050</v>
      </c>
      <c r="O135" s="74" t="str">
        <f t="shared" si="12"/>
        <v>p-com-esnap02-osdisk</v>
      </c>
      <c r="P135" s="80">
        <v>64</v>
      </c>
      <c r="Q135" s="113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1048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  <row r="136" spans="1:32" x14ac:dyDescent="0.3">
      <c r="A136" s="90"/>
      <c r="B136" s="95" t="s">
        <v>23</v>
      </c>
      <c r="C136" s="95" t="s">
        <v>1055</v>
      </c>
      <c r="D136" s="95" t="s">
        <v>1056</v>
      </c>
      <c r="E136" s="95" t="s">
        <v>24</v>
      </c>
      <c r="F136" s="95" t="s">
        <v>1057</v>
      </c>
      <c r="G136" s="95" t="s">
        <v>1059</v>
      </c>
      <c r="H136" s="80" t="s">
        <v>588</v>
      </c>
      <c r="I136" s="80">
        <v>2</v>
      </c>
      <c r="J136" s="80">
        <v>8</v>
      </c>
      <c r="K136" s="95" t="s">
        <v>180</v>
      </c>
      <c r="L136" s="111" t="s">
        <v>178</v>
      </c>
      <c r="M136" s="95" t="s">
        <v>992</v>
      </c>
      <c r="N136" s="1" t="s">
        <v>1066</v>
      </c>
      <c r="O136" s="74" t="str">
        <f t="shared" ref="O136:O141" si="14">SUBSTITUTE(F136,"hazr-","")&amp;"-osdisk"</f>
        <v>az-p-int-host1-osdisk</v>
      </c>
      <c r="P136" s="112">
        <v>64</v>
      </c>
      <c r="Q136" s="113" t="s">
        <v>179</v>
      </c>
      <c r="R136" s="95"/>
      <c r="S136" s="95"/>
      <c r="T136" s="95"/>
      <c r="U136" s="95" t="str">
        <f t="shared" ref="U136:U141" si="15">SUBSTITUTE(F136,"hazr-","")&amp;"-nic"</f>
        <v>az-p-int-host1-nic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1063</v>
      </c>
      <c r="AA136" s="95" t="b">
        <v>1</v>
      </c>
      <c r="AB136" s="74" t="s">
        <v>317</v>
      </c>
      <c r="AC136" s="74" t="s">
        <v>318</v>
      </c>
      <c r="AD136" s="74">
        <v>1</v>
      </c>
      <c r="AE136" s="95"/>
      <c r="AF136" s="95"/>
    </row>
    <row r="137" spans="1:32" x14ac:dyDescent="0.3">
      <c r="A137" s="90"/>
      <c r="B137" s="95" t="s">
        <v>23</v>
      </c>
      <c r="C137" s="95" t="s">
        <v>1055</v>
      </c>
      <c r="D137" s="95" t="s">
        <v>1056</v>
      </c>
      <c r="E137" s="95" t="s">
        <v>24</v>
      </c>
      <c r="F137" s="95" t="s">
        <v>1058</v>
      </c>
      <c r="G137" s="95" t="s">
        <v>1060</v>
      </c>
      <c r="H137" s="80" t="s">
        <v>588</v>
      </c>
      <c r="I137" s="80">
        <v>2</v>
      </c>
      <c r="J137" s="80">
        <v>8</v>
      </c>
      <c r="K137" s="95" t="s">
        <v>180</v>
      </c>
      <c r="L137" s="111" t="s">
        <v>178</v>
      </c>
      <c r="M137" s="95" t="s">
        <v>992</v>
      </c>
      <c r="N137" s="1" t="s">
        <v>1066</v>
      </c>
      <c r="O137" s="74" t="str">
        <f t="shared" si="14"/>
        <v>az-p-int-host2-osdisk</v>
      </c>
      <c r="P137" s="112">
        <v>64</v>
      </c>
      <c r="Q137" s="113" t="s">
        <v>179</v>
      </c>
      <c r="R137" s="95"/>
      <c r="S137" s="95"/>
      <c r="T137" s="95"/>
      <c r="U137" s="95" t="str">
        <f t="shared" si="15"/>
        <v>az-p-int-host2-nic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1063</v>
      </c>
      <c r="AA137" s="95" t="b">
        <v>1</v>
      </c>
      <c r="AB137" s="95" t="s">
        <v>317</v>
      </c>
      <c r="AC137" s="95" t="s">
        <v>318</v>
      </c>
      <c r="AD137" s="74">
        <v>2</v>
      </c>
      <c r="AE137" s="95"/>
      <c r="AF137" s="95"/>
    </row>
    <row r="138" spans="1:32" x14ac:dyDescent="0.3">
      <c r="A138" s="90"/>
      <c r="B138" s="95" t="s">
        <v>23</v>
      </c>
      <c r="C138" s="95" t="s">
        <v>1055</v>
      </c>
      <c r="D138" s="95" t="s">
        <v>1056</v>
      </c>
      <c r="E138" s="95" t="s">
        <v>24</v>
      </c>
      <c r="F138" s="95" t="s">
        <v>1064</v>
      </c>
      <c r="G138" s="95" t="s">
        <v>1061</v>
      </c>
      <c r="H138" s="80" t="s">
        <v>588</v>
      </c>
      <c r="I138" s="80">
        <v>2</v>
      </c>
      <c r="J138" s="80">
        <v>8</v>
      </c>
      <c r="K138" s="95" t="s">
        <v>180</v>
      </c>
      <c r="L138" s="111" t="s">
        <v>178</v>
      </c>
      <c r="M138" s="95" t="s">
        <v>992</v>
      </c>
      <c r="N138" s="1" t="s">
        <v>1066</v>
      </c>
      <c r="O138" s="74" t="str">
        <f t="shared" si="14"/>
        <v>az-p-int-host3-osdisk</v>
      </c>
      <c r="P138" s="112">
        <v>64</v>
      </c>
      <c r="Q138" s="113" t="s">
        <v>179</v>
      </c>
      <c r="R138" s="95"/>
      <c r="S138" s="95"/>
      <c r="T138" s="95"/>
      <c r="U138" s="95" t="str">
        <f t="shared" si="15"/>
        <v>az-p-int-host3-nic</v>
      </c>
      <c r="V138" s="95" t="b">
        <v>1</v>
      </c>
      <c r="W138" s="95" t="b">
        <v>1</v>
      </c>
      <c r="X138" s="95" t="s">
        <v>317</v>
      </c>
      <c r="Y138" s="74" t="s">
        <v>338</v>
      </c>
      <c r="Z138" s="95" t="s">
        <v>1063</v>
      </c>
      <c r="AA138" s="95" t="b">
        <v>1</v>
      </c>
      <c r="AB138" s="74" t="s">
        <v>317</v>
      </c>
      <c r="AC138" s="74" t="s">
        <v>318</v>
      </c>
      <c r="AD138" s="74">
        <v>3</v>
      </c>
      <c r="AE138" s="95"/>
      <c r="AF138" s="95"/>
    </row>
    <row r="139" spans="1:32" x14ac:dyDescent="0.3">
      <c r="A139" s="90"/>
      <c r="B139" s="95" t="s">
        <v>23</v>
      </c>
      <c r="C139" s="95" t="s">
        <v>1055</v>
      </c>
      <c r="D139" s="95" t="s">
        <v>1056</v>
      </c>
      <c r="E139" s="95" t="s">
        <v>24</v>
      </c>
      <c r="F139" s="95" t="s">
        <v>1065</v>
      </c>
      <c r="G139" s="95" t="s">
        <v>1062</v>
      </c>
      <c r="H139" s="80" t="s">
        <v>588</v>
      </c>
      <c r="I139" s="80">
        <v>2</v>
      </c>
      <c r="J139" s="80">
        <v>8</v>
      </c>
      <c r="K139" s="95" t="s">
        <v>180</v>
      </c>
      <c r="L139" s="111" t="s">
        <v>178</v>
      </c>
      <c r="M139" s="95" t="s">
        <v>992</v>
      </c>
      <c r="N139" s="1" t="s">
        <v>1066</v>
      </c>
      <c r="O139" s="74" t="str">
        <f t="shared" si="14"/>
        <v>az-p-int-host4-osdisk</v>
      </c>
      <c r="P139" s="112">
        <v>64</v>
      </c>
      <c r="Q139" s="113" t="s">
        <v>179</v>
      </c>
      <c r="R139" s="95"/>
      <c r="S139" s="95"/>
      <c r="T139" s="95"/>
      <c r="U139" s="95" t="str">
        <f t="shared" si="15"/>
        <v>az-p-int-host4-nic</v>
      </c>
      <c r="V139" s="95" t="b">
        <v>1</v>
      </c>
      <c r="W139" s="95" t="b">
        <v>1</v>
      </c>
      <c r="X139" s="95" t="s">
        <v>317</v>
      </c>
      <c r="Y139" s="74" t="s">
        <v>338</v>
      </c>
      <c r="Z139" s="95" t="s">
        <v>1063</v>
      </c>
      <c r="AA139" s="95" t="b">
        <v>1</v>
      </c>
      <c r="AB139" s="95" t="s">
        <v>317</v>
      </c>
      <c r="AC139" s="95" t="s">
        <v>318</v>
      </c>
      <c r="AD139" s="74">
        <v>1</v>
      </c>
      <c r="AE139" s="95"/>
      <c r="AF139" s="95"/>
    </row>
    <row r="140" spans="1:32" x14ac:dyDescent="0.3">
      <c r="A140" s="90"/>
      <c r="B140" s="95" t="s">
        <v>1067</v>
      </c>
      <c r="C140" s="95" t="str" cm="1">
        <f t="array" ref="C140">UPPER(INDEX(_xlfn.TEXTSPLIT($F140, "-"), 3))</f>
        <v>BDP</v>
      </c>
      <c r="D140" s="95" t="s">
        <v>1068</v>
      </c>
      <c r="E140" s="95" t="s">
        <v>24</v>
      </c>
      <c r="F140" s="95" t="s">
        <v>1070</v>
      </c>
      <c r="G140" s="95" t="s">
        <v>1075</v>
      </c>
      <c r="H140" s="95" t="s">
        <v>1079</v>
      </c>
      <c r="I140" s="95">
        <v>4</v>
      </c>
      <c r="J140" s="95">
        <v>32</v>
      </c>
      <c r="K140" s="95" t="s">
        <v>180</v>
      </c>
      <c r="L140" s="111" t="s">
        <v>178</v>
      </c>
      <c r="M140" s="95" t="s">
        <v>1081</v>
      </c>
      <c r="N140" s="118" t="s">
        <v>1082</v>
      </c>
      <c r="O140" s="74" t="str">
        <f t="shared" si="14"/>
        <v>p-bdp-rlgcweb01-osdisk</v>
      </c>
      <c r="P140" s="112">
        <v>512</v>
      </c>
      <c r="Q140" s="113" t="s">
        <v>179</v>
      </c>
      <c r="R140" s="95"/>
      <c r="S140" s="95"/>
      <c r="T140" s="95"/>
      <c r="U140" s="95" t="str">
        <f t="shared" si="15"/>
        <v>p-bdp-rlgcweb01-nic</v>
      </c>
      <c r="V140" s="95" t="b">
        <v>1</v>
      </c>
      <c r="W140" s="95" t="b">
        <v>1</v>
      </c>
      <c r="X140" s="95" t="s">
        <v>317</v>
      </c>
      <c r="Y140" s="74" t="s">
        <v>345</v>
      </c>
      <c r="Z140" s="95" t="s">
        <v>968</v>
      </c>
      <c r="AA140" s="95" t="b">
        <v>1</v>
      </c>
      <c r="AB140" s="95" t="s">
        <v>317</v>
      </c>
      <c r="AC140" s="95" t="s">
        <v>318</v>
      </c>
      <c r="AD140" s="112">
        <v>1</v>
      </c>
      <c r="AE140" s="95"/>
      <c r="AF140" s="95"/>
    </row>
    <row r="141" spans="1:32" x14ac:dyDescent="0.3">
      <c r="A141" s="90"/>
      <c r="B141" s="95" t="s">
        <v>1067</v>
      </c>
      <c r="C141" s="95" t="str" cm="1">
        <f t="array" ref="C141">UPPER(INDEX(_xlfn.TEXTSPLIT($F141, "-"), 3))</f>
        <v>BDP</v>
      </c>
      <c r="D141" s="95" t="s">
        <v>1068</v>
      </c>
      <c r="E141" s="95" t="s">
        <v>24</v>
      </c>
      <c r="F141" s="95" t="s">
        <v>1071</v>
      </c>
      <c r="G141" s="95" t="s">
        <v>1076</v>
      </c>
      <c r="H141" s="95" t="s">
        <v>1079</v>
      </c>
      <c r="I141" s="95">
        <v>4</v>
      </c>
      <c r="J141" s="95">
        <v>32</v>
      </c>
      <c r="K141" s="95" t="s">
        <v>180</v>
      </c>
      <c r="L141" s="111" t="s">
        <v>178</v>
      </c>
      <c r="M141" s="95" t="s">
        <v>1081</v>
      </c>
      <c r="N141" s="118" t="s">
        <v>1082</v>
      </c>
      <c r="O141" s="74" t="str">
        <f t="shared" si="14"/>
        <v>p-bdp-rlgcweb02-osdisk</v>
      </c>
      <c r="P141" s="112">
        <v>512</v>
      </c>
      <c r="Q141" s="113" t="s">
        <v>179</v>
      </c>
      <c r="R141" s="95"/>
      <c r="S141" s="95"/>
      <c r="T141" s="95"/>
      <c r="U141" s="95" t="str">
        <f t="shared" si="15"/>
        <v>p-bdp-rlgcweb02-nic</v>
      </c>
      <c r="V141" s="95" t="b">
        <v>1</v>
      </c>
      <c r="W141" s="95" t="b">
        <v>1</v>
      </c>
      <c r="X141" s="95" t="s">
        <v>317</v>
      </c>
      <c r="Y141" s="74" t="s">
        <v>345</v>
      </c>
      <c r="Z141" s="95" t="s">
        <v>968</v>
      </c>
      <c r="AA141" s="95" t="b">
        <v>1</v>
      </c>
      <c r="AB141" s="95" t="s">
        <v>317</v>
      </c>
      <c r="AC141" s="95" t="s">
        <v>318</v>
      </c>
      <c r="AD141" s="112">
        <v>2</v>
      </c>
      <c r="AE141" s="95"/>
      <c r="AF141" s="95"/>
    </row>
    <row r="142" spans="1:32" x14ac:dyDescent="0.3">
      <c r="A142" s="90"/>
      <c r="B142" s="74" t="s">
        <v>1067</v>
      </c>
      <c r="C142" s="74" t="str" cm="1">
        <f t="array" ref="C142">UPPER(INDEX(_xlfn.TEXTSPLIT($F142, "-"), 3))</f>
        <v>BDP</v>
      </c>
      <c r="D142" s="95" t="s">
        <v>1068</v>
      </c>
      <c r="E142" s="74" t="s">
        <v>24</v>
      </c>
      <c r="F142" s="74" t="s">
        <v>1072</v>
      </c>
      <c r="G142" s="74" t="s">
        <v>1077</v>
      </c>
      <c r="H142" s="74" t="s">
        <v>1080</v>
      </c>
      <c r="I142" s="74">
        <v>16</v>
      </c>
      <c r="J142" s="74">
        <v>256</v>
      </c>
      <c r="K142" s="74" t="s">
        <v>180</v>
      </c>
      <c r="L142" s="110" t="s">
        <v>178</v>
      </c>
      <c r="M142" s="74" t="s">
        <v>1081</v>
      </c>
      <c r="N142" s="119" t="s">
        <v>1082</v>
      </c>
      <c r="O142" s="74" t="str">
        <f t="shared" ref="O142:O144" si="16">SUBSTITUTE(F142,"hazr-","")&amp;"-osdisk"</f>
        <v>p-bdp-rlgcap01-osdisk</v>
      </c>
      <c r="P142" s="80">
        <v>2048</v>
      </c>
      <c r="Q142" s="86" t="s">
        <v>179</v>
      </c>
      <c r="R142" s="74"/>
      <c r="S142" s="74"/>
      <c r="T142" s="74"/>
      <c r="U142" s="74" t="str">
        <f t="shared" ref="U142:U144" si="17">SUBSTITUTE(F142,"hazr-","")&amp;"-nic"</f>
        <v>p-bdp-rlgcap01-nic</v>
      </c>
      <c r="V142" s="74" t="b">
        <v>1</v>
      </c>
      <c r="W142" s="74" t="b">
        <v>1</v>
      </c>
      <c r="X142" s="74" t="s">
        <v>317</v>
      </c>
      <c r="Y142" s="74" t="s">
        <v>338</v>
      </c>
      <c r="Z142" s="95" t="s">
        <v>964</v>
      </c>
      <c r="AA142" s="74" t="b">
        <v>1</v>
      </c>
      <c r="AB142" s="74" t="s">
        <v>317</v>
      </c>
      <c r="AC142" s="74" t="s">
        <v>318</v>
      </c>
      <c r="AD142" s="80">
        <v>1</v>
      </c>
      <c r="AE142" s="74"/>
      <c r="AF142" s="74"/>
    </row>
    <row r="143" spans="1:32" x14ac:dyDescent="0.3">
      <c r="A143" s="90"/>
      <c r="B143" s="74" t="s">
        <v>1069</v>
      </c>
      <c r="C143" s="74" t="str" cm="1">
        <f t="array" ref="C143">UPPER(INDEX(_xlfn.TEXTSPLIT($F143, "-"), 3))</f>
        <v>BDP</v>
      </c>
      <c r="D143" s="95" t="s">
        <v>1068</v>
      </c>
      <c r="E143" s="74" t="s">
        <v>24</v>
      </c>
      <c r="F143" s="74" t="s">
        <v>1073</v>
      </c>
      <c r="G143" s="74" t="s">
        <v>1078</v>
      </c>
      <c r="H143" s="74" t="s">
        <v>1080</v>
      </c>
      <c r="I143" s="74">
        <v>16</v>
      </c>
      <c r="J143" s="74">
        <v>256</v>
      </c>
      <c r="K143" s="74" t="s">
        <v>180</v>
      </c>
      <c r="L143" s="110" t="s">
        <v>178</v>
      </c>
      <c r="M143" s="74" t="s">
        <v>1081</v>
      </c>
      <c r="N143" s="116" t="s">
        <v>1082</v>
      </c>
      <c r="O143" s="117" t="str">
        <f t="shared" si="16"/>
        <v>p-bdp-rlgcap02-osdisk</v>
      </c>
      <c r="P143" s="80">
        <v>2048</v>
      </c>
      <c r="Q143" s="86" t="s">
        <v>179</v>
      </c>
      <c r="R143" s="74"/>
      <c r="S143" s="74"/>
      <c r="T143" s="74"/>
      <c r="U143" s="74" t="str">
        <f t="shared" si="17"/>
        <v>p-bdp-rlgcap02-nic</v>
      </c>
      <c r="V143" s="74" t="b">
        <v>1</v>
      </c>
      <c r="W143" s="74" t="b">
        <v>1</v>
      </c>
      <c r="X143" s="74" t="s">
        <v>317</v>
      </c>
      <c r="Y143" s="74" t="s">
        <v>338</v>
      </c>
      <c r="Z143" s="95" t="s">
        <v>964</v>
      </c>
      <c r="AA143" s="74" t="b">
        <v>1</v>
      </c>
      <c r="AB143" s="74" t="s">
        <v>317</v>
      </c>
      <c r="AC143" s="74" t="s">
        <v>318</v>
      </c>
      <c r="AD143" s="80">
        <v>2</v>
      </c>
      <c r="AE143" s="74"/>
      <c r="AF143" s="74"/>
    </row>
    <row r="144" spans="1:32" x14ac:dyDescent="0.3">
      <c r="A144" s="90"/>
      <c r="B144" s="74" t="s">
        <v>1067</v>
      </c>
      <c r="C144" s="74" t="str" cm="1">
        <f t="array" ref="C144">UPPER(INDEX(_xlfn.TEXTSPLIT($F144, "-"), 3))</f>
        <v>BDP</v>
      </c>
      <c r="D144" s="95" t="s">
        <v>1068</v>
      </c>
      <c r="E144" s="74" t="s">
        <v>24</v>
      </c>
      <c r="F144" s="74" t="s">
        <v>1074</v>
      </c>
      <c r="G144" s="74" t="s">
        <v>1088</v>
      </c>
      <c r="H144" s="74" t="s">
        <v>1080</v>
      </c>
      <c r="I144" s="74">
        <v>16</v>
      </c>
      <c r="J144" s="74">
        <v>256</v>
      </c>
      <c r="K144" s="74" t="s">
        <v>180</v>
      </c>
      <c r="L144" s="110" t="s">
        <v>178</v>
      </c>
      <c r="M144" s="74" t="s">
        <v>1081</v>
      </c>
      <c r="N144" s="116" t="s">
        <v>1082</v>
      </c>
      <c r="O144" s="117" t="str">
        <f t="shared" si="16"/>
        <v>p-bdp-rlgcap03-osdisk</v>
      </c>
      <c r="P144" s="80">
        <v>2048</v>
      </c>
      <c r="Q144" s="86" t="s">
        <v>179</v>
      </c>
      <c r="R144" s="74"/>
      <c r="S144" s="74"/>
      <c r="T144" s="74"/>
      <c r="U144" s="74" t="str">
        <f t="shared" si="17"/>
        <v>p-bdp-rlgcap03-nic</v>
      </c>
      <c r="V144" s="74" t="b">
        <v>1</v>
      </c>
      <c r="W144" s="74" t="b">
        <v>1</v>
      </c>
      <c r="X144" s="74" t="s">
        <v>317</v>
      </c>
      <c r="Y144" s="74" t="s">
        <v>338</v>
      </c>
      <c r="Z144" s="95" t="s">
        <v>964</v>
      </c>
      <c r="AA144" s="74" t="b">
        <v>1</v>
      </c>
      <c r="AB144" s="74" t="s">
        <v>317</v>
      </c>
      <c r="AC144" s="74" t="s">
        <v>318</v>
      </c>
      <c r="AD144" s="80">
        <v>3</v>
      </c>
      <c r="AE144" s="74"/>
      <c r="AF144" s="74"/>
    </row>
    <row r="145" spans="1:32" x14ac:dyDescent="0.3">
      <c r="A145" s="90"/>
      <c r="B145" s="95" t="s">
        <v>1090</v>
      </c>
      <c r="C145" s="95" t="str" cm="1">
        <f t="array" ref="C145">UPPER(INDEX(_xlfn.TEXTSPLIT($F145, "-"), 3))</f>
        <v>IF</v>
      </c>
      <c r="D145" s="95" t="s">
        <v>1092</v>
      </c>
      <c r="E145" s="95" t="s">
        <v>24</v>
      </c>
      <c r="F145" s="95" t="s">
        <v>1093</v>
      </c>
      <c r="G145" s="95" t="s">
        <v>1094</v>
      </c>
      <c r="H145" s="95" t="s">
        <v>1099</v>
      </c>
      <c r="I145" s="95">
        <v>2</v>
      </c>
      <c r="J145" s="95">
        <v>8</v>
      </c>
      <c r="K145" s="95" t="s">
        <v>180</v>
      </c>
      <c r="L145" s="111" t="s">
        <v>178</v>
      </c>
      <c r="M145" s="95" t="s">
        <v>1091</v>
      </c>
      <c r="N145" s="116" t="s">
        <v>1105</v>
      </c>
      <c r="O145" s="120" t="str">
        <f>SUBSTITUTE(F145,"hazr-","")&amp;"-osdisk"</f>
        <v>p-if-sastweb01-osdisk</v>
      </c>
      <c r="P145" s="112">
        <v>64</v>
      </c>
      <c r="Q145" s="113" t="s">
        <v>179</v>
      </c>
      <c r="R145" s="95"/>
      <c r="S145" s="95"/>
      <c r="T145" s="95"/>
      <c r="U145" s="95" t="str">
        <f>SUBSTITUTE(F145,"hazr-","")&amp;"-nic"</f>
        <v>p-if-sastweb01-nic</v>
      </c>
      <c r="V145" s="95" t="b">
        <v>1</v>
      </c>
      <c r="W145" s="95" t="b">
        <v>1</v>
      </c>
      <c r="X145" s="95" t="s">
        <v>317</v>
      </c>
      <c r="Y145" s="95" t="s">
        <v>1106</v>
      </c>
      <c r="Z145" s="95" t="s">
        <v>965</v>
      </c>
      <c r="AA145" s="95" t="b">
        <v>1</v>
      </c>
      <c r="AB145" s="95" t="s">
        <v>317</v>
      </c>
      <c r="AC145" s="95" t="s">
        <v>318</v>
      </c>
      <c r="AD145" s="112">
        <v>1</v>
      </c>
      <c r="AE145" s="95"/>
      <c r="AF145" s="95"/>
    </row>
    <row r="146" spans="1:32" x14ac:dyDescent="0.3">
      <c r="A146" s="90"/>
      <c r="B146" s="95" t="s">
        <v>1095</v>
      </c>
      <c r="C146" s="95" t="str" cm="1">
        <f t="array" ref="C146">UPPER(INDEX(_xlfn.TEXTSPLIT($F146, "-"), 3))</f>
        <v>SEC</v>
      </c>
      <c r="D146" s="95" t="s">
        <v>1096</v>
      </c>
      <c r="E146" s="95" t="s">
        <v>24</v>
      </c>
      <c r="F146" s="95" t="s">
        <v>1103</v>
      </c>
      <c r="G146" s="95" t="s">
        <v>1097</v>
      </c>
      <c r="H146" s="95" t="s">
        <v>1100</v>
      </c>
      <c r="I146" s="95">
        <v>4</v>
      </c>
      <c r="J146" s="95">
        <v>16</v>
      </c>
      <c r="K146" s="95" t="s">
        <v>180</v>
      </c>
      <c r="L146" s="111" t="s">
        <v>178</v>
      </c>
      <c r="M146" s="95" t="s">
        <v>1101</v>
      </c>
      <c r="N146" s="121" t="s">
        <v>1102</v>
      </c>
      <c r="O146" s="120" t="str">
        <f>SUBSTITUTE(F146,"hazr-","")&amp;"-osdisk"</f>
        <v>p-sec-mevrsol01-osdisk</v>
      </c>
      <c r="P146" s="112">
        <v>64</v>
      </c>
      <c r="Q146" s="113" t="s">
        <v>179</v>
      </c>
      <c r="R146" s="95"/>
      <c r="S146" s="95"/>
      <c r="T146" s="95"/>
      <c r="U146" s="95" t="str">
        <f>SUBSTITUTE(F146,"hazr-","")&amp;"-nic"</f>
        <v>p-sec-mevrsol01-nic</v>
      </c>
      <c r="V146" s="95" t="b">
        <v>1</v>
      </c>
      <c r="W146" s="95" t="b">
        <v>1</v>
      </c>
      <c r="X146" s="95" t="s">
        <v>317</v>
      </c>
      <c r="Y146" s="95" t="s">
        <v>1106</v>
      </c>
      <c r="Z146" s="95" t="s">
        <v>1108</v>
      </c>
      <c r="AA146" s="95" t="b">
        <v>1</v>
      </c>
      <c r="AB146" s="95" t="s">
        <v>317</v>
      </c>
      <c r="AC146" s="95" t="s">
        <v>318</v>
      </c>
      <c r="AD146" s="112">
        <v>1</v>
      </c>
      <c r="AE146" s="95"/>
      <c r="AF146" s="95"/>
    </row>
    <row r="147" spans="1:32" x14ac:dyDescent="0.3">
      <c r="A147" s="90"/>
      <c r="B147" s="95" t="s">
        <v>1095</v>
      </c>
      <c r="C147" s="95" t="str" cm="1">
        <f t="array" ref="C147">UPPER(INDEX(_xlfn.TEXTSPLIT($F147, "-"), 3))</f>
        <v>SEC</v>
      </c>
      <c r="D147" s="95" t="s">
        <v>1096</v>
      </c>
      <c r="E147" s="95" t="s">
        <v>24</v>
      </c>
      <c r="F147" s="95" t="s">
        <v>1104</v>
      </c>
      <c r="G147" s="95" t="s">
        <v>1098</v>
      </c>
      <c r="H147" s="95" t="s">
        <v>1100</v>
      </c>
      <c r="I147" s="95">
        <v>4</v>
      </c>
      <c r="J147" s="95">
        <v>16</v>
      </c>
      <c r="K147" s="95" t="s">
        <v>180</v>
      </c>
      <c r="L147" s="111" t="s">
        <v>178</v>
      </c>
      <c r="M147" s="95" t="s">
        <v>1101</v>
      </c>
      <c r="N147" s="121" t="s">
        <v>1102</v>
      </c>
      <c r="O147" s="120" t="str">
        <f>SUBSTITUTE(F147,"hazr-","")&amp;"-osdisk"</f>
        <v>p-sec-mevrsol02-osdisk</v>
      </c>
      <c r="P147" s="112">
        <v>64</v>
      </c>
      <c r="Q147" s="113" t="s">
        <v>179</v>
      </c>
      <c r="R147" s="95"/>
      <c r="S147" s="95"/>
      <c r="T147" s="95"/>
      <c r="U147" s="95" t="str">
        <f>SUBSTITUTE(F147,"hazr-","")&amp;"-nic"</f>
        <v>p-sec-mevrsol02-nic</v>
      </c>
      <c r="V147" s="95" t="b">
        <v>1</v>
      </c>
      <c r="W147" s="95" t="b">
        <v>1</v>
      </c>
      <c r="X147" s="95" t="s">
        <v>317</v>
      </c>
      <c r="Y147" s="95" t="s">
        <v>1106</v>
      </c>
      <c r="Z147" s="95" t="s">
        <v>1108</v>
      </c>
      <c r="AA147" s="95" t="b">
        <v>1</v>
      </c>
      <c r="AB147" s="95" t="s">
        <v>317</v>
      </c>
      <c r="AC147" s="95" t="s">
        <v>318</v>
      </c>
      <c r="AD147" s="112">
        <v>2</v>
      </c>
      <c r="AE147" s="95"/>
      <c r="AF147" s="95"/>
    </row>
    <row r="148" spans="1:32" x14ac:dyDescent="0.3">
      <c r="A148" s="90"/>
      <c r="B148" s="95" t="s">
        <v>23</v>
      </c>
      <c r="C148" s="74" t="str" cm="1">
        <f t="array" ref="C148">UPPER(INDEX(_xlfn.TEXTSPLIT($F148, "-"), 3))</f>
        <v>CLV</v>
      </c>
      <c r="D148" s="74" t="s">
        <v>1133</v>
      </c>
      <c r="E148" s="74" t="s">
        <v>24</v>
      </c>
      <c r="F148" s="82" t="s">
        <v>1134</v>
      </c>
      <c r="G148" s="74" t="s">
        <v>1154</v>
      </c>
      <c r="H148" s="74" t="s">
        <v>1127</v>
      </c>
      <c r="I148" s="74">
        <v>4</v>
      </c>
      <c r="J148" s="74">
        <v>8</v>
      </c>
      <c r="K148" s="95" t="s">
        <v>180</v>
      </c>
      <c r="L148" s="111" t="s">
        <v>224</v>
      </c>
      <c r="M148" s="95" t="s">
        <v>992</v>
      </c>
      <c r="N148" s="121" t="s">
        <v>1146</v>
      </c>
      <c r="O148" s="117" t="str">
        <f t="shared" ref="O148:O157" si="18">SUBSTITUTE(F148,"hazr-","")&amp;"-osdisk"</f>
        <v>p-clv-web01-osdisk</v>
      </c>
      <c r="P148" s="112">
        <v>64</v>
      </c>
      <c r="Q148" s="113" t="s">
        <v>179</v>
      </c>
      <c r="R148" s="74"/>
      <c r="S148" s="74"/>
      <c r="T148" s="74"/>
      <c r="U148" s="74" t="str">
        <f t="shared" ref="U148:U157" si="19">SUBSTITUTE(F148,"hazr-","")&amp;"-nic"</f>
        <v>p-clv-web01-nic</v>
      </c>
      <c r="V148" s="95" t="b">
        <v>1</v>
      </c>
      <c r="W148" s="95" t="b">
        <v>1</v>
      </c>
      <c r="X148" s="95" t="s">
        <v>317</v>
      </c>
      <c r="Y148" s="95" t="s">
        <v>345</v>
      </c>
      <c r="Z148" s="95" t="s">
        <v>1147</v>
      </c>
      <c r="AA148" s="95" t="b">
        <v>1</v>
      </c>
      <c r="AB148" s="95" t="s">
        <v>317</v>
      </c>
      <c r="AC148" s="95" t="s">
        <v>318</v>
      </c>
      <c r="AD148" s="112">
        <v>1</v>
      </c>
      <c r="AE148" s="74"/>
      <c r="AF148" s="74"/>
    </row>
    <row r="149" spans="1:32" x14ac:dyDescent="0.3">
      <c r="A149" s="90"/>
      <c r="B149" s="95" t="s">
        <v>23</v>
      </c>
      <c r="C149" s="74" t="str" cm="1">
        <f t="array" ref="C149">UPPER(INDEX(_xlfn.TEXTSPLIT($F149, "-"), 3))</f>
        <v>CLV</v>
      </c>
      <c r="D149" s="74" t="s">
        <v>1133</v>
      </c>
      <c r="E149" s="74" t="s">
        <v>24</v>
      </c>
      <c r="F149" s="74" t="s">
        <v>1135</v>
      </c>
      <c r="G149" s="74" t="s">
        <v>1155</v>
      </c>
      <c r="H149" s="74" t="s">
        <v>1127</v>
      </c>
      <c r="I149" s="74">
        <v>4</v>
      </c>
      <c r="J149" s="74">
        <v>8</v>
      </c>
      <c r="K149" s="95" t="s">
        <v>180</v>
      </c>
      <c r="L149" s="111" t="s">
        <v>224</v>
      </c>
      <c r="M149" s="95" t="s">
        <v>992</v>
      </c>
      <c r="N149" s="121" t="s">
        <v>1146</v>
      </c>
      <c r="O149" s="117" t="str">
        <f t="shared" si="18"/>
        <v>p-clv-web02-osdisk</v>
      </c>
      <c r="P149" s="112">
        <v>64</v>
      </c>
      <c r="Q149" s="113" t="s">
        <v>179</v>
      </c>
      <c r="R149" s="74"/>
      <c r="S149" s="74"/>
      <c r="T149" s="74"/>
      <c r="U149" s="74" t="str">
        <f t="shared" si="19"/>
        <v>p-clv-web02-nic</v>
      </c>
      <c r="V149" s="95" t="b">
        <v>1</v>
      </c>
      <c r="W149" s="95" t="b">
        <v>1</v>
      </c>
      <c r="X149" s="95" t="s">
        <v>317</v>
      </c>
      <c r="Y149" s="95" t="s">
        <v>345</v>
      </c>
      <c r="Z149" s="95" t="s">
        <v>1147</v>
      </c>
      <c r="AA149" s="95" t="b">
        <v>1</v>
      </c>
      <c r="AB149" s="95" t="s">
        <v>317</v>
      </c>
      <c r="AC149" s="95" t="s">
        <v>318</v>
      </c>
      <c r="AD149" s="112">
        <v>2</v>
      </c>
      <c r="AE149" s="74"/>
      <c r="AF149" s="74"/>
    </row>
    <row r="150" spans="1:32" x14ac:dyDescent="0.3">
      <c r="A150" s="90"/>
      <c r="B150" s="95" t="s">
        <v>23</v>
      </c>
      <c r="C150" s="74" t="str" cm="1">
        <f t="array" ref="C150">UPPER(INDEX(_xlfn.TEXTSPLIT($F150, "-"), 3))</f>
        <v>CLV</v>
      </c>
      <c r="D150" s="74" t="s">
        <v>1133</v>
      </c>
      <c r="E150" s="74" t="s">
        <v>24</v>
      </c>
      <c r="F150" s="82" t="s">
        <v>1136</v>
      </c>
      <c r="G150" s="74" t="s">
        <v>1152</v>
      </c>
      <c r="H150" s="74" t="s">
        <v>1128</v>
      </c>
      <c r="I150" s="74">
        <v>4</v>
      </c>
      <c r="J150" s="74">
        <v>16</v>
      </c>
      <c r="K150" s="95" t="s">
        <v>180</v>
      </c>
      <c r="L150" s="111" t="s">
        <v>224</v>
      </c>
      <c r="M150" s="95" t="s">
        <v>992</v>
      </c>
      <c r="N150" s="121" t="s">
        <v>1146</v>
      </c>
      <c r="O150" s="117" t="str">
        <f t="shared" si="18"/>
        <v>p-clv-ap01-osdisk</v>
      </c>
      <c r="P150" s="112">
        <v>64</v>
      </c>
      <c r="Q150" s="113" t="s">
        <v>179</v>
      </c>
      <c r="R150" s="74"/>
      <c r="S150" s="74"/>
      <c r="T150" s="74"/>
      <c r="U150" s="74" t="str">
        <f t="shared" si="19"/>
        <v>p-clv-ap01-nic</v>
      </c>
      <c r="V150" s="95" t="b">
        <v>1</v>
      </c>
      <c r="W150" s="95" t="b">
        <v>1</v>
      </c>
      <c r="X150" s="95" t="s">
        <v>317</v>
      </c>
      <c r="Y150" s="95" t="s">
        <v>338</v>
      </c>
      <c r="Z150" s="95" t="s">
        <v>1148</v>
      </c>
      <c r="AA150" s="95" t="b">
        <v>1</v>
      </c>
      <c r="AB150" s="95" t="s">
        <v>317</v>
      </c>
      <c r="AC150" s="95" t="s">
        <v>318</v>
      </c>
      <c r="AD150" s="112">
        <v>1</v>
      </c>
      <c r="AE150" s="74"/>
      <c r="AF150" s="74"/>
    </row>
    <row r="151" spans="1:32" x14ac:dyDescent="0.3">
      <c r="A151" s="90"/>
      <c r="B151" s="95" t="s">
        <v>23</v>
      </c>
      <c r="C151" s="74" t="str" cm="1">
        <f t="array" ref="C151">UPPER(INDEX(_xlfn.TEXTSPLIT($F151, "-"), 3))</f>
        <v>CLV</v>
      </c>
      <c r="D151" s="74" t="s">
        <v>1133</v>
      </c>
      <c r="E151" s="74" t="s">
        <v>24</v>
      </c>
      <c r="F151" s="74" t="s">
        <v>1137</v>
      </c>
      <c r="G151" s="74" t="s">
        <v>1153</v>
      </c>
      <c r="H151" s="74" t="s">
        <v>1128</v>
      </c>
      <c r="I151" s="74">
        <v>4</v>
      </c>
      <c r="J151" s="74">
        <v>16</v>
      </c>
      <c r="K151" s="95" t="s">
        <v>180</v>
      </c>
      <c r="L151" s="111" t="s">
        <v>224</v>
      </c>
      <c r="M151" s="95" t="s">
        <v>992</v>
      </c>
      <c r="N151" s="121" t="s">
        <v>1146</v>
      </c>
      <c r="O151" s="117" t="str">
        <f t="shared" si="18"/>
        <v>p-clv-ap02-osdisk</v>
      </c>
      <c r="P151" s="112">
        <v>64</v>
      </c>
      <c r="Q151" s="113" t="s">
        <v>179</v>
      </c>
      <c r="R151" s="74"/>
      <c r="S151" s="74"/>
      <c r="T151" s="74"/>
      <c r="U151" s="74" t="str">
        <f t="shared" si="19"/>
        <v>p-clv-ap02-nic</v>
      </c>
      <c r="V151" s="95" t="b">
        <v>1</v>
      </c>
      <c r="W151" s="95" t="b">
        <v>1</v>
      </c>
      <c r="X151" s="95" t="s">
        <v>317</v>
      </c>
      <c r="Y151" s="95" t="s">
        <v>338</v>
      </c>
      <c r="Z151" s="95" t="s">
        <v>1148</v>
      </c>
      <c r="AA151" s="95" t="b">
        <v>1</v>
      </c>
      <c r="AB151" s="95" t="s">
        <v>317</v>
      </c>
      <c r="AC151" s="95" t="s">
        <v>318</v>
      </c>
      <c r="AD151" s="112">
        <v>2</v>
      </c>
      <c r="AE151" s="74"/>
      <c r="AF151" s="74"/>
    </row>
    <row r="152" spans="1:32" x14ac:dyDescent="0.3">
      <c r="A152" s="90"/>
      <c r="B152" s="95" t="s">
        <v>23</v>
      </c>
      <c r="C152" s="74" t="str" cm="1">
        <f t="array" ref="C152">UPPER(INDEX(_xlfn.TEXTSPLIT($F152, "-"), 3))</f>
        <v>CLV</v>
      </c>
      <c r="D152" s="74" t="s">
        <v>1133</v>
      </c>
      <c r="E152" s="74" t="s">
        <v>24</v>
      </c>
      <c r="F152" s="82" t="s">
        <v>1138</v>
      </c>
      <c r="G152" s="74" t="s">
        <v>1156</v>
      </c>
      <c r="H152" s="74" t="s">
        <v>1128</v>
      </c>
      <c r="I152" s="74">
        <v>4</v>
      </c>
      <c r="J152" s="74">
        <v>16</v>
      </c>
      <c r="K152" s="95" t="s">
        <v>180</v>
      </c>
      <c r="L152" s="111" t="s">
        <v>224</v>
      </c>
      <c r="M152" s="95" t="s">
        <v>992</v>
      </c>
      <c r="N152" s="121" t="s">
        <v>1146</v>
      </c>
      <c r="O152" s="117" t="str">
        <f t="shared" si="18"/>
        <v>p-clv-ssrap01-osdisk</v>
      </c>
      <c r="P152" s="112">
        <v>64</v>
      </c>
      <c r="Q152" s="113" t="s">
        <v>179</v>
      </c>
      <c r="R152" s="74"/>
      <c r="S152" s="74"/>
      <c r="T152" s="74"/>
      <c r="U152" s="74" t="str">
        <f t="shared" si="19"/>
        <v>p-clv-ssrap01-nic</v>
      </c>
      <c r="V152" s="95" t="b">
        <v>1</v>
      </c>
      <c r="W152" s="95" t="b">
        <v>1</v>
      </c>
      <c r="X152" s="95" t="s">
        <v>317</v>
      </c>
      <c r="Y152" s="95" t="s">
        <v>338</v>
      </c>
      <c r="Z152" s="95" t="s">
        <v>1148</v>
      </c>
      <c r="AA152" s="95" t="b">
        <v>1</v>
      </c>
      <c r="AB152" s="95" t="s">
        <v>317</v>
      </c>
      <c r="AC152" s="95" t="s">
        <v>318</v>
      </c>
      <c r="AD152" s="112">
        <v>1</v>
      </c>
      <c r="AE152" s="74"/>
      <c r="AF152" s="74"/>
    </row>
    <row r="153" spans="1:32" x14ac:dyDescent="0.3">
      <c r="A153" s="90"/>
      <c r="B153" s="95" t="s">
        <v>23</v>
      </c>
      <c r="C153" s="74" t="str" cm="1">
        <f t="array" ref="C153">UPPER(INDEX(_xlfn.TEXTSPLIT($F153, "-"), 3))</f>
        <v>CLV</v>
      </c>
      <c r="D153" s="74" t="s">
        <v>1133</v>
      </c>
      <c r="E153" s="74" t="s">
        <v>24</v>
      </c>
      <c r="F153" s="74" t="s">
        <v>1139</v>
      </c>
      <c r="G153" s="74" t="s">
        <v>1157</v>
      </c>
      <c r="H153" s="74" t="s">
        <v>1128</v>
      </c>
      <c r="I153" s="74">
        <v>4</v>
      </c>
      <c r="J153" s="74">
        <v>16</v>
      </c>
      <c r="K153" s="95" t="s">
        <v>180</v>
      </c>
      <c r="L153" s="111" t="s">
        <v>224</v>
      </c>
      <c r="M153" s="95" t="s">
        <v>992</v>
      </c>
      <c r="N153" s="121" t="s">
        <v>1146</v>
      </c>
      <c r="O153" s="117" t="str">
        <f t="shared" si="18"/>
        <v>p-clv-ssrap02-osdisk</v>
      </c>
      <c r="P153" s="112">
        <v>64</v>
      </c>
      <c r="Q153" s="113" t="s">
        <v>179</v>
      </c>
      <c r="R153" s="74"/>
      <c r="S153" s="74"/>
      <c r="T153" s="74"/>
      <c r="U153" s="74" t="str">
        <f t="shared" si="19"/>
        <v>p-clv-ssrap02-nic</v>
      </c>
      <c r="V153" s="95" t="b">
        <v>1</v>
      </c>
      <c r="W153" s="95" t="b">
        <v>1</v>
      </c>
      <c r="X153" s="95" t="s">
        <v>317</v>
      </c>
      <c r="Y153" s="95" t="s">
        <v>338</v>
      </c>
      <c r="Z153" s="95" t="s">
        <v>1148</v>
      </c>
      <c r="AA153" s="95" t="b">
        <v>1</v>
      </c>
      <c r="AB153" s="95" t="s">
        <v>317</v>
      </c>
      <c r="AC153" s="95" t="s">
        <v>318</v>
      </c>
      <c r="AD153" s="112">
        <v>2</v>
      </c>
      <c r="AE153" s="74"/>
      <c r="AF153" s="74"/>
    </row>
    <row r="154" spans="1:32" x14ac:dyDescent="0.3">
      <c r="A154" s="90"/>
      <c r="B154" s="95" t="s">
        <v>23</v>
      </c>
      <c r="C154" s="74" t="str" cm="1">
        <f t="array" ref="C154">UPPER(INDEX(_xlfn.TEXTSPLIT($F154, "-"), 3))</f>
        <v>CLV</v>
      </c>
      <c r="D154" s="74" t="s">
        <v>1133</v>
      </c>
      <c r="E154" s="74" t="s">
        <v>24</v>
      </c>
      <c r="F154" s="82" t="s">
        <v>1140</v>
      </c>
      <c r="G154" s="74" t="s">
        <v>1158</v>
      </c>
      <c r="H154" s="74" t="s">
        <v>1129</v>
      </c>
      <c r="I154" s="74">
        <v>2</v>
      </c>
      <c r="J154" s="74">
        <v>8</v>
      </c>
      <c r="K154" s="95" t="s">
        <v>180</v>
      </c>
      <c r="L154" s="111" t="s">
        <v>224</v>
      </c>
      <c r="M154" s="95" t="s">
        <v>992</v>
      </c>
      <c r="N154" s="121" t="s">
        <v>1146</v>
      </c>
      <c r="O154" s="117" t="str">
        <f t="shared" si="18"/>
        <v>p-clv-admweb01-osdisk</v>
      </c>
      <c r="P154" s="112">
        <v>64</v>
      </c>
      <c r="Q154" s="113" t="s">
        <v>179</v>
      </c>
      <c r="R154" s="74"/>
      <c r="S154" s="74"/>
      <c r="T154" s="74"/>
      <c r="U154" s="74" t="str">
        <f t="shared" si="19"/>
        <v>p-clv-admweb01-nic</v>
      </c>
      <c r="V154" s="95" t="b">
        <v>1</v>
      </c>
      <c r="W154" s="95" t="b">
        <v>1</v>
      </c>
      <c r="X154" s="95" t="s">
        <v>317</v>
      </c>
      <c r="Y154" s="95" t="s">
        <v>338</v>
      </c>
      <c r="Z154" s="95" t="s">
        <v>1148</v>
      </c>
      <c r="AA154" s="95" t="b">
        <v>1</v>
      </c>
      <c r="AB154" s="95" t="s">
        <v>317</v>
      </c>
      <c r="AC154" s="95" t="s">
        <v>318</v>
      </c>
      <c r="AD154" s="112">
        <v>1</v>
      </c>
      <c r="AE154" s="74"/>
      <c r="AF154" s="74"/>
    </row>
    <row r="155" spans="1:32" x14ac:dyDescent="0.3">
      <c r="A155" s="90"/>
      <c r="B155" s="95" t="s">
        <v>23</v>
      </c>
      <c r="C155" s="74" t="str" cm="1">
        <f t="array" ref="C155">UPPER(INDEX(_xlfn.TEXTSPLIT($F155, "-"), 3))</f>
        <v>CLV</v>
      </c>
      <c r="D155" s="74" t="s">
        <v>1133</v>
      </c>
      <c r="E155" s="74" t="s">
        <v>24</v>
      </c>
      <c r="F155" s="74" t="s">
        <v>1141</v>
      </c>
      <c r="G155" s="74" t="s">
        <v>1159</v>
      </c>
      <c r="H155" s="74" t="s">
        <v>1129</v>
      </c>
      <c r="I155" s="74">
        <v>2</v>
      </c>
      <c r="J155" s="74">
        <v>8</v>
      </c>
      <c r="K155" s="95" t="s">
        <v>180</v>
      </c>
      <c r="L155" s="111" t="s">
        <v>224</v>
      </c>
      <c r="M155" s="95" t="s">
        <v>992</v>
      </c>
      <c r="N155" s="121" t="s">
        <v>1146</v>
      </c>
      <c r="O155" s="117" t="str">
        <f t="shared" si="18"/>
        <v>p-clv-admweb02-osdisk</v>
      </c>
      <c r="P155" s="112">
        <v>64</v>
      </c>
      <c r="Q155" s="113" t="s">
        <v>179</v>
      </c>
      <c r="R155" s="74"/>
      <c r="S155" s="74"/>
      <c r="T155" s="74"/>
      <c r="U155" s="74" t="str">
        <f t="shared" si="19"/>
        <v>p-clv-admweb02-nic</v>
      </c>
      <c r="V155" s="95" t="b">
        <v>1</v>
      </c>
      <c r="W155" s="95" t="b">
        <v>1</v>
      </c>
      <c r="X155" s="95" t="s">
        <v>317</v>
      </c>
      <c r="Y155" s="95" t="s">
        <v>338</v>
      </c>
      <c r="Z155" s="95" t="s">
        <v>1148</v>
      </c>
      <c r="AA155" s="95" t="b">
        <v>1</v>
      </c>
      <c r="AB155" s="95" t="s">
        <v>317</v>
      </c>
      <c r="AC155" s="95" t="s">
        <v>318</v>
      </c>
      <c r="AD155" s="112">
        <v>2</v>
      </c>
      <c r="AE155" s="74"/>
      <c r="AF155" s="74"/>
    </row>
    <row r="156" spans="1:32" x14ac:dyDescent="0.3">
      <c r="A156" s="90"/>
      <c r="B156" s="95" t="s">
        <v>23</v>
      </c>
      <c r="C156" s="74" t="str" cm="1">
        <f t="array" ref="C156">UPPER(INDEX(_xlfn.TEXTSPLIT($F156, "-"), 3))</f>
        <v>CLV</v>
      </c>
      <c r="D156" s="74" t="s">
        <v>1133</v>
      </c>
      <c r="E156" s="74" t="s">
        <v>24</v>
      </c>
      <c r="F156" s="82" t="s">
        <v>1142</v>
      </c>
      <c r="G156" s="74" t="s">
        <v>1160</v>
      </c>
      <c r="H156" s="74" t="s">
        <v>1128</v>
      </c>
      <c r="I156" s="74">
        <v>4</v>
      </c>
      <c r="J156" s="74">
        <v>16</v>
      </c>
      <c r="K156" s="95" t="s">
        <v>180</v>
      </c>
      <c r="L156" s="111" t="s">
        <v>224</v>
      </c>
      <c r="M156" s="95" t="s">
        <v>992</v>
      </c>
      <c r="N156" s="121" t="s">
        <v>1146</v>
      </c>
      <c r="O156" s="117" t="str">
        <f t="shared" si="18"/>
        <v>p-clv-admap01-osdisk</v>
      </c>
      <c r="P156" s="112">
        <v>64</v>
      </c>
      <c r="Q156" s="113" t="s">
        <v>179</v>
      </c>
      <c r="R156" s="74"/>
      <c r="S156" s="74"/>
      <c r="T156" s="74"/>
      <c r="U156" s="74" t="str">
        <f t="shared" si="19"/>
        <v>p-clv-admap01-nic</v>
      </c>
      <c r="V156" s="95" t="b">
        <v>1</v>
      </c>
      <c r="W156" s="95" t="b">
        <v>1</v>
      </c>
      <c r="X156" s="95" t="s">
        <v>317</v>
      </c>
      <c r="Y156" s="95" t="s">
        <v>338</v>
      </c>
      <c r="Z156" s="95" t="s">
        <v>1148</v>
      </c>
      <c r="AA156" s="95" t="b">
        <v>1</v>
      </c>
      <c r="AB156" s="95" t="s">
        <v>317</v>
      </c>
      <c r="AC156" s="95" t="s">
        <v>318</v>
      </c>
      <c r="AD156" s="112">
        <v>1</v>
      </c>
      <c r="AE156" s="74"/>
      <c r="AF156" s="74"/>
    </row>
    <row r="157" spans="1:32" x14ac:dyDescent="0.3">
      <c r="A157" s="90"/>
      <c r="B157" s="95" t="s">
        <v>23</v>
      </c>
      <c r="C157" s="95" t="str" cm="1">
        <f t="array" ref="C157">UPPER(INDEX(_xlfn.TEXTSPLIT($F157, "-"), 3))</f>
        <v>CLV</v>
      </c>
      <c r="D157" s="74" t="s">
        <v>1133</v>
      </c>
      <c r="E157" s="74" t="s">
        <v>24</v>
      </c>
      <c r="F157" s="95" t="s">
        <v>1143</v>
      </c>
      <c r="G157" s="95" t="s">
        <v>1161</v>
      </c>
      <c r="H157" s="95" t="s">
        <v>1128</v>
      </c>
      <c r="I157" s="95">
        <v>4</v>
      </c>
      <c r="J157" s="95">
        <v>16</v>
      </c>
      <c r="K157" s="95" t="s">
        <v>180</v>
      </c>
      <c r="L157" s="111" t="s">
        <v>224</v>
      </c>
      <c r="M157" s="95" t="s">
        <v>992</v>
      </c>
      <c r="N157" s="121" t="s">
        <v>1146</v>
      </c>
      <c r="O157" s="120" t="str">
        <f t="shared" si="18"/>
        <v>p-clv-admap02-osdisk</v>
      </c>
      <c r="P157" s="112">
        <v>64</v>
      </c>
      <c r="Q157" s="113" t="s">
        <v>179</v>
      </c>
      <c r="R157" s="95"/>
      <c r="S157" s="95"/>
      <c r="T157" s="95"/>
      <c r="U157" s="95" t="str">
        <f t="shared" si="19"/>
        <v>p-clv-admap02-nic</v>
      </c>
      <c r="V157" s="95" t="b">
        <v>1</v>
      </c>
      <c r="W157" s="95" t="b">
        <v>1</v>
      </c>
      <c r="X157" s="95" t="s">
        <v>317</v>
      </c>
      <c r="Y157" s="95" t="s">
        <v>338</v>
      </c>
      <c r="Z157" s="95" t="s">
        <v>1148</v>
      </c>
      <c r="AA157" s="95" t="b">
        <v>1</v>
      </c>
      <c r="AB157" s="95" t="s">
        <v>317</v>
      </c>
      <c r="AC157" s="95" t="s">
        <v>318</v>
      </c>
      <c r="AD157" s="112">
        <v>2</v>
      </c>
      <c r="AE157" s="95"/>
      <c r="AF157" s="95"/>
    </row>
    <row r="158" spans="1:32" x14ac:dyDescent="0.3">
      <c r="A158" s="90"/>
      <c r="B158" s="95" t="s">
        <v>23</v>
      </c>
      <c r="C158" s="74" t="str" cm="1">
        <f t="array" ref="C158">UPPER(INDEX(_xlfn.TEXTSPLIT($F158, "-"), 3))</f>
        <v>IF</v>
      </c>
      <c r="D158" s="74" t="s">
        <v>925</v>
      </c>
      <c r="E158" s="74" t="s">
        <v>24</v>
      </c>
      <c r="F158" s="74" t="s">
        <v>1144</v>
      </c>
      <c r="G158" s="74" t="s">
        <v>1150</v>
      </c>
      <c r="H158" s="74" t="s">
        <v>1022</v>
      </c>
      <c r="I158" s="74">
        <v>8</v>
      </c>
      <c r="J158" s="74">
        <v>32</v>
      </c>
      <c r="K158" s="95" t="s">
        <v>180</v>
      </c>
      <c r="L158" s="111" t="s">
        <v>224</v>
      </c>
      <c r="M158" s="95" t="s">
        <v>992</v>
      </c>
      <c r="N158" s="121" t="s">
        <v>1146</v>
      </c>
      <c r="O158" s="117" t="str">
        <f t="shared" ref="O158:O159" si="20">SUBSTITUTE(F158,"hazr-","")&amp;"-osdisk"</f>
        <v>p-if-brpaap01-osdisk</v>
      </c>
      <c r="P158" s="112">
        <v>64</v>
      </c>
      <c r="Q158" s="113" t="s">
        <v>179</v>
      </c>
      <c r="R158" s="74"/>
      <c r="S158" s="74"/>
      <c r="T158" s="74"/>
      <c r="U158" s="74" t="str">
        <f t="shared" ref="U158:U159" si="21">SUBSTITUTE(F158,"hazr-","")&amp;"-nic"</f>
        <v>p-if-brpaap01-nic</v>
      </c>
      <c r="V158" s="95" t="b">
        <v>1</v>
      </c>
      <c r="W158" s="95" t="b">
        <v>1</v>
      </c>
      <c r="X158" s="95" t="s">
        <v>317</v>
      </c>
      <c r="Y158" s="95" t="s">
        <v>345</v>
      </c>
      <c r="Z158" s="95" t="s">
        <v>965</v>
      </c>
      <c r="AA158" s="74" t="b">
        <v>1</v>
      </c>
      <c r="AB158" s="95" t="s">
        <v>317</v>
      </c>
      <c r="AC158" s="95" t="s">
        <v>318</v>
      </c>
      <c r="AD158" s="112">
        <v>1</v>
      </c>
      <c r="AE158" s="74"/>
      <c r="AF158" s="74"/>
    </row>
    <row r="159" spans="1:32" x14ac:dyDescent="0.3">
      <c r="A159" s="90"/>
      <c r="B159" s="95" t="s">
        <v>23</v>
      </c>
      <c r="C159" s="74" t="str" cm="1">
        <f t="array" ref="C159">UPPER(INDEX(_xlfn.TEXTSPLIT($F159, "-"), 3))</f>
        <v>IF</v>
      </c>
      <c r="D159" s="74" t="s">
        <v>925</v>
      </c>
      <c r="E159" s="74" t="s">
        <v>24</v>
      </c>
      <c r="F159" s="74" t="s">
        <v>1145</v>
      </c>
      <c r="G159" s="74" t="s">
        <v>1151</v>
      </c>
      <c r="H159" s="74" t="s">
        <v>998</v>
      </c>
      <c r="I159" s="74">
        <v>4</v>
      </c>
      <c r="J159" s="74">
        <v>16</v>
      </c>
      <c r="K159" s="95" t="s">
        <v>180</v>
      </c>
      <c r="L159" s="111" t="s">
        <v>224</v>
      </c>
      <c r="M159" s="95" t="s">
        <v>992</v>
      </c>
      <c r="N159" s="121" t="s">
        <v>1146</v>
      </c>
      <c r="O159" s="117" t="str">
        <f t="shared" si="20"/>
        <v>p-if-brpadb01-osdisk</v>
      </c>
      <c r="P159" s="112">
        <v>64</v>
      </c>
      <c r="Q159" s="113" t="s">
        <v>179</v>
      </c>
      <c r="R159" s="74"/>
      <c r="S159" s="74"/>
      <c r="T159" s="74"/>
      <c r="U159" s="74" t="str">
        <f t="shared" si="21"/>
        <v>p-if-brpadb01-nic</v>
      </c>
      <c r="V159" s="95" t="b">
        <v>1</v>
      </c>
      <c r="W159" s="95" t="b">
        <v>1</v>
      </c>
      <c r="X159" s="95" t="s">
        <v>317</v>
      </c>
      <c r="Y159" s="95" t="s">
        <v>345</v>
      </c>
      <c r="Z159" s="95" t="s">
        <v>1149</v>
      </c>
      <c r="AA159" s="95" t="b">
        <v>1</v>
      </c>
      <c r="AB159" s="95" t="s">
        <v>317</v>
      </c>
      <c r="AC159" s="95" t="s">
        <v>318</v>
      </c>
      <c r="AD159" s="112">
        <v>1</v>
      </c>
      <c r="AE159" s="74"/>
      <c r="AF159" s="74"/>
    </row>
    <row r="160" spans="1:32" x14ac:dyDescent="0.3">
      <c r="A160" s="90"/>
      <c r="B160" s="95" t="s">
        <v>23</v>
      </c>
      <c r="C160" s="74" t="e" cm="1">
        <f t="array" ref="C160">UPPER(INDEX(_xlfn.TEXTSPLIT($F160, "-"), 3))</f>
        <v>#VALUE!</v>
      </c>
      <c r="D160" s="74"/>
      <c r="E160" s="74" t="s">
        <v>24</v>
      </c>
      <c r="F160" s="74"/>
      <c r="G160" s="74"/>
      <c r="H160" s="74"/>
      <c r="I160" s="74">
        <v>2</v>
      </c>
      <c r="J160" s="74">
        <v>8</v>
      </c>
      <c r="K160" s="95" t="s">
        <v>180</v>
      </c>
      <c r="L160" s="111" t="s">
        <v>224</v>
      </c>
      <c r="M160" s="95" t="s">
        <v>992</v>
      </c>
      <c r="N160" s="121"/>
      <c r="O160" s="117" t="str">
        <f>SUBSTITUTE(F160,"hazr-","")&amp;"-osdisk"</f>
        <v>-osdisk</v>
      </c>
      <c r="P160" s="112">
        <v>64</v>
      </c>
      <c r="Q160" s="113" t="s">
        <v>179</v>
      </c>
      <c r="R160" s="74"/>
      <c r="S160" s="74"/>
      <c r="T160" s="74"/>
      <c r="U160" s="74" t="str">
        <f>SUBSTITUTE(F160,"hazr-","")&amp;"-nic"</f>
        <v>-nic</v>
      </c>
      <c r="V160" s="95" t="b">
        <v>1</v>
      </c>
      <c r="W160" s="95" t="b">
        <v>1</v>
      </c>
      <c r="X160" s="95" t="s">
        <v>317</v>
      </c>
      <c r="Y160" s="95" t="s">
        <v>338</v>
      </c>
      <c r="Z160" s="95"/>
      <c r="AA160" s="74" t="b">
        <v>1</v>
      </c>
      <c r="AB160" s="95" t="s">
        <v>317</v>
      </c>
      <c r="AC160" s="95" t="s">
        <v>318</v>
      </c>
      <c r="AD160" s="112">
        <v>1</v>
      </c>
      <c r="AE160" s="74"/>
      <c r="AF160" s="74"/>
    </row>
    <row r="161" spans="1:32" x14ac:dyDescent="0.3">
      <c r="A161" s="90"/>
      <c r="B161" s="95" t="s">
        <v>23</v>
      </c>
      <c r="C161" s="95" t="e" cm="1">
        <f t="array" ref="C161">UPPER(INDEX(_xlfn.TEXTSPLIT($F161, "-"), 3))</f>
        <v>#VALUE!</v>
      </c>
      <c r="D161" s="95"/>
      <c r="E161" s="95" t="s">
        <v>24</v>
      </c>
      <c r="F161" s="95"/>
      <c r="G161" s="95"/>
      <c r="H161" s="95"/>
      <c r="I161" s="95">
        <v>2</v>
      </c>
      <c r="J161" s="95">
        <v>8</v>
      </c>
      <c r="K161" s="95" t="s">
        <v>180</v>
      </c>
      <c r="L161" s="111" t="s">
        <v>224</v>
      </c>
      <c r="M161" s="95" t="s">
        <v>992</v>
      </c>
      <c r="N161" s="121"/>
      <c r="O161" s="120" t="str">
        <f>SUBSTITUTE(F161,"hazr-","")&amp;"-osdisk"</f>
        <v>-osdisk</v>
      </c>
      <c r="P161" s="112">
        <v>64</v>
      </c>
      <c r="Q161" s="113" t="s">
        <v>179</v>
      </c>
      <c r="R161" s="95"/>
      <c r="S161" s="95"/>
      <c r="T161" s="95"/>
      <c r="U161" s="95" t="str">
        <f>SUBSTITUTE(F161,"hazr-","")&amp;"-nic"</f>
        <v>-nic</v>
      </c>
      <c r="V161" s="95" t="b">
        <v>1</v>
      </c>
      <c r="W161" s="95" t="b">
        <v>1</v>
      </c>
      <c r="X161" s="95" t="s">
        <v>317</v>
      </c>
      <c r="Y161" s="95" t="s">
        <v>338</v>
      </c>
      <c r="Z161" s="95"/>
      <c r="AA161" s="95" t="b">
        <v>1</v>
      </c>
      <c r="AB161" s="95" t="s">
        <v>317</v>
      </c>
      <c r="AC161" s="95" t="s">
        <v>318</v>
      </c>
      <c r="AD161" s="112">
        <v>2</v>
      </c>
      <c r="AE161" s="95"/>
      <c r="AF161" s="95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170"/>
  <sheetViews>
    <sheetView workbookViewId="0">
      <pane xSplit="6" ySplit="1" topLeftCell="O151" activePane="bottomRight" state="frozen"/>
      <selection activeCell="B148" sqref="B148"/>
      <selection pane="topRight" activeCell="B148" sqref="B148"/>
      <selection pane="bottomLeft" activeCell="B148" sqref="B148"/>
      <selection pane="bottomRight" activeCell="A168" sqref="A168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08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08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08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08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4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4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4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3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3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3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4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4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4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3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3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3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3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3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3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4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4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4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4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4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4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1028</v>
      </c>
      <c r="E142" s="86" t="s">
        <v>24</v>
      </c>
      <c r="F142" s="74" t="s">
        <v>1018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1028</v>
      </c>
      <c r="E143" s="85" t="s">
        <v>24</v>
      </c>
      <c r="F143" s="73" t="s">
        <v>1023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925</v>
      </c>
      <c r="E144" s="86" t="s">
        <v>24</v>
      </c>
      <c r="F144" s="74" t="s">
        <v>1031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1:18" x14ac:dyDescent="0.3">
      <c r="A145" s="99"/>
      <c r="B145" s="78" t="s">
        <v>23</v>
      </c>
      <c r="C145" s="73" t="str" cm="1">
        <f t="array" ref="C145">UPPER(INDEX(_xlfn.TEXTSPLIT($D145, "-"), 3))</f>
        <v>COM</v>
      </c>
      <c r="D145" s="78" t="s">
        <v>1035</v>
      </c>
      <c r="E145" s="78" t="s">
        <v>24</v>
      </c>
      <c r="F145" s="78" t="s">
        <v>1036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1:18" x14ac:dyDescent="0.3">
      <c r="A146" s="99"/>
      <c r="B146" s="80" t="s">
        <v>23</v>
      </c>
      <c r="C146" s="74" t="str" cm="1">
        <f t="array" ref="C146">UPPER(INDEX(_xlfn.TEXTSPLIT($D146, "-"), 3))</f>
        <v>COM</v>
      </c>
      <c r="D146" s="80" t="s">
        <v>1035</v>
      </c>
      <c r="E146" s="80" t="s">
        <v>24</v>
      </c>
      <c r="F146" s="80" t="s">
        <v>1037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1:18" x14ac:dyDescent="0.3">
      <c r="A147" s="99"/>
      <c r="B147" s="78" t="s">
        <v>23</v>
      </c>
      <c r="C147" s="73" t="str" cm="1">
        <f t="array" ref="C147">UPPER(INDEX(_xlfn.TEXTSPLIT($D147, "-"), 3))</f>
        <v>COM</v>
      </c>
      <c r="D147" s="78" t="s">
        <v>1035</v>
      </c>
      <c r="E147" s="78" t="s">
        <v>24</v>
      </c>
      <c r="F147" s="78" t="s">
        <v>1038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1:18" x14ac:dyDescent="0.3">
      <c r="A148" s="99"/>
      <c r="B148" s="80" t="s">
        <v>23</v>
      </c>
      <c r="C148" s="74" t="str" cm="1">
        <f t="array" ref="C148">UPPER(INDEX(_xlfn.TEXTSPLIT($D148, "-"), 3))</f>
        <v>COM</v>
      </c>
      <c r="D148" s="80" t="s">
        <v>1035</v>
      </c>
      <c r="E148" s="80" t="s">
        <v>24</v>
      </c>
      <c r="F148" s="80" t="s">
        <v>1039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  <row r="149" spans="1:18" x14ac:dyDescent="0.3">
      <c r="A149" s="99"/>
      <c r="B149" s="78" t="s">
        <v>23</v>
      </c>
      <c r="C149" s="73" t="str" cm="1">
        <f t="array" ref="C149">UPPER(INDEX(_xlfn.TEXTSPLIT($D149, "-"), 3))</f>
        <v>BDP</v>
      </c>
      <c r="D149" s="78" t="s">
        <v>924</v>
      </c>
      <c r="E149" s="78" t="s">
        <v>24</v>
      </c>
      <c r="F149" s="114" t="s">
        <v>1070</v>
      </c>
      <c r="G149" s="73" t="str">
        <f t="shared" ref="G149:G153" si="2">SUBSTITUTE(F149,"hazr-","")&amp;"-disk01"</f>
        <v>p-bdp-rlgcweb01-disk01</v>
      </c>
      <c r="H149" s="73" t="s">
        <v>179</v>
      </c>
      <c r="I149" s="73">
        <v>512</v>
      </c>
      <c r="J149" s="73" t="str">
        <f t="shared" ref="J149:J153" si="3">SUBSTITUTE(F149,"hazr-","")&amp;"-disk02"</f>
        <v>p-bdp-rlgcweb01-disk02</v>
      </c>
      <c r="K149" s="73" t="s">
        <v>179</v>
      </c>
      <c r="L149" s="73">
        <v>128</v>
      </c>
      <c r="M149" s="78">
        <v>1</v>
      </c>
      <c r="N149" s="78" t="s">
        <v>191</v>
      </c>
      <c r="O149" s="78" t="s">
        <v>317</v>
      </c>
      <c r="P149" s="78" t="s">
        <v>318</v>
      </c>
      <c r="Q149" s="78" t="b">
        <v>1</v>
      </c>
      <c r="R149" s="78"/>
    </row>
    <row r="150" spans="1:18" x14ac:dyDescent="0.3">
      <c r="A150" s="99"/>
      <c r="B150" s="80" t="s">
        <v>23</v>
      </c>
      <c r="C150" s="74" t="str" cm="1">
        <f t="array" ref="C150">UPPER(INDEX(_xlfn.TEXTSPLIT($D150, "-"), 3))</f>
        <v>BDP</v>
      </c>
      <c r="D150" s="80" t="s">
        <v>924</v>
      </c>
      <c r="E150" s="80" t="s">
        <v>24</v>
      </c>
      <c r="F150" s="115" t="s">
        <v>1071</v>
      </c>
      <c r="G150" s="74" t="str">
        <f t="shared" si="2"/>
        <v>p-bdp-rlgcweb02-disk01</v>
      </c>
      <c r="H150" s="74" t="s">
        <v>179</v>
      </c>
      <c r="I150" s="74">
        <v>512</v>
      </c>
      <c r="J150" s="74" t="str">
        <f t="shared" si="3"/>
        <v>p-bdp-rlgcweb02-disk02</v>
      </c>
      <c r="K150" s="74" t="s">
        <v>179</v>
      </c>
      <c r="L150" s="74">
        <v>128</v>
      </c>
      <c r="M150" s="80">
        <v>2</v>
      </c>
      <c r="N150" s="80" t="s">
        <v>191</v>
      </c>
      <c r="O150" s="80" t="s">
        <v>317</v>
      </c>
      <c r="P150" s="80" t="s">
        <v>318</v>
      </c>
      <c r="Q150" s="80" t="b">
        <v>1</v>
      </c>
      <c r="R150" s="80"/>
    </row>
    <row r="151" spans="1:18" x14ac:dyDescent="0.3">
      <c r="A151" s="99"/>
      <c r="B151" s="78" t="s">
        <v>23</v>
      </c>
      <c r="C151" s="73" t="str" cm="1">
        <f t="array" ref="C151">UPPER(INDEX(_xlfn.TEXTSPLIT($D151, "-"), 3))</f>
        <v>BDP</v>
      </c>
      <c r="D151" s="78" t="s">
        <v>924</v>
      </c>
      <c r="E151" s="78" t="s">
        <v>24</v>
      </c>
      <c r="F151" s="73" t="s">
        <v>1072</v>
      </c>
      <c r="G151" s="73" t="str">
        <f t="shared" si="2"/>
        <v>p-bdp-rlgcap01-disk01</v>
      </c>
      <c r="H151" s="73" t="s">
        <v>179</v>
      </c>
      <c r="I151" s="73">
        <v>2048</v>
      </c>
      <c r="J151" s="73" t="str">
        <f t="shared" si="3"/>
        <v>p-bdp-rlgcap01-disk02</v>
      </c>
      <c r="K151" s="73" t="s">
        <v>179</v>
      </c>
      <c r="L151" s="73">
        <v>256</v>
      </c>
      <c r="M151" s="78">
        <v>1</v>
      </c>
      <c r="N151" s="78" t="s">
        <v>191</v>
      </c>
      <c r="O151" s="78" t="s">
        <v>317</v>
      </c>
      <c r="P151" s="78" t="s">
        <v>318</v>
      </c>
      <c r="Q151" s="78" t="b">
        <v>1</v>
      </c>
      <c r="R151" s="78"/>
    </row>
    <row r="152" spans="1:18" x14ac:dyDescent="0.3">
      <c r="A152" s="99"/>
      <c r="B152" s="80" t="s">
        <v>23</v>
      </c>
      <c r="C152" s="74" t="str" cm="1">
        <f t="array" ref="C152">UPPER(INDEX(_xlfn.TEXTSPLIT($D152, "-"), 3))</f>
        <v>BDP</v>
      </c>
      <c r="D152" s="80" t="s">
        <v>924</v>
      </c>
      <c r="E152" s="80" t="s">
        <v>24</v>
      </c>
      <c r="F152" s="74" t="s">
        <v>1073</v>
      </c>
      <c r="G152" s="74" t="str">
        <f t="shared" si="2"/>
        <v>p-bdp-rlgcap02-disk01</v>
      </c>
      <c r="H152" s="74" t="s">
        <v>179</v>
      </c>
      <c r="I152" s="74">
        <v>2048</v>
      </c>
      <c r="J152" s="74" t="str">
        <f t="shared" si="3"/>
        <v>p-bdp-rlgcap02-disk02</v>
      </c>
      <c r="K152" s="74" t="s">
        <v>179</v>
      </c>
      <c r="L152" s="74">
        <v>256</v>
      </c>
      <c r="M152" s="80">
        <v>2</v>
      </c>
      <c r="N152" s="80" t="s">
        <v>191</v>
      </c>
      <c r="O152" s="80" t="s">
        <v>317</v>
      </c>
      <c r="P152" s="80" t="s">
        <v>318</v>
      </c>
      <c r="Q152" s="80" t="b">
        <v>1</v>
      </c>
      <c r="R152" s="80"/>
    </row>
    <row r="153" spans="1:18" x14ac:dyDescent="0.3">
      <c r="A153" s="99"/>
      <c r="B153" s="78" t="s">
        <v>23</v>
      </c>
      <c r="C153" s="73" t="str" cm="1">
        <f t="array" ref="C153">UPPER(INDEX(_xlfn.TEXTSPLIT($D153, "-"), 3))</f>
        <v>BDP</v>
      </c>
      <c r="D153" s="78" t="s">
        <v>924</v>
      </c>
      <c r="E153" s="78" t="s">
        <v>24</v>
      </c>
      <c r="F153" s="73" t="s">
        <v>1074</v>
      </c>
      <c r="G153" s="73" t="str">
        <f t="shared" si="2"/>
        <v>p-bdp-rlgcap03-disk01</v>
      </c>
      <c r="H153" s="73" t="s">
        <v>179</v>
      </c>
      <c r="I153" s="73">
        <v>2048</v>
      </c>
      <c r="J153" s="73" t="str">
        <f t="shared" si="3"/>
        <v>p-bdp-rlgcap03-disk02</v>
      </c>
      <c r="K153" s="73" t="s">
        <v>179</v>
      </c>
      <c r="L153" s="73">
        <v>256</v>
      </c>
      <c r="M153" s="78">
        <v>3</v>
      </c>
      <c r="N153" s="78" t="s">
        <v>191</v>
      </c>
      <c r="O153" s="78" t="s">
        <v>317</v>
      </c>
      <c r="P153" s="78" t="s">
        <v>318</v>
      </c>
      <c r="Q153" s="78" t="b">
        <v>1</v>
      </c>
      <c r="R153" s="78"/>
    </row>
    <row r="154" spans="1:18" x14ac:dyDescent="0.3">
      <c r="A154" s="99"/>
      <c r="B154" s="80" t="s">
        <v>23</v>
      </c>
      <c r="C154" s="74" t="str" cm="1">
        <f t="array" ref="C154">UPPER(INDEX(_xlfn.TEXTSPLIT($D154, "-"), 3))</f>
        <v>IF</v>
      </c>
      <c r="D154" s="80" t="s">
        <v>925</v>
      </c>
      <c r="E154" s="80" t="s">
        <v>24</v>
      </c>
      <c r="F154" s="115" t="s">
        <v>1093</v>
      </c>
      <c r="G154" s="74" t="str">
        <f t="shared" ref="G154:G166" si="4">SUBSTITUTE(F154,"hazr-","")&amp;"-disk01"</f>
        <v>p-if-sastweb01-disk01</v>
      </c>
      <c r="H154" s="74" t="s">
        <v>179</v>
      </c>
      <c r="I154" s="74">
        <v>128</v>
      </c>
      <c r="J154" s="74" t="str">
        <f t="shared" ref="J154:J156" si="5">SUBSTITUTE(F154,"hazr-","")&amp;"-disk02"</f>
        <v>p-if-sastweb01-disk02</v>
      </c>
      <c r="K154" s="74" t="s">
        <v>179</v>
      </c>
      <c r="L154" s="74">
        <v>128</v>
      </c>
      <c r="M154" s="80">
        <v>1</v>
      </c>
      <c r="N154" s="80" t="s">
        <v>191</v>
      </c>
      <c r="O154" s="80" t="s">
        <v>317</v>
      </c>
      <c r="P154" s="80" t="s">
        <v>318</v>
      </c>
      <c r="Q154" s="80" t="b">
        <v>1</v>
      </c>
      <c r="R154" s="80"/>
    </row>
    <row r="155" spans="1:18" x14ac:dyDescent="0.3">
      <c r="A155" s="99"/>
      <c r="B155" s="78" t="s">
        <v>23</v>
      </c>
      <c r="C155" s="73" t="str" cm="1">
        <f t="array" ref="C155">UPPER(INDEX(_xlfn.TEXTSPLIT($D155, "-"), 3))</f>
        <v>SEC</v>
      </c>
      <c r="D155" s="78" t="s">
        <v>1109</v>
      </c>
      <c r="E155" s="78" t="s">
        <v>24</v>
      </c>
      <c r="F155" s="114" t="s">
        <v>1103</v>
      </c>
      <c r="G155" s="73" t="str">
        <f t="shared" si="4"/>
        <v>p-sec-mevrsol01-disk01</v>
      </c>
      <c r="H155" s="73" t="s">
        <v>179</v>
      </c>
      <c r="I155" s="73">
        <v>128</v>
      </c>
      <c r="J155" s="73" t="str">
        <f t="shared" si="5"/>
        <v>p-sec-mevrsol01-disk02</v>
      </c>
      <c r="K155" s="73" t="s">
        <v>179</v>
      </c>
      <c r="L155" s="73">
        <v>128</v>
      </c>
      <c r="M155" s="78">
        <v>1</v>
      </c>
      <c r="N155" s="78" t="s">
        <v>191</v>
      </c>
      <c r="O155" s="78" t="s">
        <v>317</v>
      </c>
      <c r="P155" s="78" t="s">
        <v>318</v>
      </c>
      <c r="Q155" s="78" t="b">
        <v>1</v>
      </c>
      <c r="R155" s="78"/>
    </row>
    <row r="156" spans="1:18" x14ac:dyDescent="0.3">
      <c r="A156" s="99"/>
      <c r="B156" s="80" t="s">
        <v>23</v>
      </c>
      <c r="C156" s="74" t="str" cm="1">
        <f t="array" ref="C156">UPPER(INDEX(_xlfn.TEXTSPLIT($D156, "-"), 3))</f>
        <v>SEC</v>
      </c>
      <c r="D156" s="80" t="s">
        <v>1109</v>
      </c>
      <c r="E156" s="80" t="s">
        <v>24</v>
      </c>
      <c r="F156" s="115" t="s">
        <v>1104</v>
      </c>
      <c r="G156" s="74" t="str">
        <f t="shared" si="4"/>
        <v>p-sec-mevrsol02-disk01</v>
      </c>
      <c r="H156" s="74" t="s">
        <v>179</v>
      </c>
      <c r="I156" s="74">
        <v>128</v>
      </c>
      <c r="J156" s="74" t="str">
        <f t="shared" si="5"/>
        <v>p-sec-mevrsol02-disk02</v>
      </c>
      <c r="K156" s="74" t="s">
        <v>179</v>
      </c>
      <c r="L156" s="74">
        <v>128</v>
      </c>
      <c r="M156" s="80">
        <v>2</v>
      </c>
      <c r="N156" s="80" t="s">
        <v>191</v>
      </c>
      <c r="O156" s="80" t="s">
        <v>317</v>
      </c>
      <c r="P156" s="80" t="s">
        <v>318</v>
      </c>
      <c r="Q156" s="80" t="b">
        <v>1</v>
      </c>
      <c r="R156" s="80"/>
    </row>
    <row r="157" spans="1:18" x14ac:dyDescent="0.3">
      <c r="A157" s="99"/>
      <c r="B157" s="78" t="s">
        <v>23</v>
      </c>
      <c r="C157" s="82" t="str" cm="1">
        <f t="array" ref="C157">UPPER(INDEX(_xlfn.TEXTSPLIT($D157, "-"), 3))</f>
        <v>CLV</v>
      </c>
      <c r="D157" s="78" t="s">
        <v>1133</v>
      </c>
      <c r="E157" s="78" t="s">
        <v>24</v>
      </c>
      <c r="F157" s="82" t="s">
        <v>1134</v>
      </c>
      <c r="G157" s="73" t="str">
        <f t="shared" si="4"/>
        <v>p-clv-web01-disk01</v>
      </c>
      <c r="H157" s="73" t="s">
        <v>179</v>
      </c>
      <c r="I157" s="73">
        <v>128</v>
      </c>
      <c r="J157" s="73" t="str">
        <f t="shared" ref="J157:J166" si="6">SUBSTITUTE(F157,"hazr-","")&amp;"-disk02"</f>
        <v>p-clv-web01-disk02</v>
      </c>
      <c r="K157" s="73" t="s">
        <v>179</v>
      </c>
      <c r="L157" s="73">
        <v>128</v>
      </c>
      <c r="M157" s="78">
        <v>1</v>
      </c>
      <c r="N157" s="78" t="s">
        <v>191</v>
      </c>
      <c r="O157" s="78" t="s">
        <v>317</v>
      </c>
      <c r="P157" s="78" t="s">
        <v>318</v>
      </c>
      <c r="Q157" s="78" t="b">
        <v>1</v>
      </c>
      <c r="R157" s="78"/>
    </row>
    <row r="158" spans="1:18" x14ac:dyDescent="0.3">
      <c r="A158" s="99"/>
      <c r="B158" s="80" t="s">
        <v>23</v>
      </c>
      <c r="C158" s="74" t="str" cm="1">
        <f t="array" ref="C158">UPPER(INDEX(_xlfn.TEXTSPLIT($D158, "-"), 3))</f>
        <v>CLV</v>
      </c>
      <c r="D158" s="80" t="s">
        <v>1133</v>
      </c>
      <c r="E158" s="80" t="s">
        <v>24</v>
      </c>
      <c r="F158" s="74" t="s">
        <v>1135</v>
      </c>
      <c r="G158" s="74" t="str">
        <f t="shared" si="4"/>
        <v>p-clv-web02-disk01</v>
      </c>
      <c r="H158" s="74" t="s">
        <v>179</v>
      </c>
      <c r="I158" s="74">
        <v>128</v>
      </c>
      <c r="J158" s="74" t="str">
        <f t="shared" si="6"/>
        <v>p-clv-web02-disk02</v>
      </c>
      <c r="K158" s="74" t="s">
        <v>179</v>
      </c>
      <c r="L158" s="74">
        <v>128</v>
      </c>
      <c r="M158" s="80">
        <v>2</v>
      </c>
      <c r="N158" s="80" t="s">
        <v>191</v>
      </c>
      <c r="O158" s="80" t="s">
        <v>317</v>
      </c>
      <c r="P158" s="80" t="s">
        <v>318</v>
      </c>
      <c r="Q158" s="80" t="b">
        <v>1</v>
      </c>
      <c r="R158" s="80"/>
    </row>
    <row r="159" spans="1:18" x14ac:dyDescent="0.3">
      <c r="A159" s="99"/>
      <c r="B159" s="78" t="s">
        <v>23</v>
      </c>
      <c r="C159" s="82" t="str" cm="1">
        <f t="array" ref="C159">UPPER(INDEX(_xlfn.TEXTSPLIT($D159, "-"), 3))</f>
        <v>CLV</v>
      </c>
      <c r="D159" s="78" t="s">
        <v>1133</v>
      </c>
      <c r="E159" s="78" t="s">
        <v>24</v>
      </c>
      <c r="F159" s="82" t="s">
        <v>1136</v>
      </c>
      <c r="G159" s="73" t="str">
        <f t="shared" si="4"/>
        <v>p-clv-ap01-disk01</v>
      </c>
      <c r="H159" s="73" t="s">
        <v>179</v>
      </c>
      <c r="I159" s="73">
        <v>128</v>
      </c>
      <c r="J159" s="73" t="str">
        <f t="shared" si="6"/>
        <v>p-clv-ap01-disk02</v>
      </c>
      <c r="K159" s="73" t="s">
        <v>179</v>
      </c>
      <c r="L159" s="73">
        <v>128</v>
      </c>
      <c r="M159" s="78">
        <v>1</v>
      </c>
      <c r="N159" s="78" t="s">
        <v>191</v>
      </c>
      <c r="O159" s="78" t="s">
        <v>317</v>
      </c>
      <c r="P159" s="78" t="s">
        <v>318</v>
      </c>
      <c r="Q159" s="78" t="b">
        <v>1</v>
      </c>
      <c r="R159" s="78"/>
    </row>
    <row r="160" spans="1:18" x14ac:dyDescent="0.3">
      <c r="A160" s="99"/>
      <c r="B160" s="80" t="s">
        <v>23</v>
      </c>
      <c r="C160" s="74" t="str" cm="1">
        <f t="array" ref="C160">UPPER(INDEX(_xlfn.TEXTSPLIT($D160, "-"), 3))</f>
        <v>CLV</v>
      </c>
      <c r="D160" s="80" t="s">
        <v>1133</v>
      </c>
      <c r="E160" s="80" t="s">
        <v>24</v>
      </c>
      <c r="F160" s="74" t="s">
        <v>1137</v>
      </c>
      <c r="G160" s="74" t="str">
        <f t="shared" si="4"/>
        <v>p-clv-ap02-disk01</v>
      </c>
      <c r="H160" s="74" t="s">
        <v>179</v>
      </c>
      <c r="I160" s="74">
        <v>128</v>
      </c>
      <c r="J160" s="74" t="str">
        <f t="shared" si="6"/>
        <v>p-clv-ap02-disk02</v>
      </c>
      <c r="K160" s="74" t="s">
        <v>179</v>
      </c>
      <c r="L160" s="74">
        <v>128</v>
      </c>
      <c r="M160" s="80">
        <v>2</v>
      </c>
      <c r="N160" s="80" t="s">
        <v>191</v>
      </c>
      <c r="O160" s="80" t="s">
        <v>317</v>
      </c>
      <c r="P160" s="80" t="s">
        <v>318</v>
      </c>
      <c r="Q160" s="80" t="b">
        <v>1</v>
      </c>
      <c r="R160" s="80"/>
    </row>
    <row r="161" spans="1:18" x14ac:dyDescent="0.3">
      <c r="A161" s="99"/>
      <c r="B161" s="78" t="s">
        <v>23</v>
      </c>
      <c r="C161" s="82" t="str" cm="1">
        <f t="array" ref="C161">UPPER(INDEX(_xlfn.TEXTSPLIT($D161, "-"), 3))</f>
        <v>CLV</v>
      </c>
      <c r="D161" s="78" t="s">
        <v>1133</v>
      </c>
      <c r="E161" s="78" t="s">
        <v>24</v>
      </c>
      <c r="F161" s="82" t="s">
        <v>1138</v>
      </c>
      <c r="G161" s="73" t="str">
        <f t="shared" si="4"/>
        <v>p-clv-ssrap01-disk01</v>
      </c>
      <c r="H161" s="73" t="s">
        <v>179</v>
      </c>
      <c r="I161" s="73">
        <v>128</v>
      </c>
      <c r="J161" s="73" t="str">
        <f t="shared" si="6"/>
        <v>p-clv-ssrap01-disk02</v>
      </c>
      <c r="K161" s="73" t="s">
        <v>179</v>
      </c>
      <c r="L161" s="73">
        <v>128</v>
      </c>
      <c r="M161" s="78">
        <v>1</v>
      </c>
      <c r="N161" s="78" t="s">
        <v>191</v>
      </c>
      <c r="O161" s="78" t="s">
        <v>317</v>
      </c>
      <c r="P161" s="78" t="s">
        <v>318</v>
      </c>
      <c r="Q161" s="78" t="b">
        <v>1</v>
      </c>
      <c r="R161" s="78"/>
    </row>
    <row r="162" spans="1:18" x14ac:dyDescent="0.3">
      <c r="A162" s="99"/>
      <c r="B162" s="80" t="s">
        <v>23</v>
      </c>
      <c r="C162" s="74" t="str" cm="1">
        <f t="array" ref="C162">UPPER(INDEX(_xlfn.TEXTSPLIT($D162, "-"), 3))</f>
        <v>CLV</v>
      </c>
      <c r="D162" s="80" t="s">
        <v>1133</v>
      </c>
      <c r="E162" s="80" t="s">
        <v>24</v>
      </c>
      <c r="F162" s="74" t="s">
        <v>1139</v>
      </c>
      <c r="G162" s="74" t="str">
        <f t="shared" si="4"/>
        <v>p-clv-ssrap02-disk01</v>
      </c>
      <c r="H162" s="74" t="s">
        <v>179</v>
      </c>
      <c r="I162" s="74">
        <v>128</v>
      </c>
      <c r="J162" s="74" t="str">
        <f t="shared" si="6"/>
        <v>p-clv-ssrap02-disk02</v>
      </c>
      <c r="K162" s="74" t="s">
        <v>179</v>
      </c>
      <c r="L162" s="74">
        <v>128</v>
      </c>
      <c r="M162" s="80">
        <v>2</v>
      </c>
      <c r="N162" s="80" t="s">
        <v>191</v>
      </c>
      <c r="O162" s="80" t="s">
        <v>317</v>
      </c>
      <c r="P162" s="80" t="s">
        <v>318</v>
      </c>
      <c r="Q162" s="80" t="b">
        <v>1</v>
      </c>
      <c r="R162" s="80"/>
    </row>
    <row r="163" spans="1:18" x14ac:dyDescent="0.3">
      <c r="A163" s="99"/>
      <c r="B163" s="78" t="s">
        <v>23</v>
      </c>
      <c r="C163" s="82" t="str" cm="1">
        <f t="array" ref="C163">UPPER(INDEX(_xlfn.TEXTSPLIT($D163, "-"), 3))</f>
        <v>CLV</v>
      </c>
      <c r="D163" s="78" t="s">
        <v>1133</v>
      </c>
      <c r="E163" s="78" t="s">
        <v>24</v>
      </c>
      <c r="F163" s="82" t="s">
        <v>1140</v>
      </c>
      <c r="G163" s="73" t="str">
        <f t="shared" si="4"/>
        <v>p-clv-admweb01-disk01</v>
      </c>
      <c r="H163" s="73" t="s">
        <v>179</v>
      </c>
      <c r="I163" s="73">
        <v>128</v>
      </c>
      <c r="J163" s="73" t="str">
        <f t="shared" si="6"/>
        <v>p-clv-admweb01-disk02</v>
      </c>
      <c r="K163" s="73" t="s">
        <v>179</v>
      </c>
      <c r="L163" s="73">
        <v>128</v>
      </c>
      <c r="M163" s="78">
        <v>1</v>
      </c>
      <c r="N163" s="78" t="s">
        <v>191</v>
      </c>
      <c r="O163" s="78" t="s">
        <v>317</v>
      </c>
      <c r="P163" s="78" t="s">
        <v>318</v>
      </c>
      <c r="Q163" s="78" t="b">
        <v>1</v>
      </c>
      <c r="R163" s="78"/>
    </row>
    <row r="164" spans="1:18" x14ac:dyDescent="0.3">
      <c r="A164" s="99"/>
      <c r="B164" s="80" t="s">
        <v>23</v>
      </c>
      <c r="C164" s="74" t="str" cm="1">
        <f t="array" ref="C164">UPPER(INDEX(_xlfn.TEXTSPLIT($D164, "-"), 3))</f>
        <v>CLV</v>
      </c>
      <c r="D164" s="80" t="s">
        <v>1133</v>
      </c>
      <c r="E164" s="80" t="s">
        <v>24</v>
      </c>
      <c r="F164" s="74" t="s">
        <v>1141</v>
      </c>
      <c r="G164" s="74" t="str">
        <f t="shared" si="4"/>
        <v>p-clv-admweb02-disk01</v>
      </c>
      <c r="H164" s="74" t="s">
        <v>179</v>
      </c>
      <c r="I164" s="74">
        <v>128</v>
      </c>
      <c r="J164" s="74" t="str">
        <f t="shared" si="6"/>
        <v>p-clv-admweb02-disk02</v>
      </c>
      <c r="K164" s="74" t="s">
        <v>179</v>
      </c>
      <c r="L164" s="74">
        <v>128</v>
      </c>
      <c r="M164" s="80">
        <v>2</v>
      </c>
      <c r="N164" s="80" t="s">
        <v>191</v>
      </c>
      <c r="O164" s="80" t="s">
        <v>317</v>
      </c>
      <c r="P164" s="80" t="s">
        <v>318</v>
      </c>
      <c r="Q164" s="80" t="b">
        <v>1</v>
      </c>
      <c r="R164" s="80"/>
    </row>
    <row r="165" spans="1:18" x14ac:dyDescent="0.3">
      <c r="A165" s="99"/>
      <c r="B165" s="78" t="s">
        <v>23</v>
      </c>
      <c r="C165" s="82" t="str" cm="1">
        <f t="array" ref="C165">UPPER(INDEX(_xlfn.TEXTSPLIT($D165, "-"), 3))</f>
        <v>CLV</v>
      </c>
      <c r="D165" s="78" t="s">
        <v>1133</v>
      </c>
      <c r="E165" s="78" t="s">
        <v>24</v>
      </c>
      <c r="F165" s="82" t="s">
        <v>1142</v>
      </c>
      <c r="G165" s="73" t="str">
        <f t="shared" si="4"/>
        <v>p-clv-admap01-disk01</v>
      </c>
      <c r="H165" s="73" t="s">
        <v>179</v>
      </c>
      <c r="I165" s="73">
        <v>128</v>
      </c>
      <c r="J165" s="73" t="str">
        <f t="shared" si="6"/>
        <v>p-clv-admap01-disk02</v>
      </c>
      <c r="K165" s="73" t="s">
        <v>179</v>
      </c>
      <c r="L165" s="73">
        <v>128</v>
      </c>
      <c r="M165" s="78">
        <v>1</v>
      </c>
      <c r="N165" s="78" t="s">
        <v>191</v>
      </c>
      <c r="O165" s="78" t="s">
        <v>317</v>
      </c>
      <c r="P165" s="78" t="s">
        <v>318</v>
      </c>
      <c r="Q165" s="78" t="b">
        <v>1</v>
      </c>
      <c r="R165" s="78"/>
    </row>
    <row r="166" spans="1:18" x14ac:dyDescent="0.3">
      <c r="A166" s="99"/>
      <c r="B166" s="80" t="s">
        <v>23</v>
      </c>
      <c r="C166" s="115" t="str" cm="1">
        <f t="array" ref="C166">UPPER(INDEX(_xlfn.TEXTSPLIT($D166, "-"), 3))</f>
        <v>CLV</v>
      </c>
      <c r="D166" s="80" t="s">
        <v>1133</v>
      </c>
      <c r="E166" s="80" t="s">
        <v>24</v>
      </c>
      <c r="F166" s="115" t="s">
        <v>1143</v>
      </c>
      <c r="G166" s="74" t="str">
        <f t="shared" si="4"/>
        <v>p-clv-admap02-disk01</v>
      </c>
      <c r="H166" s="74" t="s">
        <v>179</v>
      </c>
      <c r="I166" s="74">
        <v>128</v>
      </c>
      <c r="J166" s="74" t="str">
        <f t="shared" si="6"/>
        <v>p-clv-admap02-disk02</v>
      </c>
      <c r="K166" s="74" t="s">
        <v>179</v>
      </c>
      <c r="L166" s="74">
        <v>128</v>
      </c>
      <c r="M166" s="80">
        <v>2</v>
      </c>
      <c r="N166" s="80" t="s">
        <v>191</v>
      </c>
      <c r="O166" s="80" t="s">
        <v>317</v>
      </c>
      <c r="P166" s="80" t="s">
        <v>318</v>
      </c>
      <c r="Q166" s="80" t="b">
        <v>1</v>
      </c>
      <c r="R166" s="80"/>
    </row>
    <row r="167" spans="1:18" x14ac:dyDescent="0.3">
      <c r="A167" s="99"/>
      <c r="B167" s="78" t="s">
        <v>23</v>
      </c>
      <c r="C167" s="82" t="str" cm="1">
        <f t="array" ref="C167">UPPER(INDEX(_xlfn.TEXTSPLIT($D167, "-"), 3))</f>
        <v>IF</v>
      </c>
      <c r="D167" s="78" t="s">
        <v>925</v>
      </c>
      <c r="E167" s="78" t="s">
        <v>24</v>
      </c>
      <c r="F167" s="73" t="s">
        <v>1144</v>
      </c>
      <c r="G167" s="73" t="str">
        <f t="shared" ref="G167:G170" si="7">SUBSTITUTE(F167,"hazr-","")&amp;"-disk01"</f>
        <v>p-if-brpaap01-disk01</v>
      </c>
      <c r="H167" s="73" t="s">
        <v>179</v>
      </c>
      <c r="I167" s="73">
        <v>256</v>
      </c>
      <c r="J167" s="73" t="str">
        <f t="shared" ref="J167:J170" si="8">SUBSTITUTE(F167,"hazr-","")&amp;"-disk02"</f>
        <v>p-if-brpaap01-disk02</v>
      </c>
      <c r="K167" s="73" t="s">
        <v>179</v>
      </c>
      <c r="L167" s="73">
        <v>128</v>
      </c>
      <c r="M167" s="78">
        <v>1</v>
      </c>
      <c r="N167" s="78" t="s">
        <v>191</v>
      </c>
      <c r="O167" s="78" t="s">
        <v>317</v>
      </c>
      <c r="P167" s="78" t="s">
        <v>318</v>
      </c>
      <c r="Q167" s="78" t="b">
        <v>1</v>
      </c>
      <c r="R167" s="78"/>
    </row>
    <row r="168" spans="1:18" x14ac:dyDescent="0.3">
      <c r="A168" s="99"/>
      <c r="B168" s="80" t="s">
        <v>23</v>
      </c>
      <c r="C168" s="115" t="str" cm="1">
        <f t="array" ref="C168">UPPER(INDEX(_xlfn.TEXTSPLIT($D168, "-"), 3))</f>
        <v>IF</v>
      </c>
      <c r="D168" s="80" t="s">
        <v>925</v>
      </c>
      <c r="E168" s="80" t="s">
        <v>24</v>
      </c>
      <c r="F168" s="74" t="s">
        <v>1145</v>
      </c>
      <c r="G168" s="74" t="str">
        <f t="shared" si="7"/>
        <v>p-if-brpadb01-disk01</v>
      </c>
      <c r="H168" s="74" t="s">
        <v>179</v>
      </c>
      <c r="I168" s="74">
        <v>256</v>
      </c>
      <c r="J168" s="74" t="str">
        <f t="shared" si="8"/>
        <v>p-if-brpadb01-disk02</v>
      </c>
      <c r="K168" s="74" t="s">
        <v>179</v>
      </c>
      <c r="L168" s="74">
        <v>128</v>
      </c>
      <c r="M168" s="80">
        <v>2</v>
      </c>
      <c r="N168" s="80" t="s">
        <v>191</v>
      </c>
      <c r="O168" s="80" t="s">
        <v>317</v>
      </c>
      <c r="P168" s="80" t="s">
        <v>318</v>
      </c>
      <c r="Q168" s="80" t="b">
        <v>1</v>
      </c>
      <c r="R168" s="80"/>
    </row>
    <row r="169" spans="1:18" x14ac:dyDescent="0.3">
      <c r="A169" s="99"/>
      <c r="B169" s="78" t="s">
        <v>23</v>
      </c>
      <c r="C169" s="82" t="e" cm="1">
        <f t="array" ref="C169">UPPER(INDEX(_xlfn.TEXTSPLIT($D169, "-"), 3))</f>
        <v>#VALUE!</v>
      </c>
      <c r="D169" s="78"/>
      <c r="E169" s="78" t="s">
        <v>24</v>
      </c>
      <c r="F169" s="73"/>
      <c r="G169" s="73" t="str">
        <f t="shared" si="7"/>
        <v>-disk01</v>
      </c>
      <c r="H169" s="73" t="s">
        <v>179</v>
      </c>
      <c r="I169" s="73">
        <v>128</v>
      </c>
      <c r="J169" s="73" t="str">
        <f t="shared" si="8"/>
        <v>-disk02</v>
      </c>
      <c r="K169" s="73" t="s">
        <v>179</v>
      </c>
      <c r="L169" s="73">
        <v>128</v>
      </c>
      <c r="M169" s="78">
        <v>1</v>
      </c>
      <c r="N169" s="78" t="s">
        <v>191</v>
      </c>
      <c r="O169" s="78" t="s">
        <v>317</v>
      </c>
      <c r="P169" s="78" t="s">
        <v>318</v>
      </c>
      <c r="Q169" s="78" t="b">
        <v>1</v>
      </c>
      <c r="R169" s="78"/>
    </row>
    <row r="170" spans="1:18" x14ac:dyDescent="0.3">
      <c r="A170" s="99"/>
      <c r="B170" s="80" t="s">
        <v>23</v>
      </c>
      <c r="C170" s="115" t="e" cm="1">
        <f t="array" ref="C170">UPPER(INDEX(_xlfn.TEXTSPLIT($D170, "-"), 3))</f>
        <v>#VALUE!</v>
      </c>
      <c r="D170" s="80"/>
      <c r="E170" s="80" t="s">
        <v>24</v>
      </c>
      <c r="F170" s="115"/>
      <c r="G170" s="74" t="str">
        <f t="shared" si="7"/>
        <v>-disk01</v>
      </c>
      <c r="H170" s="74" t="s">
        <v>179</v>
      </c>
      <c r="I170" s="74">
        <v>128</v>
      </c>
      <c r="J170" s="74" t="str">
        <f t="shared" si="8"/>
        <v>-disk02</v>
      </c>
      <c r="K170" s="74" t="s">
        <v>179</v>
      </c>
      <c r="L170" s="74">
        <v>128</v>
      </c>
      <c r="M170" s="80">
        <v>2</v>
      </c>
      <c r="N170" s="80" t="s">
        <v>191</v>
      </c>
      <c r="O170" s="80" t="s">
        <v>317</v>
      </c>
      <c r="P170" s="80" t="s">
        <v>318</v>
      </c>
      <c r="Q170" s="80" t="b">
        <v>1</v>
      </c>
      <c r="R170" s="80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179"/>
  <sheetViews>
    <sheetView topLeftCell="A129" workbookViewId="0">
      <selection activeCell="J141" sqref="J141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09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09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09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962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962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962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962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962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962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962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962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962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962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962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962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962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962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962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962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962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962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962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962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962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963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963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963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963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963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963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963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963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963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962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962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962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962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962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988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988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988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988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963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963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962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962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962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962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962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962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6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962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6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962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962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962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962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962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962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962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962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962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962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962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962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962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962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962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962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962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962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962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963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963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962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962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964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964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964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964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964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964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965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965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965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965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965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965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965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965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966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966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967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967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966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966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968</v>
      </c>
      <c r="I122" s="73" t="s">
        <v>462</v>
      </c>
      <c r="J122" s="78" t="s">
        <v>315</v>
      </c>
      <c r="K122" s="73" t="str">
        <f t="shared" ref="K122:K157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46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968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964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964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964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964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964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PULS</v>
      </c>
      <c r="D131" s="74" t="s">
        <v>317</v>
      </c>
      <c r="E131" s="80" t="str">
        <f t="shared" si="5"/>
        <v>p-puls-db-nsg</v>
      </c>
      <c r="F131" s="74" t="s">
        <v>317</v>
      </c>
      <c r="G131" s="80" t="s">
        <v>233</v>
      </c>
      <c r="H131" s="74" t="s">
        <v>886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PULS</v>
      </c>
      <c r="D132" s="73" t="s">
        <v>317</v>
      </c>
      <c r="E132" s="78" t="str">
        <f t="shared" si="5"/>
        <v>p-puls-pe-nsg</v>
      </c>
      <c r="F132" s="73" t="s">
        <v>317</v>
      </c>
      <c r="G132" s="78" t="s">
        <v>233</v>
      </c>
      <c r="H132" s="73" t="s">
        <v>247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123"/>
      <c r="B139" s="80" t="s">
        <v>23</v>
      </c>
      <c r="C139" s="80" t="str" cm="1">
        <f t="array" ref="C139">UPPER(INDEX(_xlfn.TEXTSPLIT($E139, "-"), 2))</f>
        <v>CLV</v>
      </c>
      <c r="D139" s="74" t="s">
        <v>317</v>
      </c>
      <c r="E139" s="80" t="str">
        <f t="shared" si="5"/>
        <v>p-clv-db-nsg</v>
      </c>
      <c r="F139" s="74" t="s">
        <v>317</v>
      </c>
      <c r="G139" s="80" t="s">
        <v>233</v>
      </c>
      <c r="H139" s="74" t="s">
        <v>1162</v>
      </c>
      <c r="I139" s="74"/>
      <c r="J139" s="74"/>
      <c r="K139" s="74"/>
      <c r="L139" s="74" t="s">
        <v>228</v>
      </c>
      <c r="M139" s="74"/>
    </row>
    <row r="140" spans="1:13" x14ac:dyDescent="0.3">
      <c r="A140" s="123"/>
      <c r="B140" s="78" t="s">
        <v>23</v>
      </c>
      <c r="C140" s="78" t="str" cm="1">
        <f t="array" ref="C140">UPPER(INDEX(_xlfn.TEXTSPLIT($E140, "-"), 2))</f>
        <v>CLV</v>
      </c>
      <c r="D140" s="73" t="s">
        <v>317</v>
      </c>
      <c r="E140" s="78" t="str">
        <f t="shared" si="5"/>
        <v>p-clv-pe-nsg</v>
      </c>
      <c r="F140" s="73" t="s">
        <v>317</v>
      </c>
      <c r="G140" s="78" t="s">
        <v>233</v>
      </c>
      <c r="H140" s="73" t="s">
        <v>1163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74" t="s">
        <v>317</v>
      </c>
      <c r="E147" s="74" t="str">
        <f>IF(OR(L147="X", L147=""), SUBSTITUTE(H147,"-sbn","")&amp;"-nsg", IF(L147="O", SUBSTITUTE(I147,"hazr-","")&amp;"-nsg", ""))</f>
        <v>p-dtg-bbigeoap01-nsg</v>
      </c>
      <c r="F147" s="74" t="s">
        <v>317</v>
      </c>
      <c r="G147" s="74" t="s">
        <v>338</v>
      </c>
      <c r="H147" s="74" t="s">
        <v>962</v>
      </c>
      <c r="I147" s="74" t="s">
        <v>1018</v>
      </c>
      <c r="J147" s="74" t="s">
        <v>923</v>
      </c>
      <c r="K147" s="74" t="str">
        <f t="shared" si="4"/>
        <v>p-dtg-bbigeoap01-nic</v>
      </c>
      <c r="L147" s="74" t="s">
        <v>1024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3" t="s">
        <v>317</v>
      </c>
      <c r="E148" s="73" t="str">
        <f t="shared" ref="E148:E157" si="6">IF(OR(L148="X", L148=""), SUBSTITUTE(H148,"-sbn","")&amp;"-nsg", IF(L148="O", SUBSTITUTE(I148,"hazr-","")&amp;"-nsg", ""))</f>
        <v>p-dtg-bbigeoap02-nsg</v>
      </c>
      <c r="F148" s="73" t="s">
        <v>317</v>
      </c>
      <c r="G148" s="73" t="s">
        <v>338</v>
      </c>
      <c r="H148" s="73" t="s">
        <v>962</v>
      </c>
      <c r="I148" s="73" t="s">
        <v>1019</v>
      </c>
      <c r="J148" s="73" t="s">
        <v>923</v>
      </c>
      <c r="K148" s="73" t="str">
        <f t="shared" si="4"/>
        <v>p-dtg-bbigeoap02-nic</v>
      </c>
      <c r="L148" s="73" t="s">
        <v>1024</v>
      </c>
      <c r="M148" s="73"/>
    </row>
    <row r="149" spans="1:13" x14ac:dyDescent="0.3">
      <c r="A149" s="90"/>
      <c r="B149" s="80" t="s">
        <v>23</v>
      </c>
      <c r="C149" s="74" t="str" cm="1">
        <f t="array" ref="C149">UPPER(INDEX(_xlfn.TEXTSPLIT($E149, "-"), 2))</f>
        <v>IF</v>
      </c>
      <c r="D149" s="74" t="s">
        <v>317</v>
      </c>
      <c r="E149" s="74" t="str">
        <f t="shared" si="6"/>
        <v>p-if-hipsap01-nsg</v>
      </c>
      <c r="F149" s="74" t="s">
        <v>317</v>
      </c>
      <c r="G149" s="74" t="s">
        <v>338</v>
      </c>
      <c r="H149" s="74" t="s">
        <v>965</v>
      </c>
      <c r="I149" s="74" t="s">
        <v>1031</v>
      </c>
      <c r="J149" s="74" t="s">
        <v>925</v>
      </c>
      <c r="K149" s="74" t="str">
        <f t="shared" si="4"/>
        <v>p-if-hipsap01-nic</v>
      </c>
      <c r="L149" s="74" t="s">
        <v>226</v>
      </c>
      <c r="M149" s="74"/>
    </row>
    <row r="150" spans="1:13" x14ac:dyDescent="0.3">
      <c r="A150" s="90"/>
      <c r="B150" s="78" t="s">
        <v>23</v>
      </c>
      <c r="C150" s="114" t="str" cm="1">
        <f t="array" ref="C150">UPPER(INDEX(_xlfn.TEXTSPLIT($E150, "-"), 2))</f>
        <v>COM</v>
      </c>
      <c r="D150" s="114" t="s">
        <v>317</v>
      </c>
      <c r="E150" s="73" t="str">
        <f t="shared" si="6"/>
        <v>p-com-esnweb01-nsg</v>
      </c>
      <c r="F150" s="73" t="s">
        <v>317</v>
      </c>
      <c r="G150" s="114" t="s">
        <v>345</v>
      </c>
      <c r="H150" s="114" t="s">
        <v>1045</v>
      </c>
      <c r="I150" s="114" t="s">
        <v>1036</v>
      </c>
      <c r="J150" s="114" t="s">
        <v>1035</v>
      </c>
      <c r="K150" s="73" t="str">
        <f t="shared" si="4"/>
        <v>p-com-esnweb01-nic</v>
      </c>
      <c r="L150" s="114" t="s">
        <v>226</v>
      </c>
      <c r="M150" s="114"/>
    </row>
    <row r="151" spans="1:13" x14ac:dyDescent="0.3">
      <c r="A151" s="90"/>
      <c r="B151" s="80" t="s">
        <v>23</v>
      </c>
      <c r="C151" s="115" t="str" cm="1">
        <f t="array" ref="C151">UPPER(INDEX(_xlfn.TEXTSPLIT($E151, "-"), 2))</f>
        <v>COM</v>
      </c>
      <c r="D151" s="115" t="s">
        <v>317</v>
      </c>
      <c r="E151" s="74" t="str">
        <f t="shared" si="6"/>
        <v>p-com-esnweb02-nsg</v>
      </c>
      <c r="F151" s="74" t="s">
        <v>317</v>
      </c>
      <c r="G151" s="115" t="s">
        <v>345</v>
      </c>
      <c r="H151" s="115" t="s">
        <v>240</v>
      </c>
      <c r="I151" s="115" t="s">
        <v>1037</v>
      </c>
      <c r="J151" s="115" t="s">
        <v>1035</v>
      </c>
      <c r="K151" s="74" t="str">
        <f t="shared" si="4"/>
        <v>p-com-esnweb02-nic</v>
      </c>
      <c r="L151" s="115" t="s">
        <v>226</v>
      </c>
      <c r="M151" s="115"/>
    </row>
    <row r="152" spans="1:13" x14ac:dyDescent="0.3">
      <c r="A152" s="90"/>
      <c r="B152" s="78" t="s">
        <v>23</v>
      </c>
      <c r="C152" s="114" t="str" cm="1">
        <f t="array" ref="C152">UPPER(INDEX(_xlfn.TEXTSPLIT($E152, "-"), 2))</f>
        <v>COM</v>
      </c>
      <c r="D152" s="114" t="s">
        <v>317</v>
      </c>
      <c r="E152" s="73" t="str">
        <f t="shared" si="6"/>
        <v>p-com-esnap01-nsg</v>
      </c>
      <c r="F152" s="73" t="s">
        <v>317</v>
      </c>
      <c r="G152" s="114" t="s">
        <v>338</v>
      </c>
      <c r="H152" s="114" t="s">
        <v>1054</v>
      </c>
      <c r="I152" s="114" t="s">
        <v>1038</v>
      </c>
      <c r="J152" s="114" t="s">
        <v>1035</v>
      </c>
      <c r="K152" s="73" t="str">
        <f t="shared" si="4"/>
        <v>p-com-esnap01-nic</v>
      </c>
      <c r="L152" s="114" t="s">
        <v>226</v>
      </c>
      <c r="M152" s="114"/>
    </row>
    <row r="153" spans="1:13" x14ac:dyDescent="0.3">
      <c r="A153" s="90"/>
      <c r="B153" s="80" t="s">
        <v>23</v>
      </c>
      <c r="C153" s="115" t="str" cm="1">
        <f t="array" ref="C153">UPPER(INDEX(_xlfn.TEXTSPLIT($E153, "-"), 2))</f>
        <v>COM</v>
      </c>
      <c r="D153" s="115" t="s">
        <v>317</v>
      </c>
      <c r="E153" s="74" t="str">
        <f t="shared" si="6"/>
        <v>p-com-esnap02-nsg</v>
      </c>
      <c r="F153" s="74" t="s">
        <v>317</v>
      </c>
      <c r="G153" s="115" t="s">
        <v>338</v>
      </c>
      <c r="H153" s="115" t="s">
        <v>1054</v>
      </c>
      <c r="I153" s="115" t="s">
        <v>1039</v>
      </c>
      <c r="J153" s="115" t="s">
        <v>1035</v>
      </c>
      <c r="K153" s="74" t="str">
        <f t="shared" si="4"/>
        <v>p-com-esnap02-nic</v>
      </c>
      <c r="L153" s="115" t="s">
        <v>226</v>
      </c>
      <c r="M153" s="115"/>
    </row>
    <row r="154" spans="1:13" x14ac:dyDescent="0.3">
      <c r="A154" s="90"/>
      <c r="B154" s="78" t="s">
        <v>23</v>
      </c>
      <c r="C154" s="114" t="s">
        <v>1055</v>
      </c>
      <c r="D154" s="114" t="s">
        <v>317</v>
      </c>
      <c r="E154" s="73" t="str">
        <f t="shared" si="6"/>
        <v>az-p-int-host1-nsg</v>
      </c>
      <c r="F154" s="73" t="s">
        <v>317</v>
      </c>
      <c r="G154" s="114" t="s">
        <v>338</v>
      </c>
      <c r="H154" s="114" t="s">
        <v>1063</v>
      </c>
      <c r="I154" s="114" t="s">
        <v>1057</v>
      </c>
      <c r="J154" s="114" t="s">
        <v>1056</v>
      </c>
      <c r="K154" s="73" t="str">
        <f t="shared" si="4"/>
        <v>az-p-int-host1-nic</v>
      </c>
      <c r="L154" s="114" t="s">
        <v>226</v>
      </c>
      <c r="M154" s="114"/>
    </row>
    <row r="155" spans="1:13" x14ac:dyDescent="0.3">
      <c r="A155" s="90"/>
      <c r="B155" s="80" t="s">
        <v>23</v>
      </c>
      <c r="C155" s="115" t="s">
        <v>1055</v>
      </c>
      <c r="D155" s="115" t="s">
        <v>317</v>
      </c>
      <c r="E155" s="74" t="str">
        <f t="shared" si="6"/>
        <v>az-p-int-host2-nsg</v>
      </c>
      <c r="F155" s="74" t="s">
        <v>317</v>
      </c>
      <c r="G155" s="115" t="s">
        <v>338</v>
      </c>
      <c r="H155" s="115" t="s">
        <v>1063</v>
      </c>
      <c r="I155" s="115" t="s">
        <v>1058</v>
      </c>
      <c r="J155" s="115" t="s">
        <v>1056</v>
      </c>
      <c r="K155" s="74" t="str">
        <f t="shared" si="4"/>
        <v>az-p-int-host2-nic</v>
      </c>
      <c r="L155" s="115" t="s">
        <v>226</v>
      </c>
      <c r="M155" s="115"/>
    </row>
    <row r="156" spans="1:13" x14ac:dyDescent="0.3">
      <c r="A156" s="90"/>
      <c r="B156" s="78" t="s">
        <v>23</v>
      </c>
      <c r="C156" s="114" t="s">
        <v>1055</v>
      </c>
      <c r="D156" s="114" t="s">
        <v>317</v>
      </c>
      <c r="E156" s="73" t="str">
        <f t="shared" si="6"/>
        <v>az-p-int-host3-nsg</v>
      </c>
      <c r="F156" s="73" t="s">
        <v>317</v>
      </c>
      <c r="G156" s="114" t="s">
        <v>338</v>
      </c>
      <c r="H156" s="114" t="s">
        <v>1063</v>
      </c>
      <c r="I156" s="114" t="s">
        <v>1064</v>
      </c>
      <c r="J156" s="114" t="s">
        <v>1056</v>
      </c>
      <c r="K156" s="73" t="str">
        <f t="shared" si="4"/>
        <v>az-p-int-host3-nic</v>
      </c>
      <c r="L156" s="114" t="s">
        <v>226</v>
      </c>
      <c r="M156" s="114"/>
    </row>
    <row r="157" spans="1:13" x14ac:dyDescent="0.3">
      <c r="A157" s="90"/>
      <c r="B157" s="80" t="s">
        <v>23</v>
      </c>
      <c r="C157" s="115" t="s">
        <v>1055</v>
      </c>
      <c r="D157" s="115" t="s">
        <v>317</v>
      </c>
      <c r="E157" s="74" t="str">
        <f t="shared" si="6"/>
        <v>az-p-int-host4-nsg</v>
      </c>
      <c r="F157" s="74" t="s">
        <v>317</v>
      </c>
      <c r="G157" s="115" t="s">
        <v>338</v>
      </c>
      <c r="H157" s="115" t="s">
        <v>1063</v>
      </c>
      <c r="I157" s="115" t="s">
        <v>1065</v>
      </c>
      <c r="J157" s="115" t="s">
        <v>1056</v>
      </c>
      <c r="K157" s="74" t="str">
        <f t="shared" si="4"/>
        <v>az-p-int-host4-nic</v>
      </c>
      <c r="L157" s="115" t="s">
        <v>226</v>
      </c>
      <c r="M157" s="115"/>
    </row>
    <row r="158" spans="1:13" x14ac:dyDescent="0.3">
      <c r="A158" s="90"/>
      <c r="B158" s="78" t="s">
        <v>23</v>
      </c>
      <c r="C158" s="114" t="str" cm="1">
        <f t="array" ref="C158">UPPER(INDEX(_xlfn.TEXTSPLIT($E158, "-"), 2))</f>
        <v>BDP</v>
      </c>
      <c r="D158" s="114" t="s">
        <v>317</v>
      </c>
      <c r="E158" s="73" t="str">
        <f t="shared" ref="E158:E177" si="7">IF(OR(L158="X", L158=""), SUBSTITUTE(H158,"-sbn","")&amp;"-nsg", IF(L158="O", SUBSTITUTE(I158,"hazr-","")&amp;"-nsg", ""))</f>
        <v>p-bdp-rlgcweb01-nsg</v>
      </c>
      <c r="F158" s="73" t="s">
        <v>317</v>
      </c>
      <c r="G158" s="114" t="s">
        <v>345</v>
      </c>
      <c r="H158" s="114" t="s">
        <v>1083</v>
      </c>
      <c r="I158" s="114" t="s">
        <v>1070</v>
      </c>
      <c r="J158" s="114" t="s">
        <v>1068</v>
      </c>
      <c r="K158" s="73" t="str">
        <f t="shared" ref="K158:K162" si="8">SUBSTITUTE(I158,"hazr-","")&amp;"-nic"</f>
        <v>p-bdp-rlgcweb01-nic</v>
      </c>
      <c r="L158" s="114" t="s">
        <v>226</v>
      </c>
      <c r="M158" s="114"/>
    </row>
    <row r="159" spans="1:13" x14ac:dyDescent="0.3">
      <c r="A159" s="90"/>
      <c r="B159" s="80" t="s">
        <v>23</v>
      </c>
      <c r="C159" s="115" t="str" cm="1">
        <f t="array" ref="C159">UPPER(INDEX(_xlfn.TEXTSPLIT($E159, "-"), 2))</f>
        <v>BDP</v>
      </c>
      <c r="D159" s="115" t="s">
        <v>317</v>
      </c>
      <c r="E159" s="74" t="str">
        <f t="shared" si="7"/>
        <v>p-bdp-rlgcweb02-nsg</v>
      </c>
      <c r="F159" s="74" t="s">
        <v>317</v>
      </c>
      <c r="G159" s="115" t="s">
        <v>345</v>
      </c>
      <c r="H159" s="115" t="s">
        <v>1083</v>
      </c>
      <c r="I159" s="115" t="s">
        <v>1071</v>
      </c>
      <c r="J159" s="115" t="s">
        <v>1068</v>
      </c>
      <c r="K159" s="74" t="str">
        <f t="shared" si="8"/>
        <v>p-bdp-rlgcweb02-nic</v>
      </c>
      <c r="L159" s="115" t="s">
        <v>226</v>
      </c>
      <c r="M159" s="115"/>
    </row>
    <row r="160" spans="1:13" x14ac:dyDescent="0.3">
      <c r="A160" s="90"/>
      <c r="B160" s="78" t="s">
        <v>23</v>
      </c>
      <c r="C160" s="114" t="str" cm="1">
        <f t="array" ref="C160">UPPER(INDEX(_xlfn.TEXTSPLIT($E160, "-"), 2))</f>
        <v>BDP</v>
      </c>
      <c r="D160" s="114" t="s">
        <v>317</v>
      </c>
      <c r="E160" s="73" t="str">
        <f t="shared" si="7"/>
        <v>p-bdp-rlgcap01-nsg</v>
      </c>
      <c r="F160" s="73" t="s">
        <v>317</v>
      </c>
      <c r="G160" s="114" t="s">
        <v>338</v>
      </c>
      <c r="H160" s="114" t="s">
        <v>1063</v>
      </c>
      <c r="I160" s="73" t="s">
        <v>1072</v>
      </c>
      <c r="J160" s="114" t="s">
        <v>1068</v>
      </c>
      <c r="K160" s="73" t="str">
        <f t="shared" si="8"/>
        <v>p-bdp-rlgcap01-nic</v>
      </c>
      <c r="L160" s="114" t="s">
        <v>226</v>
      </c>
      <c r="M160" s="114"/>
    </row>
    <row r="161" spans="1:13" x14ac:dyDescent="0.3">
      <c r="A161" s="90"/>
      <c r="B161" s="80" t="s">
        <v>23</v>
      </c>
      <c r="C161" s="115" t="str" cm="1">
        <f t="array" ref="C161">UPPER(INDEX(_xlfn.TEXTSPLIT($E161, "-"), 2))</f>
        <v>BDP</v>
      </c>
      <c r="D161" s="115" t="s">
        <v>317</v>
      </c>
      <c r="E161" s="74" t="str">
        <f t="shared" si="7"/>
        <v>p-bdp-rlgcap02-nsg</v>
      </c>
      <c r="F161" s="74" t="s">
        <v>317</v>
      </c>
      <c r="G161" s="115" t="s">
        <v>338</v>
      </c>
      <c r="H161" s="115" t="s">
        <v>1063</v>
      </c>
      <c r="I161" s="74" t="s">
        <v>1073</v>
      </c>
      <c r="J161" s="115" t="s">
        <v>1068</v>
      </c>
      <c r="K161" s="74" t="str">
        <f t="shared" si="8"/>
        <v>p-bdp-rlgcap02-nic</v>
      </c>
      <c r="L161" s="115" t="s">
        <v>226</v>
      </c>
      <c r="M161" s="115"/>
    </row>
    <row r="162" spans="1:13" x14ac:dyDescent="0.3">
      <c r="A162" s="90"/>
      <c r="B162" s="78" t="s">
        <v>23</v>
      </c>
      <c r="C162" s="114" t="str" cm="1">
        <f t="array" ref="C162">UPPER(INDEX(_xlfn.TEXTSPLIT($E162, "-"), 2))</f>
        <v>BDP</v>
      </c>
      <c r="D162" s="114" t="s">
        <v>317</v>
      </c>
      <c r="E162" s="73" t="str">
        <f t="shared" si="7"/>
        <v>p-bdp-rlgcap03-nsg</v>
      </c>
      <c r="F162" s="73" t="s">
        <v>317</v>
      </c>
      <c r="G162" s="114" t="s">
        <v>338</v>
      </c>
      <c r="H162" s="114" t="s">
        <v>1063</v>
      </c>
      <c r="I162" s="73" t="s">
        <v>1074</v>
      </c>
      <c r="J162" s="114" t="s">
        <v>1068</v>
      </c>
      <c r="K162" s="73" t="str">
        <f t="shared" si="8"/>
        <v>p-bdp-rlgcap03-nic</v>
      </c>
      <c r="L162" s="114" t="s">
        <v>226</v>
      </c>
      <c r="M162" s="114"/>
    </row>
    <row r="163" spans="1:13" x14ac:dyDescent="0.3">
      <c r="A163" s="90"/>
      <c r="B163" s="115" t="s">
        <v>1095</v>
      </c>
      <c r="C163" s="115" t="str" cm="1">
        <f t="array" ref="C163">UPPER(INDEX(_xlfn.TEXTSPLIT($E163, "-"), 2))</f>
        <v>IF</v>
      </c>
      <c r="D163" s="115" t="s">
        <v>317</v>
      </c>
      <c r="E163" s="115" t="str">
        <f t="shared" si="7"/>
        <v>p-if-sastweb01-nsg</v>
      </c>
      <c r="F163" s="115" t="s">
        <v>317</v>
      </c>
      <c r="G163" s="115" t="s">
        <v>1106</v>
      </c>
      <c r="H163" s="115" t="s">
        <v>965</v>
      </c>
      <c r="I163" s="115" t="s">
        <v>1093</v>
      </c>
      <c r="J163" s="115" t="s">
        <v>925</v>
      </c>
      <c r="K163" s="115" t="str">
        <f t="shared" ref="K163:K165" si="9">SUBSTITUTE(I163,"hazr-","")&amp;"-nic"</f>
        <v>p-if-sastweb01-nic</v>
      </c>
      <c r="L163" s="115" t="s">
        <v>226</v>
      </c>
      <c r="M163" s="115"/>
    </row>
    <row r="164" spans="1:13" x14ac:dyDescent="0.3">
      <c r="A164" s="90"/>
      <c r="B164" s="114" t="s">
        <v>1095</v>
      </c>
      <c r="C164" s="114" t="str" cm="1">
        <f t="array" ref="C164">UPPER(INDEX(_xlfn.TEXTSPLIT($E164, "-"), 2))</f>
        <v>SEC</v>
      </c>
      <c r="D164" s="114" t="s">
        <v>317</v>
      </c>
      <c r="E164" s="114" t="str">
        <f t="shared" si="7"/>
        <v>p-sec-mevrsol01-nsg</v>
      </c>
      <c r="F164" s="114" t="s">
        <v>317</v>
      </c>
      <c r="G164" s="114" t="s">
        <v>345</v>
      </c>
      <c r="H164" s="114" t="s">
        <v>1107</v>
      </c>
      <c r="I164" s="114" t="s">
        <v>1103</v>
      </c>
      <c r="J164" s="114" t="s">
        <v>1109</v>
      </c>
      <c r="K164" s="114" t="str">
        <f t="shared" si="9"/>
        <v>p-sec-mevrsol01-nic</v>
      </c>
      <c r="L164" s="114" t="s">
        <v>226</v>
      </c>
      <c r="M164" s="114"/>
    </row>
    <row r="165" spans="1:13" x14ac:dyDescent="0.3">
      <c r="A165" s="90"/>
      <c r="B165" s="115" t="s">
        <v>1095</v>
      </c>
      <c r="C165" s="115" t="str" cm="1">
        <f t="array" ref="C165">UPPER(INDEX(_xlfn.TEXTSPLIT($E165, "-"), 2))</f>
        <v>SEC</v>
      </c>
      <c r="D165" s="115" t="s">
        <v>317</v>
      </c>
      <c r="E165" s="115" t="str">
        <f t="shared" si="7"/>
        <v>p-sec-mevrsol02-nsg</v>
      </c>
      <c r="F165" s="115" t="s">
        <v>317</v>
      </c>
      <c r="G165" s="115" t="s">
        <v>345</v>
      </c>
      <c r="H165" s="115" t="s">
        <v>1107</v>
      </c>
      <c r="I165" s="115" t="s">
        <v>1104</v>
      </c>
      <c r="J165" s="115" t="s">
        <v>1109</v>
      </c>
      <c r="K165" s="115" t="str">
        <f t="shared" si="9"/>
        <v>p-sec-mevrsol02-nic</v>
      </c>
      <c r="L165" s="115" t="s">
        <v>226</v>
      </c>
      <c r="M165" s="115"/>
    </row>
    <row r="166" spans="1:13" x14ac:dyDescent="0.3">
      <c r="A166" s="90"/>
      <c r="B166" s="114" t="s">
        <v>23</v>
      </c>
      <c r="C166" s="114" t="str" cm="1">
        <f t="array" ref="C166">UPPER(INDEX(_xlfn.TEXTSPLIT($E166, "-"), 2))</f>
        <v>CLV</v>
      </c>
      <c r="D166" s="114" t="s">
        <v>317</v>
      </c>
      <c r="E166" s="114" t="str">
        <f t="shared" si="7"/>
        <v>p-clv-web01-nsg</v>
      </c>
      <c r="F166" s="114" t="s">
        <v>317</v>
      </c>
      <c r="G166" s="114" t="s">
        <v>338</v>
      </c>
      <c r="H166" s="114" t="s">
        <v>1147</v>
      </c>
      <c r="I166" s="82" t="s">
        <v>1134</v>
      </c>
      <c r="J166" s="114" t="s">
        <v>922</v>
      </c>
      <c r="K166" s="114" t="str">
        <f t="shared" ref="K166:K175" si="10">SUBSTITUTE(I166,"hazr-","")&amp;"-nic"</f>
        <v>p-clv-web01-nic</v>
      </c>
      <c r="L166" s="114" t="s">
        <v>226</v>
      </c>
      <c r="M166" s="114"/>
    </row>
    <row r="167" spans="1:13" x14ac:dyDescent="0.3">
      <c r="A167" s="90"/>
      <c r="B167" s="115" t="s">
        <v>23</v>
      </c>
      <c r="C167" s="115" t="str" cm="1">
        <f t="array" ref="C167">UPPER(INDEX(_xlfn.TEXTSPLIT($E167, "-"), 2))</f>
        <v>CLV</v>
      </c>
      <c r="D167" s="115" t="s">
        <v>317</v>
      </c>
      <c r="E167" s="115" t="str">
        <f t="shared" si="7"/>
        <v>p-clv-web02-nsg</v>
      </c>
      <c r="F167" s="115" t="s">
        <v>317</v>
      </c>
      <c r="G167" s="115" t="s">
        <v>338</v>
      </c>
      <c r="H167" s="115" t="s">
        <v>1147</v>
      </c>
      <c r="I167" s="74" t="s">
        <v>1135</v>
      </c>
      <c r="J167" s="115" t="s">
        <v>922</v>
      </c>
      <c r="K167" s="115" t="str">
        <f t="shared" si="10"/>
        <v>p-clv-web02-nic</v>
      </c>
      <c r="L167" s="115" t="s">
        <v>226</v>
      </c>
      <c r="M167" s="115"/>
    </row>
    <row r="168" spans="1:13" x14ac:dyDescent="0.3">
      <c r="A168" s="90"/>
      <c r="B168" s="114" t="s">
        <v>23</v>
      </c>
      <c r="C168" s="114" t="str" cm="1">
        <f t="array" ref="C168">UPPER(INDEX(_xlfn.TEXTSPLIT($E168, "-"), 2))</f>
        <v>CLV</v>
      </c>
      <c r="D168" s="114" t="s">
        <v>317</v>
      </c>
      <c r="E168" s="114" t="str">
        <f t="shared" si="7"/>
        <v>p-clv-ap01-nsg</v>
      </c>
      <c r="F168" s="114" t="s">
        <v>317</v>
      </c>
      <c r="G168" s="114" t="s">
        <v>338</v>
      </c>
      <c r="H168" s="114" t="s">
        <v>1148</v>
      </c>
      <c r="I168" s="82" t="s">
        <v>1136</v>
      </c>
      <c r="J168" s="114" t="s">
        <v>922</v>
      </c>
      <c r="K168" s="114" t="str">
        <f t="shared" si="10"/>
        <v>p-clv-ap01-nic</v>
      </c>
      <c r="L168" s="114" t="s">
        <v>226</v>
      </c>
      <c r="M168" s="114"/>
    </row>
    <row r="169" spans="1:13" x14ac:dyDescent="0.3">
      <c r="A169" s="90"/>
      <c r="B169" s="115" t="s">
        <v>23</v>
      </c>
      <c r="C169" s="115" t="str" cm="1">
        <f t="array" ref="C169">UPPER(INDEX(_xlfn.TEXTSPLIT($E169, "-"), 2))</f>
        <v>CLV</v>
      </c>
      <c r="D169" s="115" t="s">
        <v>317</v>
      </c>
      <c r="E169" s="115" t="str">
        <f t="shared" si="7"/>
        <v>p-clv-ap02-nsg</v>
      </c>
      <c r="F169" s="115" t="s">
        <v>317</v>
      </c>
      <c r="G169" s="115" t="s">
        <v>338</v>
      </c>
      <c r="H169" s="115" t="s">
        <v>1148</v>
      </c>
      <c r="I169" s="74" t="s">
        <v>1137</v>
      </c>
      <c r="J169" s="115" t="s">
        <v>922</v>
      </c>
      <c r="K169" s="115" t="str">
        <f t="shared" si="10"/>
        <v>p-clv-ap02-nic</v>
      </c>
      <c r="L169" s="115" t="s">
        <v>226</v>
      </c>
      <c r="M169" s="115"/>
    </row>
    <row r="170" spans="1:13" x14ac:dyDescent="0.3">
      <c r="A170" s="90"/>
      <c r="B170" s="114" t="s">
        <v>23</v>
      </c>
      <c r="C170" s="114" t="str" cm="1">
        <f t="array" ref="C170">UPPER(INDEX(_xlfn.TEXTSPLIT($E170, "-"), 2))</f>
        <v>CLV</v>
      </c>
      <c r="D170" s="114" t="s">
        <v>317</v>
      </c>
      <c r="E170" s="114" t="str">
        <f t="shared" si="7"/>
        <v>p-clv-ssrap01-nsg</v>
      </c>
      <c r="F170" s="114" t="s">
        <v>317</v>
      </c>
      <c r="G170" s="114" t="s">
        <v>338</v>
      </c>
      <c r="H170" s="114" t="s">
        <v>1148</v>
      </c>
      <c r="I170" s="82" t="s">
        <v>1138</v>
      </c>
      <c r="J170" s="114" t="s">
        <v>922</v>
      </c>
      <c r="K170" s="114" t="str">
        <f t="shared" si="10"/>
        <v>p-clv-ssrap01-nic</v>
      </c>
      <c r="L170" s="114" t="s">
        <v>226</v>
      </c>
      <c r="M170" s="114"/>
    </row>
    <row r="171" spans="1:13" x14ac:dyDescent="0.3">
      <c r="A171" s="90"/>
      <c r="B171" s="115" t="s">
        <v>23</v>
      </c>
      <c r="C171" s="115" t="str" cm="1">
        <f t="array" ref="C171">UPPER(INDEX(_xlfn.TEXTSPLIT($E171, "-"), 2))</f>
        <v>CLV</v>
      </c>
      <c r="D171" s="115" t="s">
        <v>317</v>
      </c>
      <c r="E171" s="115" t="str">
        <f t="shared" si="7"/>
        <v>p-clv-ssrap02-nsg</v>
      </c>
      <c r="F171" s="115" t="s">
        <v>317</v>
      </c>
      <c r="G171" s="115" t="s">
        <v>338</v>
      </c>
      <c r="H171" s="115" t="s">
        <v>1148</v>
      </c>
      <c r="I171" s="74" t="s">
        <v>1139</v>
      </c>
      <c r="J171" s="115" t="s">
        <v>922</v>
      </c>
      <c r="K171" s="115" t="str">
        <f t="shared" si="10"/>
        <v>p-clv-ssrap02-nic</v>
      </c>
      <c r="L171" s="115" t="s">
        <v>226</v>
      </c>
      <c r="M171" s="115"/>
    </row>
    <row r="172" spans="1:13" x14ac:dyDescent="0.3">
      <c r="A172" s="90"/>
      <c r="B172" s="114" t="s">
        <v>23</v>
      </c>
      <c r="C172" s="114" t="str" cm="1">
        <f t="array" ref="C172">UPPER(INDEX(_xlfn.TEXTSPLIT($E172, "-"), 2))</f>
        <v>CLV</v>
      </c>
      <c r="D172" s="114" t="s">
        <v>317</v>
      </c>
      <c r="E172" s="114" t="str">
        <f t="shared" si="7"/>
        <v>p-clv-admweb01-nsg</v>
      </c>
      <c r="F172" s="114" t="s">
        <v>317</v>
      </c>
      <c r="G172" s="114" t="s">
        <v>338</v>
      </c>
      <c r="H172" s="114" t="s">
        <v>1148</v>
      </c>
      <c r="I172" s="82" t="s">
        <v>1140</v>
      </c>
      <c r="J172" s="114" t="s">
        <v>922</v>
      </c>
      <c r="K172" s="114" t="str">
        <f t="shared" si="10"/>
        <v>p-clv-admweb01-nic</v>
      </c>
      <c r="L172" s="114" t="s">
        <v>226</v>
      </c>
      <c r="M172" s="114"/>
    </row>
    <row r="173" spans="1:13" x14ac:dyDescent="0.3">
      <c r="A173" s="90"/>
      <c r="B173" s="115" t="s">
        <v>23</v>
      </c>
      <c r="C173" s="115" t="str" cm="1">
        <f t="array" ref="C173">UPPER(INDEX(_xlfn.TEXTSPLIT($E173, "-"), 2))</f>
        <v>CLV</v>
      </c>
      <c r="D173" s="115" t="s">
        <v>317</v>
      </c>
      <c r="E173" s="115" t="str">
        <f t="shared" si="7"/>
        <v>p-clv-admweb02-nsg</v>
      </c>
      <c r="F173" s="115" t="s">
        <v>317</v>
      </c>
      <c r="G173" s="115" t="s">
        <v>338</v>
      </c>
      <c r="H173" s="115" t="s">
        <v>1148</v>
      </c>
      <c r="I173" s="74" t="s">
        <v>1141</v>
      </c>
      <c r="J173" s="115" t="s">
        <v>922</v>
      </c>
      <c r="K173" s="115" t="str">
        <f t="shared" si="10"/>
        <v>p-clv-admweb02-nic</v>
      </c>
      <c r="L173" s="115" t="s">
        <v>226</v>
      </c>
      <c r="M173" s="115"/>
    </row>
    <row r="174" spans="1:13" x14ac:dyDescent="0.3">
      <c r="A174" s="90"/>
      <c r="B174" s="114" t="s">
        <v>23</v>
      </c>
      <c r="C174" s="114" t="str" cm="1">
        <f t="array" ref="C174">UPPER(INDEX(_xlfn.TEXTSPLIT($E174, "-"), 2))</f>
        <v>CLV</v>
      </c>
      <c r="D174" s="114" t="s">
        <v>317</v>
      </c>
      <c r="E174" s="114" t="str">
        <f t="shared" si="7"/>
        <v>p-clv-admap01-nsg</v>
      </c>
      <c r="F174" s="114" t="s">
        <v>317</v>
      </c>
      <c r="G174" s="114" t="s">
        <v>338</v>
      </c>
      <c r="H174" s="114" t="s">
        <v>1148</v>
      </c>
      <c r="I174" s="82" t="s">
        <v>1142</v>
      </c>
      <c r="J174" s="114" t="s">
        <v>922</v>
      </c>
      <c r="K174" s="114" t="str">
        <f t="shared" si="10"/>
        <v>p-clv-admap01-nic</v>
      </c>
      <c r="L174" s="114" t="s">
        <v>226</v>
      </c>
      <c r="M174" s="114"/>
    </row>
    <row r="175" spans="1:13" x14ac:dyDescent="0.3">
      <c r="A175" s="90"/>
      <c r="B175" s="115" t="s">
        <v>23</v>
      </c>
      <c r="C175" s="115" t="str" cm="1">
        <f t="array" ref="C175">UPPER(INDEX(_xlfn.TEXTSPLIT($E175, "-"), 2))</f>
        <v>CLV</v>
      </c>
      <c r="D175" s="115" t="s">
        <v>317</v>
      </c>
      <c r="E175" s="115" t="str">
        <f t="shared" si="7"/>
        <v>p-clv-admap02-nsg</v>
      </c>
      <c r="F175" s="115" t="s">
        <v>317</v>
      </c>
      <c r="G175" s="115" t="s">
        <v>338</v>
      </c>
      <c r="H175" s="115" t="s">
        <v>1148</v>
      </c>
      <c r="I175" s="115" t="s">
        <v>1143</v>
      </c>
      <c r="J175" s="115" t="s">
        <v>922</v>
      </c>
      <c r="K175" s="115" t="str">
        <f t="shared" si="10"/>
        <v>p-clv-admap02-nic</v>
      </c>
      <c r="L175" s="115" t="s">
        <v>226</v>
      </c>
      <c r="M175" s="115"/>
    </row>
    <row r="176" spans="1:13" x14ac:dyDescent="0.3">
      <c r="B176" s="114" t="s">
        <v>23</v>
      </c>
      <c r="C176" s="114" t="str" cm="1">
        <f t="array" ref="C176">UPPER(INDEX(_xlfn.TEXTSPLIT($E176, "-"), 2))</f>
        <v>IF</v>
      </c>
      <c r="D176" s="114" t="s">
        <v>317</v>
      </c>
      <c r="E176" s="114" t="str">
        <f t="shared" si="7"/>
        <v>p-if-brpaap01-nsg</v>
      </c>
      <c r="F176" s="114" t="s">
        <v>317</v>
      </c>
      <c r="G176" s="114" t="s">
        <v>338</v>
      </c>
      <c r="H176" s="114" t="s">
        <v>965</v>
      </c>
      <c r="I176" s="73" t="s">
        <v>1144</v>
      </c>
      <c r="J176" s="114" t="s">
        <v>922</v>
      </c>
      <c r="K176" s="114" t="str">
        <f t="shared" ref="K176:K179" si="11">SUBSTITUTE(I176,"hazr-","")&amp;"-nic"</f>
        <v>p-if-brpaap01-nic</v>
      </c>
      <c r="L176" s="114" t="s">
        <v>226</v>
      </c>
      <c r="M176" s="114"/>
    </row>
    <row r="177" spans="2:13" x14ac:dyDescent="0.3">
      <c r="B177" s="115" t="s">
        <v>23</v>
      </c>
      <c r="C177" s="115" t="str" cm="1">
        <f t="array" ref="C177">UPPER(INDEX(_xlfn.TEXTSPLIT($E177, "-"), 2))</f>
        <v>IF</v>
      </c>
      <c r="D177" s="115" t="s">
        <v>317</v>
      </c>
      <c r="E177" s="115" t="str">
        <f t="shared" si="7"/>
        <v>p-if-brpadb01-nsg</v>
      </c>
      <c r="F177" s="115" t="s">
        <v>317</v>
      </c>
      <c r="G177" s="115" t="s">
        <v>338</v>
      </c>
      <c r="H177" s="115" t="s">
        <v>1149</v>
      </c>
      <c r="I177" s="74" t="s">
        <v>1145</v>
      </c>
      <c r="J177" s="115" t="s">
        <v>922</v>
      </c>
      <c r="K177" s="115" t="str">
        <f t="shared" si="11"/>
        <v>p-if-brpadb01-nic</v>
      </c>
      <c r="L177" s="115" t="s">
        <v>226</v>
      </c>
      <c r="M177" s="115"/>
    </row>
    <row r="178" spans="2:13" x14ac:dyDescent="0.3">
      <c r="B178" s="114" t="s">
        <v>23</v>
      </c>
      <c r="C178" s="114" t="e" cm="1">
        <f t="array" ref="C178">UPPER(INDEX(_xlfn.TEXTSPLIT($E178, "-"), 2))</f>
        <v>#VALUE!</v>
      </c>
      <c r="D178" s="114" t="s">
        <v>317</v>
      </c>
      <c r="E178" s="114"/>
      <c r="F178" s="114" t="s">
        <v>317</v>
      </c>
      <c r="G178" s="114" t="s">
        <v>338</v>
      </c>
      <c r="H178" s="114" t="s">
        <v>340</v>
      </c>
      <c r="I178" s="73"/>
      <c r="J178" s="114" t="s">
        <v>922</v>
      </c>
      <c r="K178" s="114" t="str">
        <f t="shared" si="11"/>
        <v>-nic</v>
      </c>
      <c r="L178" s="114" t="s">
        <v>226</v>
      </c>
      <c r="M178" s="114"/>
    </row>
    <row r="179" spans="2:13" x14ac:dyDescent="0.3">
      <c r="B179" s="115" t="s">
        <v>23</v>
      </c>
      <c r="C179" s="115" t="e" cm="1">
        <f t="array" ref="C179">UPPER(INDEX(_xlfn.TEXTSPLIT($E179, "-"), 2))</f>
        <v>#VALUE!</v>
      </c>
      <c r="D179" s="115" t="s">
        <v>317</v>
      </c>
      <c r="E179" s="115"/>
      <c r="F179" s="115" t="s">
        <v>317</v>
      </c>
      <c r="G179" s="115" t="s">
        <v>338</v>
      </c>
      <c r="H179" s="115" t="s">
        <v>340</v>
      </c>
      <c r="I179" s="115"/>
      <c r="J179" s="115" t="s">
        <v>922</v>
      </c>
      <c r="K179" s="115" t="str">
        <f t="shared" si="11"/>
        <v>-nic</v>
      </c>
      <c r="L179" s="115" t="s">
        <v>226</v>
      </c>
      <c r="M179" s="115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7" workbookViewId="0">
      <selection activeCell="M2" sqref="M2"/>
    </sheetView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5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1012</v>
      </c>
    </row>
    <row r="3" spans="1:10" x14ac:dyDescent="0.3">
      <c r="A3" s="105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1014</v>
      </c>
    </row>
    <row r="4" spans="1:10" x14ac:dyDescent="0.3">
      <c r="A4" s="105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1014</v>
      </c>
    </row>
    <row r="5" spans="1:10" x14ac:dyDescent="0.3">
      <c r="A5" s="105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1013</v>
      </c>
    </row>
    <row r="6" spans="1:10" x14ac:dyDescent="0.3">
      <c r="A6" s="105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1013</v>
      </c>
    </row>
    <row r="7" spans="1:10" x14ac:dyDescent="0.3">
      <c r="A7" s="105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1013</v>
      </c>
    </row>
    <row r="8" spans="1:10" x14ac:dyDescent="0.3">
      <c r="A8" s="105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995</v>
      </c>
      <c r="I8" s="74" t="s">
        <v>221</v>
      </c>
      <c r="J8" s="74" t="s">
        <v>1013</v>
      </c>
    </row>
    <row r="9" spans="1:10" x14ac:dyDescent="0.3">
      <c r="A9" s="105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1013</v>
      </c>
    </row>
    <row r="10" spans="1:10" x14ac:dyDescent="0.3">
      <c r="A10" s="105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1013</v>
      </c>
    </row>
    <row r="11" spans="1:10" x14ac:dyDescent="0.3">
      <c r="A11" s="105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1013</v>
      </c>
    </row>
    <row r="12" spans="1:10" x14ac:dyDescent="0.3">
      <c r="A12" s="105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1013</v>
      </c>
    </row>
    <row r="13" spans="1:10" x14ac:dyDescent="0.3">
      <c r="A13" s="105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1013</v>
      </c>
    </row>
    <row r="14" spans="1:10" x14ac:dyDescent="0.3">
      <c r="A14" s="105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1013</v>
      </c>
    </row>
    <row r="15" spans="1:10" x14ac:dyDescent="0.3">
      <c r="A15" s="105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1013</v>
      </c>
    </row>
    <row r="16" spans="1:10" x14ac:dyDescent="0.3">
      <c r="A16" s="105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1013</v>
      </c>
    </row>
    <row r="17" spans="1:10" x14ac:dyDescent="0.3">
      <c r="A17" s="105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1013</v>
      </c>
    </row>
    <row r="18" spans="1:10" x14ac:dyDescent="0.3">
      <c r="A18" s="105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1013</v>
      </c>
    </row>
    <row r="19" spans="1:10" x14ac:dyDescent="0.3">
      <c r="A19" s="105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1013</v>
      </c>
    </row>
    <row r="20" spans="1:10" x14ac:dyDescent="0.3">
      <c r="A20" s="105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1013</v>
      </c>
    </row>
    <row r="21" spans="1:10" x14ac:dyDescent="0.3">
      <c r="A21" s="105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1013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5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1014</v>
      </c>
    </row>
    <row r="24" spans="1:10" x14ac:dyDescent="0.3">
      <c r="A24" s="105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1014</v>
      </c>
    </row>
    <row r="25" spans="1:10" x14ac:dyDescent="0.3">
      <c r="A25" s="105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1013</v>
      </c>
    </row>
    <row r="26" spans="1:10" x14ac:dyDescent="0.3">
      <c r="A26" s="105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1013</v>
      </c>
    </row>
    <row r="27" spans="1:10" x14ac:dyDescent="0.3">
      <c r="A27" s="105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1013</v>
      </c>
    </row>
    <row r="28" spans="1:10" x14ac:dyDescent="0.3">
      <c r="A28" s="105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1013</v>
      </c>
    </row>
    <row r="29" spans="1:10" x14ac:dyDescent="0.3">
      <c r="A29" s="105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995</v>
      </c>
      <c r="I29" s="82" t="s">
        <v>221</v>
      </c>
      <c r="J29" s="82" t="s">
        <v>1013</v>
      </c>
    </row>
    <row r="30" spans="1:10" x14ac:dyDescent="0.3">
      <c r="A30" s="105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1013</v>
      </c>
    </row>
    <row r="31" spans="1:10" x14ac:dyDescent="0.3">
      <c r="A31" s="105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1013</v>
      </c>
    </row>
    <row r="32" spans="1:10" x14ac:dyDescent="0.3">
      <c r="A32" s="105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1013</v>
      </c>
    </row>
    <row r="33" spans="1:10" x14ac:dyDescent="0.3">
      <c r="A33" s="105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1013</v>
      </c>
    </row>
    <row r="34" spans="1:10" x14ac:dyDescent="0.3">
      <c r="A34" s="105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1013</v>
      </c>
    </row>
    <row r="35" spans="1:10" x14ac:dyDescent="0.3">
      <c r="A35" s="105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1013</v>
      </c>
    </row>
    <row r="36" spans="1:10" x14ac:dyDescent="0.3">
      <c r="A36" s="105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1013</v>
      </c>
    </row>
    <row r="37" spans="1:10" x14ac:dyDescent="0.3">
      <c r="A37" s="105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1013</v>
      </c>
    </row>
    <row r="38" spans="1:10" x14ac:dyDescent="0.3">
      <c r="A38" s="105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1013</v>
      </c>
    </row>
    <row r="39" spans="1:10" x14ac:dyDescent="0.3">
      <c r="A39" s="105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1013</v>
      </c>
    </row>
    <row r="40" spans="1:10" x14ac:dyDescent="0.3">
      <c r="A40" s="105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2"/>
  <sheetViews>
    <sheetView workbookViewId="0">
      <pane xSplit="6" ySplit="1" topLeftCell="G32" activePane="bottomRight" state="frozen"/>
      <selection pane="topRight" activeCell="G1" sqref="G1"/>
      <selection pane="bottomLeft" activeCell="A2" sqref="A2"/>
      <selection pane="bottomRight" activeCell="F50" sqref="F46:F50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922</v>
      </c>
      <c r="E2" s="82" t="s">
        <v>24</v>
      </c>
      <c r="F2" s="82" t="s">
        <v>887</v>
      </c>
      <c r="G2" s="82" t="s">
        <v>111</v>
      </c>
      <c r="H2" s="82" t="s">
        <v>1016</v>
      </c>
      <c r="I2" s="82" t="s">
        <v>1015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921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922</v>
      </c>
      <c r="E3" s="74" t="s">
        <v>24</v>
      </c>
      <c r="F3" s="74" t="s">
        <v>888</v>
      </c>
      <c r="G3" s="74" t="s">
        <v>111</v>
      </c>
      <c r="H3" s="74" t="s">
        <v>1016</v>
      </c>
      <c r="I3" s="74" t="s">
        <v>1015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927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922</v>
      </c>
      <c r="E4" s="82" t="s">
        <v>24</v>
      </c>
      <c r="F4" s="82" t="s">
        <v>889</v>
      </c>
      <c r="G4" s="82" t="s">
        <v>111</v>
      </c>
      <c r="H4" s="82" t="s">
        <v>1016</v>
      </c>
      <c r="I4" s="82" t="s">
        <v>1015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928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922</v>
      </c>
      <c r="E5" s="74" t="s">
        <v>24</v>
      </c>
      <c r="F5" s="74" t="s">
        <v>890</v>
      </c>
      <c r="G5" s="74" t="s">
        <v>111</v>
      </c>
      <c r="H5" s="74" t="s">
        <v>1016</v>
      </c>
      <c r="I5" s="74" t="s">
        <v>1015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929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922</v>
      </c>
      <c r="E6" s="82" t="s">
        <v>24</v>
      </c>
      <c r="F6" s="82" t="s">
        <v>891</v>
      </c>
      <c r="G6" s="82" t="s">
        <v>111</v>
      </c>
      <c r="H6" s="82" t="s">
        <v>1016</v>
      </c>
      <c r="I6" s="82" t="s">
        <v>1015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930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922</v>
      </c>
      <c r="E7" s="82" t="s">
        <v>24</v>
      </c>
      <c r="F7" s="82" t="s">
        <v>1017</v>
      </c>
      <c r="G7" s="82" t="s">
        <v>111</v>
      </c>
      <c r="H7" s="82" t="s">
        <v>1016</v>
      </c>
      <c r="I7" s="82" t="s">
        <v>1015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931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922</v>
      </c>
      <c r="E8" s="82" t="s">
        <v>24</v>
      </c>
      <c r="F8" s="82" t="s">
        <v>892</v>
      </c>
      <c r="G8" s="82" t="s">
        <v>111</v>
      </c>
      <c r="H8" s="82" t="s">
        <v>1016</v>
      </c>
      <c r="I8" s="82" t="s">
        <v>1015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932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922</v>
      </c>
      <c r="E9" s="74" t="s">
        <v>24</v>
      </c>
      <c r="F9" s="74" t="s">
        <v>893</v>
      </c>
      <c r="G9" s="74" t="s">
        <v>111</v>
      </c>
      <c r="H9" s="74" t="s">
        <v>1016</v>
      </c>
      <c r="I9" s="74" t="s">
        <v>1015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933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922</v>
      </c>
      <c r="E10" s="82" t="s">
        <v>24</v>
      </c>
      <c r="F10" s="82" t="s">
        <v>894</v>
      </c>
      <c r="G10" s="82" t="s">
        <v>111</v>
      </c>
      <c r="H10" s="82" t="s">
        <v>1016</v>
      </c>
      <c r="I10" s="82" t="s">
        <v>1015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934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922</v>
      </c>
      <c r="E11" s="74" t="s">
        <v>24</v>
      </c>
      <c r="F11" s="74" t="s">
        <v>895</v>
      </c>
      <c r="G11" s="74" t="s">
        <v>111</v>
      </c>
      <c r="H11" s="74" t="s">
        <v>1016</v>
      </c>
      <c r="I11" s="74" t="s">
        <v>1015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935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922</v>
      </c>
      <c r="E12" s="82" t="s">
        <v>24</v>
      </c>
      <c r="F12" s="82" t="s">
        <v>896</v>
      </c>
      <c r="G12" s="82" t="s">
        <v>111</v>
      </c>
      <c r="H12" s="82" t="s">
        <v>1016</v>
      </c>
      <c r="I12" s="82" t="s">
        <v>1015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936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922</v>
      </c>
      <c r="E13" s="74" t="s">
        <v>24</v>
      </c>
      <c r="F13" s="74" t="s">
        <v>897</v>
      </c>
      <c r="G13" s="74" t="s">
        <v>111</v>
      </c>
      <c r="H13" s="74" t="s">
        <v>1016</v>
      </c>
      <c r="I13" s="74" t="s">
        <v>1015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937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923</v>
      </c>
      <c r="E14" s="82" t="s">
        <v>24</v>
      </c>
      <c r="F14" s="82" t="s">
        <v>898</v>
      </c>
      <c r="G14" s="82" t="s">
        <v>111</v>
      </c>
      <c r="H14" s="82" t="s">
        <v>1016</v>
      </c>
      <c r="I14" s="82" t="s">
        <v>1015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962</v>
      </c>
      <c r="O14" s="82" t="s">
        <v>108</v>
      </c>
      <c r="P14" s="82" t="s">
        <v>938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923</v>
      </c>
      <c r="E15" s="74" t="s">
        <v>24</v>
      </c>
      <c r="F15" s="74" t="s">
        <v>899</v>
      </c>
      <c r="G15" s="74" t="s">
        <v>111</v>
      </c>
      <c r="H15" s="74" t="s">
        <v>1016</v>
      </c>
      <c r="I15" s="74" t="s">
        <v>1015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962</v>
      </c>
      <c r="O15" s="74" t="s">
        <v>108</v>
      </c>
      <c r="P15" s="74" t="s">
        <v>939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923</v>
      </c>
      <c r="E16" s="82" t="s">
        <v>24</v>
      </c>
      <c r="F16" s="82" t="s">
        <v>975</v>
      </c>
      <c r="G16" s="82" t="s">
        <v>111</v>
      </c>
      <c r="H16" s="82" t="s">
        <v>1016</v>
      </c>
      <c r="I16" s="82" t="s">
        <v>1015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962</v>
      </c>
      <c r="O16" s="82" t="s">
        <v>108</v>
      </c>
      <c r="P16" s="82" t="s">
        <v>940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923</v>
      </c>
      <c r="E17" s="74" t="s">
        <v>24</v>
      </c>
      <c r="F17" s="74" t="s">
        <v>900</v>
      </c>
      <c r="G17" s="74" t="s">
        <v>111</v>
      </c>
      <c r="H17" s="74" t="s">
        <v>1016</v>
      </c>
      <c r="I17" s="74" t="s">
        <v>1015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962</v>
      </c>
      <c r="O17" s="74" t="s">
        <v>108</v>
      </c>
      <c r="P17" s="74" t="s">
        <v>941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923</v>
      </c>
      <c r="E18" s="82" t="s">
        <v>24</v>
      </c>
      <c r="F18" s="82" t="s">
        <v>999</v>
      </c>
      <c r="G18" s="82" t="s">
        <v>111</v>
      </c>
      <c r="H18" s="82" t="s">
        <v>1016</v>
      </c>
      <c r="I18" s="82" t="s">
        <v>1015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963</v>
      </c>
      <c r="O18" s="82" t="s">
        <v>108</v>
      </c>
      <c r="P18" s="82" t="s">
        <v>942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923</v>
      </c>
      <c r="E19" s="74" t="s">
        <v>24</v>
      </c>
      <c r="F19" s="74" t="s">
        <v>1000</v>
      </c>
      <c r="G19" s="74" t="s">
        <v>111</v>
      </c>
      <c r="H19" s="74" t="s">
        <v>1016</v>
      </c>
      <c r="I19" s="74" t="s">
        <v>1015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963</v>
      </c>
      <c r="O19" s="74" t="s">
        <v>108</v>
      </c>
      <c r="P19" s="74" t="s">
        <v>1002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923</v>
      </c>
      <c r="E20" s="82" t="s">
        <v>24</v>
      </c>
      <c r="F20" s="82" t="s">
        <v>1001</v>
      </c>
      <c r="G20" s="82" t="s">
        <v>111</v>
      </c>
      <c r="H20" s="82" t="s">
        <v>1016</v>
      </c>
      <c r="I20" s="82" t="s">
        <v>1015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963</v>
      </c>
      <c r="O20" s="82" t="s">
        <v>108</v>
      </c>
      <c r="P20" s="82" t="s">
        <v>1003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923</v>
      </c>
      <c r="E21" s="74" t="s">
        <v>24</v>
      </c>
      <c r="F21" s="74" t="s">
        <v>901</v>
      </c>
      <c r="G21" s="74" t="s">
        <v>111</v>
      </c>
      <c r="H21" s="74" t="s">
        <v>1016</v>
      </c>
      <c r="I21" s="74" t="s">
        <v>1015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962</v>
      </c>
      <c r="O21" s="74" t="s">
        <v>108</v>
      </c>
      <c r="P21" s="74" t="s">
        <v>943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923</v>
      </c>
      <c r="E22" s="82" t="s">
        <v>24</v>
      </c>
      <c r="F22" s="82" t="s">
        <v>902</v>
      </c>
      <c r="G22" s="82" t="s">
        <v>111</v>
      </c>
      <c r="H22" s="82" t="s">
        <v>1016</v>
      </c>
      <c r="I22" s="82" t="s">
        <v>1015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962</v>
      </c>
      <c r="O22" s="82" t="s">
        <v>108</v>
      </c>
      <c r="P22" s="82" t="s">
        <v>944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923</v>
      </c>
      <c r="E23" s="74" t="s">
        <v>24</v>
      </c>
      <c r="F23" s="74" t="s">
        <v>903</v>
      </c>
      <c r="G23" s="74" t="s">
        <v>111</v>
      </c>
      <c r="H23" s="74" t="s">
        <v>1016</v>
      </c>
      <c r="I23" s="74" t="s">
        <v>1015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963</v>
      </c>
      <c r="O23" s="74" t="s">
        <v>108</v>
      </c>
      <c r="P23" s="74" t="s">
        <v>945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923</v>
      </c>
      <c r="E24" s="82" t="s">
        <v>24</v>
      </c>
      <c r="F24" s="82" t="s">
        <v>904</v>
      </c>
      <c r="G24" s="82" t="s">
        <v>111</v>
      </c>
      <c r="H24" s="82" t="s">
        <v>1016</v>
      </c>
      <c r="I24" s="82" t="s">
        <v>1015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962</v>
      </c>
      <c r="O24" s="82" t="s">
        <v>108</v>
      </c>
      <c r="P24" s="82" t="s">
        <v>946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923</v>
      </c>
      <c r="E25" s="74" t="s">
        <v>24</v>
      </c>
      <c r="F25" s="74" t="s">
        <v>905</v>
      </c>
      <c r="G25" s="74" t="s">
        <v>111</v>
      </c>
      <c r="H25" s="74" t="s">
        <v>1016</v>
      </c>
      <c r="I25" s="74" t="s">
        <v>1015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962</v>
      </c>
      <c r="O25" s="74" t="s">
        <v>108</v>
      </c>
      <c r="P25" s="74" t="s">
        <v>947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923</v>
      </c>
      <c r="E26" s="82" t="s">
        <v>24</v>
      </c>
      <c r="F26" s="82" t="s">
        <v>906</v>
      </c>
      <c r="G26" s="82" t="s">
        <v>111</v>
      </c>
      <c r="H26" s="82" t="s">
        <v>1016</v>
      </c>
      <c r="I26" s="82" t="s">
        <v>1015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962</v>
      </c>
      <c r="O26" s="82" t="s">
        <v>108</v>
      </c>
      <c r="P26" s="82" t="s">
        <v>948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923</v>
      </c>
      <c r="E27" s="74" t="s">
        <v>24</v>
      </c>
      <c r="F27" s="74" t="s">
        <v>907</v>
      </c>
      <c r="G27" s="74" t="s">
        <v>111</v>
      </c>
      <c r="H27" s="74" t="s">
        <v>1016</v>
      </c>
      <c r="I27" s="74" t="s">
        <v>1015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962</v>
      </c>
      <c r="O27" s="74" t="s">
        <v>108</v>
      </c>
      <c r="P27" s="74" t="s">
        <v>949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923</v>
      </c>
      <c r="E28" s="82" t="s">
        <v>24</v>
      </c>
      <c r="F28" s="82" t="s">
        <v>908</v>
      </c>
      <c r="G28" s="82" t="s">
        <v>111</v>
      </c>
      <c r="H28" s="82" t="s">
        <v>1016</v>
      </c>
      <c r="I28" s="82" t="s">
        <v>1015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962</v>
      </c>
      <c r="O28" s="82" t="s">
        <v>108</v>
      </c>
      <c r="P28" s="82" t="s">
        <v>950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923</v>
      </c>
      <c r="E29" s="74" t="s">
        <v>24</v>
      </c>
      <c r="F29" s="74" t="s">
        <v>909</v>
      </c>
      <c r="G29" s="74" t="s">
        <v>111</v>
      </c>
      <c r="H29" s="74" t="s">
        <v>1016</v>
      </c>
      <c r="I29" s="74" t="s">
        <v>1015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963</v>
      </c>
      <c r="O29" s="74" t="s">
        <v>108</v>
      </c>
      <c r="P29" s="74" t="s">
        <v>951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923</v>
      </c>
      <c r="E30" s="82" t="s">
        <v>24</v>
      </c>
      <c r="F30" s="82" t="s">
        <v>910</v>
      </c>
      <c r="G30" s="82" t="s">
        <v>111</v>
      </c>
      <c r="H30" s="82" t="s">
        <v>1016</v>
      </c>
      <c r="I30" s="82" t="s">
        <v>1015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962</v>
      </c>
      <c r="O30" s="82" t="s">
        <v>108</v>
      </c>
      <c r="P30" s="82" t="s">
        <v>952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924</v>
      </c>
      <c r="E31" s="74" t="s">
        <v>24</v>
      </c>
      <c r="F31" s="74" t="s">
        <v>911</v>
      </c>
      <c r="G31" s="74" t="s">
        <v>111</v>
      </c>
      <c r="H31" s="74" t="s">
        <v>1016</v>
      </c>
      <c r="I31" s="74" t="s">
        <v>1015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964</v>
      </c>
      <c r="O31" s="74" t="s">
        <v>108</v>
      </c>
      <c r="P31" s="74" t="s">
        <v>953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924</v>
      </c>
      <c r="E32" s="82" t="s">
        <v>24</v>
      </c>
      <c r="F32" s="82" t="s">
        <v>912</v>
      </c>
      <c r="G32" s="82" t="s">
        <v>111</v>
      </c>
      <c r="H32" s="82" t="s">
        <v>1016</v>
      </c>
      <c r="I32" s="82" t="s">
        <v>1015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964</v>
      </c>
      <c r="O32" s="82" t="s">
        <v>108</v>
      </c>
      <c r="P32" s="82" t="s">
        <v>954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925</v>
      </c>
      <c r="E33" s="74" t="s">
        <v>24</v>
      </c>
      <c r="F33" s="74" t="s">
        <v>913</v>
      </c>
      <c r="G33" s="74" t="s">
        <v>111</v>
      </c>
      <c r="H33" s="74" t="s">
        <v>1016</v>
      </c>
      <c r="I33" s="74" t="s">
        <v>1015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965</v>
      </c>
      <c r="O33" s="74" t="s">
        <v>108</v>
      </c>
      <c r="P33" s="74" t="s">
        <v>955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926</v>
      </c>
      <c r="E34" s="74" t="s">
        <v>24</v>
      </c>
      <c r="F34" s="74" t="s">
        <v>914</v>
      </c>
      <c r="G34" s="74" t="s">
        <v>111</v>
      </c>
      <c r="H34" s="74" t="s">
        <v>1016</v>
      </c>
      <c r="I34" s="74" t="s">
        <v>1015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966</v>
      </c>
      <c r="O34" s="74" t="s">
        <v>108</v>
      </c>
      <c r="P34" s="74" t="s">
        <v>956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926</v>
      </c>
      <c r="E35" s="82" t="s">
        <v>24</v>
      </c>
      <c r="F35" s="82" t="s">
        <v>915</v>
      </c>
      <c r="G35" s="82" t="s">
        <v>111</v>
      </c>
      <c r="H35" s="82" t="s">
        <v>1016</v>
      </c>
      <c r="I35" s="82" t="s">
        <v>1015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967</v>
      </c>
      <c r="O35" s="82" t="s">
        <v>108</v>
      </c>
      <c r="P35" s="82" t="s">
        <v>957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926</v>
      </c>
      <c r="E36" s="74" t="s">
        <v>24</v>
      </c>
      <c r="F36" s="74" t="s">
        <v>916</v>
      </c>
      <c r="G36" s="74" t="s">
        <v>111</v>
      </c>
      <c r="H36" s="74" t="s">
        <v>1016</v>
      </c>
      <c r="I36" s="74" t="s">
        <v>1015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966</v>
      </c>
      <c r="O36" s="74" t="s">
        <v>108</v>
      </c>
      <c r="P36" s="74" t="s">
        <v>958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924</v>
      </c>
      <c r="E37" s="74" t="s">
        <v>24</v>
      </c>
      <c r="F37" s="74" t="s">
        <v>917</v>
      </c>
      <c r="G37" s="74" t="s">
        <v>111</v>
      </c>
      <c r="H37" s="74" t="s">
        <v>1016</v>
      </c>
      <c r="I37" s="74" t="s">
        <v>1015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968</v>
      </c>
      <c r="O37" s="74" t="s">
        <v>108</v>
      </c>
      <c r="P37" s="74" t="s">
        <v>959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924</v>
      </c>
      <c r="E38" s="82" t="s">
        <v>24</v>
      </c>
      <c r="F38" s="82" t="s">
        <v>918</v>
      </c>
      <c r="G38" s="82" t="s">
        <v>111</v>
      </c>
      <c r="H38" s="82" t="s">
        <v>1016</v>
      </c>
      <c r="I38" s="82" t="s">
        <v>1015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964</v>
      </c>
      <c r="O38" s="82" t="s">
        <v>108</v>
      </c>
      <c r="P38" s="82" t="s">
        <v>960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924</v>
      </c>
      <c r="E39" s="74" t="s">
        <v>24</v>
      </c>
      <c r="F39" s="74" t="s">
        <v>919</v>
      </c>
      <c r="G39" s="74" t="s">
        <v>111</v>
      </c>
      <c r="H39" s="74" t="s">
        <v>1016</v>
      </c>
      <c r="I39" s="74" t="s">
        <v>1015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964</v>
      </c>
      <c r="O39" s="74" t="s">
        <v>108</v>
      </c>
      <c r="P39" s="74" t="s">
        <v>961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923</v>
      </c>
      <c r="E40" s="82" t="s">
        <v>24</v>
      </c>
      <c r="F40" s="82" t="s">
        <v>1025</v>
      </c>
      <c r="G40" s="82" t="s">
        <v>111</v>
      </c>
      <c r="H40" s="82" t="s">
        <v>1016</v>
      </c>
      <c r="I40" s="82" t="s">
        <v>1015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962</v>
      </c>
      <c r="O40" s="82" t="s">
        <v>108</v>
      </c>
      <c r="P40" s="82" t="s">
        <v>1026</v>
      </c>
      <c r="Q40" s="83" t="str">
        <f t="shared" si="1"/>
        <v>p-dtg-bbigeoap-lb-bp</v>
      </c>
    </row>
    <row r="41" spans="1:17" x14ac:dyDescent="0.3">
      <c r="A41" s="90"/>
      <c r="B41" s="74" t="s">
        <v>23</v>
      </c>
      <c r="C41" s="74" t="str" cm="1">
        <f t="array" ref="C41">UPPER(INDEX(_xlfn.TEXTSPLIT($F41, "-"), 3))</f>
        <v>COM</v>
      </c>
      <c r="D41" s="74" t="s">
        <v>1035</v>
      </c>
      <c r="E41" s="74" t="s">
        <v>24</v>
      </c>
      <c r="F41" s="74" t="s">
        <v>1046</v>
      </c>
      <c r="G41" s="74" t="s">
        <v>111</v>
      </c>
      <c r="H41" s="74" t="s">
        <v>1016</v>
      </c>
      <c r="I41" s="74" t="s">
        <v>1015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1045</v>
      </c>
      <c r="O41" s="74" t="s">
        <v>108</v>
      </c>
      <c r="P41" s="74" t="s">
        <v>1049</v>
      </c>
      <c r="Q41" s="74" t="str">
        <f t="shared" si="1"/>
        <v>p-com-esnweb-lb-bp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COM</v>
      </c>
      <c r="D42" s="82" t="s">
        <v>1035</v>
      </c>
      <c r="E42" s="82" t="s">
        <v>24</v>
      </c>
      <c r="F42" s="82" t="s">
        <v>1047</v>
      </c>
      <c r="G42" s="82" t="s">
        <v>111</v>
      </c>
      <c r="H42" s="82" t="s">
        <v>1016</v>
      </c>
      <c r="I42" s="82" t="s">
        <v>1015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1048</v>
      </c>
      <c r="O42" s="82" t="s">
        <v>108</v>
      </c>
      <c r="P42" s="82" t="s">
        <v>1053</v>
      </c>
      <c r="Q42" s="82" t="str">
        <f t="shared" si="1"/>
        <v>p-com-esnap-lb-bp</v>
      </c>
    </row>
    <row r="43" spans="1:17" x14ac:dyDescent="0.3">
      <c r="A43" s="90"/>
      <c r="B43" s="74" t="s">
        <v>23</v>
      </c>
      <c r="C43" s="74" t="str" cm="1">
        <f t="array" ref="C43">UPPER(INDEX(_xlfn.TEXTSPLIT($F43, "-"), 3))</f>
        <v>BDP</v>
      </c>
      <c r="D43" s="74" t="s">
        <v>924</v>
      </c>
      <c r="E43" s="74" t="s">
        <v>24</v>
      </c>
      <c r="F43" s="74" t="s">
        <v>1084</v>
      </c>
      <c r="G43" s="74" t="s">
        <v>111</v>
      </c>
      <c r="H43" s="74" t="s">
        <v>1016</v>
      </c>
      <c r="I43" s="74" t="s">
        <v>1015</v>
      </c>
      <c r="J43" s="74" t="s">
        <v>102</v>
      </c>
      <c r="K43" s="74" t="str">
        <f t="shared" ref="K43:K52" si="5">SUBSTITUTE(F43, "hazr-", "")&amp;"-fe"</f>
        <v>p-bdp-rlgcweb-lb-fe</v>
      </c>
      <c r="L43" s="74" t="s">
        <v>317</v>
      </c>
      <c r="M43" s="74" t="s">
        <v>345</v>
      </c>
      <c r="N43" s="74" t="s">
        <v>968</v>
      </c>
      <c r="O43" s="74" t="s">
        <v>108</v>
      </c>
      <c r="P43" s="74" t="s">
        <v>1086</v>
      </c>
      <c r="Q43" s="74" t="str">
        <f t="shared" ref="Q43:Q52" si="6">SUBSTITUTE(F43, "hazr-", "")&amp;"-bp"</f>
        <v>p-bdp-rlgcweb-lb-bp</v>
      </c>
    </row>
    <row r="44" spans="1:17" x14ac:dyDescent="0.3">
      <c r="A44" s="90"/>
      <c r="B44" s="82" t="s">
        <v>23</v>
      </c>
      <c r="C44" s="82" t="str" cm="1">
        <f t="array" ref="C44">UPPER(INDEX(_xlfn.TEXTSPLIT($F44, "-"), 3))</f>
        <v>BDP</v>
      </c>
      <c r="D44" s="82" t="s">
        <v>924</v>
      </c>
      <c r="E44" s="82" t="s">
        <v>24</v>
      </c>
      <c r="F44" s="82" t="s">
        <v>1085</v>
      </c>
      <c r="G44" s="82" t="s">
        <v>111</v>
      </c>
      <c r="H44" s="82" t="s">
        <v>1016</v>
      </c>
      <c r="I44" s="82" t="s">
        <v>1015</v>
      </c>
      <c r="J44" s="82" t="s">
        <v>102</v>
      </c>
      <c r="K44" s="82" t="str">
        <f t="shared" si="5"/>
        <v>p-bdp-rlgcap-lb-fe</v>
      </c>
      <c r="L44" s="82" t="s">
        <v>317</v>
      </c>
      <c r="M44" s="82" t="s">
        <v>338</v>
      </c>
      <c r="N44" s="82" t="s">
        <v>964</v>
      </c>
      <c r="O44" s="82" t="s">
        <v>108</v>
      </c>
      <c r="P44" s="82" t="s">
        <v>1087</v>
      </c>
      <c r="Q44" s="82" t="str">
        <f t="shared" si="6"/>
        <v>p-bdp-rlgcap-lb-bp</v>
      </c>
    </row>
    <row r="45" spans="1:17" x14ac:dyDescent="0.3">
      <c r="A45" s="90"/>
      <c r="B45" s="74" t="s">
        <v>1095</v>
      </c>
      <c r="C45" s="74" t="str" cm="1">
        <f t="array" ref="C45">UPPER(INDEX(_xlfn.TEXTSPLIT($F45, "-"), 3))</f>
        <v>SEC</v>
      </c>
      <c r="D45" s="74" t="s">
        <v>1096</v>
      </c>
      <c r="E45" s="74" t="s">
        <v>24</v>
      </c>
      <c r="F45" s="74" t="s">
        <v>1111</v>
      </c>
      <c r="G45" s="74" t="s">
        <v>111</v>
      </c>
      <c r="H45" s="74" t="s">
        <v>1016</v>
      </c>
      <c r="I45" s="74" t="s">
        <v>1015</v>
      </c>
      <c r="J45" s="74" t="s">
        <v>102</v>
      </c>
      <c r="K45" s="74" t="str">
        <f t="shared" si="5"/>
        <v>p-sec-mevrsol-lb-fe</v>
      </c>
      <c r="L45" s="74" t="s">
        <v>1112</v>
      </c>
      <c r="M45" s="74" t="s">
        <v>1106</v>
      </c>
      <c r="N45" s="74" t="s">
        <v>1107</v>
      </c>
      <c r="O45" s="74" t="s">
        <v>108</v>
      </c>
      <c r="P45" s="74" t="s">
        <v>1114</v>
      </c>
      <c r="Q45" s="74" t="str">
        <f t="shared" si="6"/>
        <v>p-sec-mevrsol-lb-bp</v>
      </c>
    </row>
    <row r="46" spans="1:17" x14ac:dyDescent="0.3">
      <c r="B46" s="82" t="s">
        <v>1115</v>
      </c>
      <c r="C46" s="82" t="str" cm="1">
        <f t="array" ref="C46">UPPER(INDEX(_xlfn.TEXTSPLIT($F46, "-"), 3))</f>
        <v>CLV</v>
      </c>
      <c r="D46" s="82" t="s">
        <v>1116</v>
      </c>
      <c r="E46" s="82" t="s">
        <v>24</v>
      </c>
      <c r="F46" s="82" t="s">
        <v>1164</v>
      </c>
      <c r="G46" s="82" t="s">
        <v>111</v>
      </c>
      <c r="H46" s="82" t="s">
        <v>1016</v>
      </c>
      <c r="I46" s="82" t="s">
        <v>1126</v>
      </c>
      <c r="J46" s="82" t="s">
        <v>102</v>
      </c>
      <c r="K46" s="82" t="str">
        <f t="shared" si="5"/>
        <v>p-clv-web-lb-fe</v>
      </c>
      <c r="L46" s="82" t="s">
        <v>1118</v>
      </c>
      <c r="M46" s="82" t="s">
        <v>1119</v>
      </c>
      <c r="N46" s="82" t="s">
        <v>1147</v>
      </c>
      <c r="O46" s="82" t="s">
        <v>108</v>
      </c>
      <c r="P46" s="82" t="s">
        <v>1121</v>
      </c>
      <c r="Q46" s="82" t="str">
        <f t="shared" si="6"/>
        <v>p-clv-web-lb-bp</v>
      </c>
    </row>
    <row r="47" spans="1:17" x14ac:dyDescent="0.3">
      <c r="B47" s="74" t="s">
        <v>1115</v>
      </c>
      <c r="C47" s="74" t="str" cm="1">
        <f t="array" ref="C47">UPPER(INDEX(_xlfn.TEXTSPLIT($F47, "-"), 3))</f>
        <v>CLV</v>
      </c>
      <c r="D47" s="74" t="s">
        <v>1116</v>
      </c>
      <c r="E47" s="74" t="s">
        <v>24</v>
      </c>
      <c r="F47" s="74" t="s">
        <v>1165</v>
      </c>
      <c r="G47" s="74" t="s">
        <v>111</v>
      </c>
      <c r="H47" s="74" t="s">
        <v>1016</v>
      </c>
      <c r="I47" s="74" t="s">
        <v>1126</v>
      </c>
      <c r="J47" s="74" t="s">
        <v>102</v>
      </c>
      <c r="K47" s="74" t="str">
        <f t="shared" si="5"/>
        <v>p-clv-ap-lb-fe</v>
      </c>
      <c r="L47" s="74" t="s">
        <v>317</v>
      </c>
      <c r="M47" s="74" t="s">
        <v>1120</v>
      </c>
      <c r="N47" s="74" t="s">
        <v>1148</v>
      </c>
      <c r="O47" s="74" t="s">
        <v>108</v>
      </c>
      <c r="P47" s="74" t="s">
        <v>1122</v>
      </c>
      <c r="Q47" s="74" t="str">
        <f t="shared" si="6"/>
        <v>p-clv-ap-lb-bp</v>
      </c>
    </row>
    <row r="48" spans="1:17" x14ac:dyDescent="0.3">
      <c r="B48" s="82" t="s">
        <v>1115</v>
      </c>
      <c r="C48" s="82" t="str" cm="1">
        <f t="array" ref="C48">UPPER(INDEX(_xlfn.TEXTSPLIT($F48, "-"), 3))</f>
        <v>CLV</v>
      </c>
      <c r="D48" s="82" t="s">
        <v>1116</v>
      </c>
      <c r="E48" s="82" t="s">
        <v>24</v>
      </c>
      <c r="F48" s="82" t="s">
        <v>1166</v>
      </c>
      <c r="G48" s="82" t="s">
        <v>111</v>
      </c>
      <c r="H48" s="82" t="s">
        <v>1016</v>
      </c>
      <c r="I48" s="82" t="s">
        <v>1126</v>
      </c>
      <c r="J48" s="82" t="s">
        <v>102</v>
      </c>
      <c r="K48" s="82" t="str">
        <f t="shared" si="5"/>
        <v>p-clv-ssrap-lb-fe</v>
      </c>
      <c r="L48" s="82" t="s">
        <v>1118</v>
      </c>
      <c r="M48" s="82" t="s">
        <v>1120</v>
      </c>
      <c r="N48" s="82" t="s">
        <v>1148</v>
      </c>
      <c r="O48" s="82" t="s">
        <v>108</v>
      </c>
      <c r="P48" s="82" t="s">
        <v>1123</v>
      </c>
      <c r="Q48" s="82" t="str">
        <f t="shared" si="6"/>
        <v>p-clv-ssrap-lb-bp</v>
      </c>
    </row>
    <row r="49" spans="2:17" x14ac:dyDescent="0.3">
      <c r="B49" s="74" t="s">
        <v>1115</v>
      </c>
      <c r="C49" s="74" t="str" cm="1">
        <f t="array" ref="C49">UPPER(INDEX(_xlfn.TEXTSPLIT($F49, "-"), 3))</f>
        <v>CLV</v>
      </c>
      <c r="D49" s="74" t="s">
        <v>1116</v>
      </c>
      <c r="E49" s="74" t="s">
        <v>24</v>
      </c>
      <c r="F49" s="74" t="s">
        <v>1167</v>
      </c>
      <c r="G49" s="74" t="s">
        <v>111</v>
      </c>
      <c r="H49" s="74" t="s">
        <v>1016</v>
      </c>
      <c r="I49" s="74" t="s">
        <v>1126</v>
      </c>
      <c r="J49" s="74" t="s">
        <v>102</v>
      </c>
      <c r="K49" s="74" t="str">
        <f t="shared" si="5"/>
        <v>p-clv-admweb-lb-fe</v>
      </c>
      <c r="L49" s="74" t="s">
        <v>317</v>
      </c>
      <c r="M49" s="74" t="s">
        <v>1120</v>
      </c>
      <c r="N49" s="74" t="s">
        <v>1148</v>
      </c>
      <c r="O49" s="74" t="s">
        <v>108</v>
      </c>
      <c r="P49" s="74" t="s">
        <v>1124</v>
      </c>
      <c r="Q49" s="74" t="str">
        <f t="shared" si="6"/>
        <v>p-clv-admweb-lb-bp</v>
      </c>
    </row>
    <row r="50" spans="2:17" x14ac:dyDescent="0.3">
      <c r="B50" s="82" t="s">
        <v>1115</v>
      </c>
      <c r="C50" s="82" t="str" cm="1">
        <f t="array" ref="C50">UPPER(INDEX(_xlfn.TEXTSPLIT($F50, "-"), 3))</f>
        <v>CLV</v>
      </c>
      <c r="D50" s="82" t="s">
        <v>1116</v>
      </c>
      <c r="E50" s="82" t="s">
        <v>24</v>
      </c>
      <c r="F50" s="82" t="s">
        <v>1168</v>
      </c>
      <c r="G50" s="82" t="s">
        <v>111</v>
      </c>
      <c r="H50" s="82" t="s">
        <v>1016</v>
      </c>
      <c r="I50" s="82" t="s">
        <v>1126</v>
      </c>
      <c r="J50" s="82" t="s">
        <v>102</v>
      </c>
      <c r="K50" s="82" t="str">
        <f t="shared" si="5"/>
        <v>p-clv-admap-lb-fe</v>
      </c>
      <c r="L50" s="82" t="s">
        <v>1118</v>
      </c>
      <c r="M50" s="82" t="s">
        <v>1120</v>
      </c>
      <c r="N50" s="82" t="s">
        <v>1148</v>
      </c>
      <c r="O50" s="82" t="s">
        <v>108</v>
      </c>
      <c r="P50" s="82" t="s">
        <v>1125</v>
      </c>
      <c r="Q50" s="82" t="str">
        <f t="shared" si="6"/>
        <v>p-clv-admap-lb-bp</v>
      </c>
    </row>
    <row r="51" spans="2:17" x14ac:dyDescent="0.3">
      <c r="B51" s="74" t="s">
        <v>23</v>
      </c>
      <c r="C51" s="74" t="e" cm="1">
        <f t="array" ref="C51">UPPER(INDEX(_xlfn.TEXTSPLIT($F51, "-"), 3))</f>
        <v>#VALUE!</v>
      </c>
      <c r="D51" s="74" t="s">
        <v>922</v>
      </c>
      <c r="E51" s="74" t="s">
        <v>24</v>
      </c>
      <c r="F51" s="74"/>
      <c r="G51" s="74"/>
      <c r="H51" s="74" t="s">
        <v>1016</v>
      </c>
      <c r="I51" s="74" t="s">
        <v>1126</v>
      </c>
      <c r="J51" s="74" t="s">
        <v>102</v>
      </c>
      <c r="K51" s="74" t="str">
        <f t="shared" si="5"/>
        <v>-fe</v>
      </c>
      <c r="L51" s="74" t="s">
        <v>317</v>
      </c>
      <c r="M51" s="74" t="s">
        <v>345</v>
      </c>
      <c r="N51" s="74"/>
      <c r="O51" s="74" t="s">
        <v>108</v>
      </c>
      <c r="P51" s="74" t="s">
        <v>1132</v>
      </c>
      <c r="Q51" s="74" t="str">
        <f t="shared" si="6"/>
        <v>-bp</v>
      </c>
    </row>
    <row r="52" spans="2:17" x14ac:dyDescent="0.3">
      <c r="B52" s="82" t="s">
        <v>23</v>
      </c>
      <c r="C52" s="82" t="e" cm="1">
        <f t="array" ref="C52">UPPER(INDEX(_xlfn.TEXTSPLIT($F52, "-"), 3))</f>
        <v>#VALUE!</v>
      </c>
      <c r="D52" s="82" t="s">
        <v>922</v>
      </c>
      <c r="E52" s="82" t="s">
        <v>24</v>
      </c>
      <c r="F52" s="82"/>
      <c r="G52" s="82"/>
      <c r="H52" s="82" t="s">
        <v>1016</v>
      </c>
      <c r="I52" s="82" t="s">
        <v>1126</v>
      </c>
      <c r="J52" s="82" t="s">
        <v>102</v>
      </c>
      <c r="K52" s="82" t="str">
        <f t="shared" si="5"/>
        <v>-fe</v>
      </c>
      <c r="L52" s="82" t="s">
        <v>317</v>
      </c>
      <c r="M52" s="82" t="s">
        <v>338</v>
      </c>
      <c r="N52" s="82"/>
      <c r="O52" s="82" t="s">
        <v>108</v>
      </c>
      <c r="P52" s="82" t="s">
        <v>1131</v>
      </c>
      <c r="Q52" s="82" t="str">
        <f t="shared" si="6"/>
        <v>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87"/>
  <sheetViews>
    <sheetView topLeftCell="A61" workbookViewId="0">
      <selection activeCell="D73" sqref="D73:D7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75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51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82" t="str">
        <f t="shared" ref="F34" si="8">SUBSTITUTE(E34, "hazr-", "")&amp;"-pb"&amp;H34</f>
        <v>p-dtg-admap-lb-pb8088</v>
      </c>
      <c r="G34" s="82" t="s">
        <v>57</v>
      </c>
      <c r="H34" s="82">
        <v>8088</v>
      </c>
      <c r="I34" s="82"/>
      <c r="J34" s="82">
        <v>5</v>
      </c>
      <c r="K34" s="8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0"/>
        <v>p-dtg-web-lb-pb8080</v>
      </c>
      <c r="G35" s="74" t="s">
        <v>57</v>
      </c>
      <c r="H35" s="74">
        <v>8080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74" t="str">
        <f t="shared" ref="F36" si="9">SUBSTITUTE(E36, "hazr-", "")&amp;"-pb"&amp;H36</f>
        <v>p-dtg-web-lb-pb8081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82" t="str">
        <f t="shared" si="0"/>
        <v>p-dtg-cdmlap-lb-pb3000</v>
      </c>
      <c r="G37" s="82" t="s">
        <v>57</v>
      </c>
      <c r="H37" s="82">
        <v>3000</v>
      </c>
      <c r="I37" s="82"/>
      <c r="J37" s="82">
        <v>5</v>
      </c>
      <c r="K37" s="82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0"/>
        <v>p-dtg-cdstap-lb-pb9305</v>
      </c>
      <c r="G38" s="74" t="s">
        <v>57</v>
      </c>
      <c r="H38" s="74">
        <v>9305</v>
      </c>
      <c r="I38" s="74"/>
      <c r="J38" s="74">
        <v>5</v>
      </c>
      <c r="K38" s="74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74" t="str">
        <f t="shared" ref="F39" si="10">SUBSTITUTE(E39, "hazr-", "")&amp;"-pb"&amp;H39</f>
        <v>p-dtg-cdstap-lb-pb9306</v>
      </c>
      <c r="G39" s="74" t="s">
        <v>57</v>
      </c>
      <c r="H39" s="74">
        <v>9306</v>
      </c>
      <c r="I39" s="74"/>
      <c r="J39" s="74">
        <v>5</v>
      </c>
      <c r="K39" s="74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0"/>
        <v>p-dtg-cdsvadm-lb-pb9100</v>
      </c>
      <c r="G40" s="82" t="s">
        <v>57</v>
      </c>
      <c r="H40" s="82">
        <v>9100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ref="F41:F44" si="11">SUBSTITUTE(E41, "hazr-", "")&amp;"-pb"&amp;H41</f>
        <v>p-dtg-cdsvadm-lb-pb9300</v>
      </c>
      <c r="G41" s="82" t="s">
        <v>57</v>
      </c>
      <c r="H41" s="82">
        <v>9300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1"/>
        <v>p-dtg-cdsvadm-lb-pb9105</v>
      </c>
      <c r="G42" s="82" t="s">
        <v>57</v>
      </c>
      <c r="H42" s="82">
        <v>9105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1"/>
        <v>p-dtg-cdsvadm-lb-pb9003</v>
      </c>
      <c r="G43" s="82" t="s">
        <v>57</v>
      </c>
      <c r="H43" s="82">
        <v>9003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82" t="str">
        <f t="shared" si="11"/>
        <v>p-dtg-cdsvadm-lb-pb8088</v>
      </c>
      <c r="G44" s="82" t="s">
        <v>57</v>
      </c>
      <c r="H44" s="82">
        <v>8088</v>
      </c>
      <c r="I44" s="82"/>
      <c r="J44" s="82">
        <v>5</v>
      </c>
      <c r="K44" s="82">
        <v>2</v>
      </c>
    </row>
    <row r="45" spans="1:11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74" t="str">
        <f t="shared" si="0"/>
        <v>p-dtg-diosap-lb-pb8080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82" t="str">
        <f t="shared" si="0"/>
        <v>p-dtg-diosweb-lb-pb443</v>
      </c>
      <c r="G46" s="82" t="s">
        <v>57</v>
      </c>
      <c r="H46" s="82">
        <v>443</v>
      </c>
      <c r="I46" s="82"/>
      <c r="J46" s="82">
        <v>5</v>
      </c>
      <c r="K46" s="82">
        <v>2</v>
      </c>
    </row>
    <row r="47" spans="1:11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74" t="str">
        <f t="shared" si="0"/>
        <v>p-dtg-dprweb-lb-pb443</v>
      </c>
      <c r="G47" s="74" t="s">
        <v>57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82" t="str">
        <f t="shared" si="0"/>
        <v>p-dtg-dprap-lb-pb8082</v>
      </c>
      <c r="G48" s="82" t="s">
        <v>57</v>
      </c>
      <c r="H48" s="82">
        <v>8082</v>
      </c>
      <c r="I48" s="82"/>
      <c r="J48" s="82">
        <v>5</v>
      </c>
      <c r="K48" s="82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74" t="str">
        <f t="shared" si="0"/>
        <v>p-bdp-cxmadm-lb-pb443</v>
      </c>
      <c r="G49" s="74" t="s">
        <v>57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82" t="str">
        <f t="shared" si="0"/>
        <v>p-bdp-slap-lb-pb443</v>
      </c>
      <c r="G50" s="82" t="s">
        <v>57</v>
      </c>
      <c r="H50" s="82">
        <v>443</v>
      </c>
      <c r="I50" s="82"/>
      <c r="J50" s="82">
        <v>5</v>
      </c>
      <c r="K50" s="82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0"/>
        <v>p-if-auth-lb-pb8088</v>
      </c>
      <c r="G51" s="74" t="s">
        <v>57</v>
      </c>
      <c r="H51" s="74">
        <v>8088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ref="F52:F53" si="12">SUBSTITUTE(E52, "hazr-", "")&amp;"-pb"&amp;H52</f>
        <v>p-if-auth-lb-pb9003</v>
      </c>
      <c r="G52" s="74" t="s">
        <v>57</v>
      </c>
      <c r="H52" s="74">
        <v>9003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74" t="str">
        <f t="shared" si="12"/>
        <v>p-if-auth-lb-pb9005</v>
      </c>
      <c r="G53" s="74" t="s">
        <v>57</v>
      </c>
      <c r="H53" s="74">
        <v>9005</v>
      </c>
      <c r="I53" s="74"/>
      <c r="J53" s="74">
        <v>5</v>
      </c>
      <c r="K53" s="74">
        <v>2</v>
      </c>
    </row>
    <row r="54" spans="1:11" x14ac:dyDescent="0.3">
      <c r="B54" s="102" t="s">
        <v>984</v>
      </c>
      <c r="C54" s="102"/>
      <c r="D54" s="102" t="s">
        <v>926</v>
      </c>
      <c r="E54" s="102" t="s">
        <v>914</v>
      </c>
      <c r="F54" s="102" t="str">
        <f t="shared" ref="F54:F60" si="13">SUBSTITUTE(E54, "hazr-", "")&amp;"-pb"&amp;H54</f>
        <v>p-cs-chtap-lb-pb?</v>
      </c>
      <c r="G54" s="102" t="s">
        <v>57</v>
      </c>
      <c r="H54" s="102" t="s">
        <v>983</v>
      </c>
      <c r="I54" s="102"/>
      <c r="J54" s="102">
        <v>5</v>
      </c>
      <c r="K54" s="102">
        <v>2</v>
      </c>
    </row>
    <row r="55" spans="1:11" x14ac:dyDescent="0.3">
      <c r="B55" s="102" t="s">
        <v>984</v>
      </c>
      <c r="C55" s="102"/>
      <c r="D55" s="102" t="s">
        <v>926</v>
      </c>
      <c r="E55" s="102" t="s">
        <v>985</v>
      </c>
      <c r="F55" s="102" t="str">
        <f t="shared" si="13"/>
        <v>p-cs-chtweb-lb-pb?</v>
      </c>
      <c r="G55" s="102" t="s">
        <v>57</v>
      </c>
      <c r="H55" s="102" t="s">
        <v>983</v>
      </c>
      <c r="I55" s="102"/>
      <c r="J55" s="102">
        <v>5</v>
      </c>
      <c r="K55" s="102">
        <v>2</v>
      </c>
    </row>
    <row r="56" spans="1:11" x14ac:dyDescent="0.3">
      <c r="B56" s="102" t="s">
        <v>984</v>
      </c>
      <c r="C56" s="102"/>
      <c r="D56" s="102" t="s">
        <v>926</v>
      </c>
      <c r="E56" s="102" t="s">
        <v>916</v>
      </c>
      <c r="F56" s="102" t="str">
        <f t="shared" si="13"/>
        <v>p-cs-chtintweb-lb-pb?</v>
      </c>
      <c r="G56" s="102" t="s">
        <v>57</v>
      </c>
      <c r="H56" s="102" t="s">
        <v>983</v>
      </c>
      <c r="I56" s="102"/>
      <c r="J56" s="102">
        <v>5</v>
      </c>
      <c r="K56" s="102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3"/>
        <v>p-bdp-crkweb-lb-pb443</v>
      </c>
      <c r="G57" s="74" t="s">
        <v>57</v>
      </c>
      <c r="H57" s="74">
        <v>443</v>
      </c>
      <c r="I57" s="74"/>
      <c r="J57" s="74">
        <v>5</v>
      </c>
      <c r="K57" s="74">
        <v>2</v>
      </c>
    </row>
    <row r="58" spans="1:11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74" t="str">
        <f t="shared" ref="F58" si="14">SUBSTITUTE(E58, "hazr-", "")&amp;"-pb"&amp;H58</f>
        <v>p-bdp-crkweb-lb-pb8080</v>
      </c>
      <c r="G58" s="74" t="s">
        <v>57</v>
      </c>
      <c r="H58" s="74">
        <v>8080</v>
      </c>
      <c r="I58" s="74"/>
      <c r="J58" s="74"/>
      <c r="K58" s="74"/>
    </row>
    <row r="59" spans="1:11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82" t="str">
        <f t="shared" si="13"/>
        <v>p-bdp-crkap-lb-pb8085</v>
      </c>
      <c r="G59" s="82" t="s">
        <v>57</v>
      </c>
      <c r="H59" s="82">
        <v>8085</v>
      </c>
      <c r="I59" s="82"/>
      <c r="J59" s="82">
        <v>5</v>
      </c>
      <c r="K59" s="82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74" t="str">
        <f t="shared" si="13"/>
        <v>p-bdp-crkml-lb-pb8082</v>
      </c>
      <c r="G60" s="74" t="s">
        <v>57</v>
      </c>
      <c r="H60" s="74">
        <v>8082</v>
      </c>
      <c r="I60" s="74"/>
      <c r="J60" s="74">
        <v>5</v>
      </c>
      <c r="K60" s="74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1025</v>
      </c>
      <c r="F61" s="82" t="str">
        <f>SUBSTITUTE(E61, "hazr-", "")&amp;"-pb"&amp;H61</f>
        <v>p-dtg-bbigeoap-lb-pb8089</v>
      </c>
      <c r="G61" s="82" t="s">
        <v>57</v>
      </c>
      <c r="H61" s="82">
        <v>8089</v>
      </c>
      <c r="I61" s="82"/>
      <c r="J61" s="82">
        <v>5</v>
      </c>
      <c r="K61" s="82">
        <v>2</v>
      </c>
    </row>
    <row r="62" spans="1:11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1025</v>
      </c>
      <c r="F62" s="82" t="str">
        <f>SUBSTITUTE(E62, "hazr-", "")&amp;"-pb"&amp;H62</f>
        <v>p-dtg-bbigeoap-lb-pb9089</v>
      </c>
      <c r="G62" s="82" t="s">
        <v>57</v>
      </c>
      <c r="H62" s="82">
        <v>9089</v>
      </c>
      <c r="I62" s="82"/>
      <c r="J62" s="82">
        <v>5</v>
      </c>
      <c r="K62" s="82">
        <v>2</v>
      </c>
    </row>
    <row r="63" spans="1:11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ref="F63:F78" si="15">SUBSTITUTE(E63, "hazr-", "")&amp;"-pb"&amp;H63</f>
        <v>p-com-esnweb-lb-pb8080</v>
      </c>
      <c r="G63" s="74" t="s">
        <v>57</v>
      </c>
      <c r="H63" s="74">
        <v>8080</v>
      </c>
      <c r="I63" s="74"/>
      <c r="J63" s="74">
        <v>5</v>
      </c>
      <c r="K63" s="74">
        <v>2</v>
      </c>
    </row>
    <row r="64" spans="1:11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74" t="str">
        <f t="shared" si="15"/>
        <v>p-com-esnweb-lb-pb443</v>
      </c>
      <c r="G64" s="74" t="s">
        <v>57</v>
      </c>
      <c r="H64" s="74">
        <v>443</v>
      </c>
      <c r="I64" s="74"/>
      <c r="J64" s="74">
        <v>5</v>
      </c>
      <c r="K64" s="74">
        <v>2</v>
      </c>
    </row>
    <row r="65" spans="1:11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15"/>
        <v>p-com-esnap-lb-pb8080</v>
      </c>
      <c r="G65" s="82" t="s">
        <v>57</v>
      </c>
      <c r="H65" s="82">
        <v>8080</v>
      </c>
      <c r="I65" s="82"/>
      <c r="J65" s="82">
        <v>5</v>
      </c>
      <c r="K65" s="82">
        <v>2</v>
      </c>
    </row>
    <row r="66" spans="1:11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82" t="str">
        <f t="shared" si="15"/>
        <v>p-com-esnap-lb-pb443</v>
      </c>
      <c r="G66" s="82" t="s">
        <v>57</v>
      </c>
      <c r="H66" s="82">
        <v>443</v>
      </c>
      <c r="I66" s="82"/>
      <c r="J66" s="82">
        <v>5</v>
      </c>
      <c r="K66" s="82">
        <v>2</v>
      </c>
    </row>
    <row r="67" spans="1:11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1109</v>
      </c>
      <c r="E67" s="74" t="s">
        <v>1113</v>
      </c>
      <c r="F67" s="74" t="str">
        <f t="shared" si="15"/>
        <v>p-sec-mevrsol-lb-pb2181</v>
      </c>
      <c r="G67" s="74" t="s">
        <v>57</v>
      </c>
      <c r="H67" s="74">
        <v>2181</v>
      </c>
      <c r="I67" s="74"/>
      <c r="J67" s="74">
        <v>5</v>
      </c>
      <c r="K67" s="74">
        <v>2</v>
      </c>
    </row>
    <row r="68" spans="1:11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1109</v>
      </c>
      <c r="E68" s="74" t="s">
        <v>1113</v>
      </c>
      <c r="F68" s="74" t="str">
        <f t="shared" si="15"/>
        <v>p-sec-mevrsol-lb-pb2182</v>
      </c>
      <c r="G68" s="74" t="s">
        <v>57</v>
      </c>
      <c r="H68" s="74">
        <v>2182</v>
      </c>
      <c r="I68" s="74"/>
      <c r="J68" s="74">
        <v>5</v>
      </c>
      <c r="K68" s="74">
        <v>2</v>
      </c>
    </row>
    <row r="69" spans="1:11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1109</v>
      </c>
      <c r="E69" s="74" t="s">
        <v>1113</v>
      </c>
      <c r="F69" s="74" t="str">
        <f t="shared" si="15"/>
        <v>p-sec-mevrsol-lb-pb4442</v>
      </c>
      <c r="G69" s="74" t="s">
        <v>57</v>
      </c>
      <c r="H69" s="74">
        <v>4442</v>
      </c>
      <c r="I69" s="74"/>
      <c r="J69" s="74">
        <v>5</v>
      </c>
      <c r="K69" s="74">
        <v>2</v>
      </c>
    </row>
    <row r="70" spans="1:11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1109</v>
      </c>
      <c r="E70" s="74" t="s">
        <v>1113</v>
      </c>
      <c r="F70" s="74" t="str">
        <f t="shared" si="15"/>
        <v>p-sec-mevrsol-lb-pb4443</v>
      </c>
      <c r="G70" s="74" t="s">
        <v>57</v>
      </c>
      <c r="H70" s="74">
        <v>4443</v>
      </c>
      <c r="I70" s="74"/>
      <c r="J70" s="74">
        <v>5</v>
      </c>
      <c r="K70" s="74">
        <v>2</v>
      </c>
    </row>
    <row r="71" spans="1:11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1109</v>
      </c>
      <c r="E71" s="74" t="s">
        <v>1113</v>
      </c>
      <c r="F71" s="74" t="str">
        <f t="shared" si="15"/>
        <v>p-sec-mevrsol-lb-pb4444</v>
      </c>
      <c r="G71" s="74" t="s">
        <v>57</v>
      </c>
      <c r="H71" s="74">
        <v>4444</v>
      </c>
      <c r="I71" s="74"/>
      <c r="J71" s="74">
        <v>5</v>
      </c>
      <c r="K71" s="74">
        <v>2</v>
      </c>
    </row>
    <row r="72" spans="1:11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1109</v>
      </c>
      <c r="E72" s="74" t="s">
        <v>1113</v>
      </c>
      <c r="F72" s="74" t="str">
        <f t="shared" si="15"/>
        <v>p-sec-mevrsol-lb-pb8090</v>
      </c>
      <c r="G72" s="74" t="s">
        <v>57</v>
      </c>
      <c r="H72" s="74">
        <v>8090</v>
      </c>
      <c r="I72" s="74"/>
      <c r="J72" s="74">
        <v>5</v>
      </c>
      <c r="K72" s="74">
        <v>2</v>
      </c>
    </row>
    <row r="73" spans="1:11" x14ac:dyDescent="0.3">
      <c r="A73" s="90"/>
      <c r="B73" s="82" t="s">
        <v>23</v>
      </c>
      <c r="C73" s="82" t="str" cm="1">
        <f t="array" ref="C73">UPPER(INDEX(_xlfn.TEXTSPLIT($D73, "-"), 3))</f>
        <v>CLV</v>
      </c>
      <c r="D73" s="82" t="s">
        <v>1133</v>
      </c>
      <c r="E73" s="82" t="s">
        <v>1164</v>
      </c>
      <c r="F73" s="82" t="str">
        <f t="shared" si="15"/>
        <v>p-clv-web-lb-pb443</v>
      </c>
      <c r="G73" s="82" t="s">
        <v>1130</v>
      </c>
      <c r="H73" s="82">
        <v>443</v>
      </c>
      <c r="I73" s="82"/>
      <c r="J73" s="82">
        <v>5</v>
      </c>
      <c r="K73" s="82">
        <v>2</v>
      </c>
    </row>
    <row r="74" spans="1:11" x14ac:dyDescent="0.3">
      <c r="A74" s="90"/>
      <c r="B74" s="74" t="s">
        <v>23</v>
      </c>
      <c r="C74" s="74" t="str" cm="1">
        <f t="array" ref="C74">UPPER(INDEX(_xlfn.TEXTSPLIT($D74, "-"), 3))</f>
        <v>CLV</v>
      </c>
      <c r="D74" s="74" t="s">
        <v>1133</v>
      </c>
      <c r="E74" s="74" t="s">
        <v>1117</v>
      </c>
      <c r="F74" s="74" t="str">
        <f t="shared" si="15"/>
        <v>p-dis-clvap-lb-pb8080</v>
      </c>
      <c r="G74" s="74" t="s">
        <v>1130</v>
      </c>
      <c r="H74" s="74">
        <v>8080</v>
      </c>
      <c r="I74" s="74"/>
      <c r="J74" s="74">
        <v>5</v>
      </c>
      <c r="K74" s="74">
        <v>2</v>
      </c>
    </row>
    <row r="75" spans="1:11" x14ac:dyDescent="0.3">
      <c r="A75" s="90"/>
      <c r="B75" s="82" t="s">
        <v>23</v>
      </c>
      <c r="C75" s="82" t="str" cm="1">
        <f t="array" ref="C75">UPPER(INDEX(_xlfn.TEXTSPLIT($D75, "-"), 3))</f>
        <v>CLV</v>
      </c>
      <c r="D75" s="82" t="s">
        <v>1133</v>
      </c>
      <c r="E75" s="82" t="s">
        <v>1166</v>
      </c>
      <c r="F75" s="82" t="str">
        <f t="shared" si="15"/>
        <v>p-clv-ssrap-lb-pb8080</v>
      </c>
      <c r="G75" s="82" t="s">
        <v>1130</v>
      </c>
      <c r="H75" s="82">
        <v>8080</v>
      </c>
      <c r="I75" s="82"/>
      <c r="J75" s="82">
        <v>5</v>
      </c>
      <c r="K75" s="82">
        <v>2</v>
      </c>
    </row>
    <row r="76" spans="1:11" x14ac:dyDescent="0.3">
      <c r="A76" s="90"/>
      <c r="B76" s="74" t="s">
        <v>23</v>
      </c>
      <c r="C76" s="74" t="str" cm="1">
        <f t="array" ref="C76">UPPER(INDEX(_xlfn.TEXTSPLIT($D76, "-"), 3))</f>
        <v>CLV</v>
      </c>
      <c r="D76" s="74" t="s">
        <v>1133</v>
      </c>
      <c r="E76" s="74" t="s">
        <v>1167</v>
      </c>
      <c r="F76" s="74" t="str">
        <f t="shared" si="15"/>
        <v>p-clv-admweb-lb-pb443</v>
      </c>
      <c r="G76" s="74" t="s">
        <v>1130</v>
      </c>
      <c r="H76" s="74">
        <v>443</v>
      </c>
      <c r="I76" s="74"/>
      <c r="J76" s="74">
        <v>5</v>
      </c>
      <c r="K76" s="74">
        <v>2</v>
      </c>
    </row>
    <row r="77" spans="1:11" x14ac:dyDescent="0.3">
      <c r="A77" s="90"/>
      <c r="B77" s="82" t="s">
        <v>23</v>
      </c>
      <c r="C77" s="82" t="str" cm="1">
        <f t="array" ref="C77">UPPER(INDEX(_xlfn.TEXTSPLIT($D77, "-"), 3))</f>
        <v>CLV</v>
      </c>
      <c r="D77" s="82" t="s">
        <v>1133</v>
      </c>
      <c r="E77" s="82" t="s">
        <v>1168</v>
      </c>
      <c r="F77" s="82" t="str">
        <f t="shared" si="15"/>
        <v>p-clv-admap-lb-pb8080</v>
      </c>
      <c r="G77" s="82" t="s">
        <v>1130</v>
      </c>
      <c r="H77" s="82">
        <v>8080</v>
      </c>
      <c r="I77" s="82"/>
      <c r="J77" s="82">
        <v>5</v>
      </c>
      <c r="K77" s="82">
        <v>2</v>
      </c>
    </row>
    <row r="78" spans="1:11" x14ac:dyDescent="0.3">
      <c r="B78" s="74" t="s">
        <v>23</v>
      </c>
      <c r="C78" s="74" t="e" cm="1">
        <f t="array" ref="C78">UPPER(INDEX(_xlfn.TEXTSPLIT($D78, "-"), 3))</f>
        <v>#VALUE!</v>
      </c>
      <c r="D78" s="74"/>
      <c r="E78" s="74"/>
      <c r="F78" s="74" t="str">
        <f t="shared" si="15"/>
        <v>-pb443</v>
      </c>
      <c r="G78" s="74" t="s">
        <v>57</v>
      </c>
      <c r="H78" s="74">
        <v>443</v>
      </c>
      <c r="I78" s="74"/>
      <c r="J78" s="74">
        <v>5</v>
      </c>
      <c r="K78" s="74">
        <v>2</v>
      </c>
    </row>
    <row r="79" spans="1:11" x14ac:dyDescent="0.3">
      <c r="B79" s="82" t="s">
        <v>23</v>
      </c>
      <c r="C79" s="82" t="e" cm="1">
        <f t="array" ref="C79">UPPER(INDEX(_xlfn.TEXTSPLIT($D79, "-"), 3))</f>
        <v>#VALUE!</v>
      </c>
      <c r="D79" s="82"/>
      <c r="E79" s="82"/>
      <c r="F79" s="82" t="str">
        <f t="shared" ref="F79:F87" si="16">SUBSTITUTE(E79, "hazr-", "")&amp;"-pb"&amp;H79</f>
        <v>-pb8080</v>
      </c>
      <c r="G79" s="82" t="s">
        <v>57</v>
      </c>
      <c r="H79" s="82">
        <v>8080</v>
      </c>
      <c r="I79" s="82"/>
      <c r="J79" s="82">
        <v>5</v>
      </c>
      <c r="K79" s="82">
        <v>2</v>
      </c>
    </row>
    <row r="80" spans="1:11" x14ac:dyDescent="0.3">
      <c r="B80" s="74" t="s">
        <v>23</v>
      </c>
      <c r="C80" s="74" t="str" cm="1">
        <f t="array" ref="C80">UPPER(INDEX(_xlfn.TEXTSPLIT($D80, "-"), 3))</f>
        <v>BDP</v>
      </c>
      <c r="D80" s="74" t="s">
        <v>924</v>
      </c>
      <c r="E80" s="74" t="s">
        <v>1084</v>
      </c>
      <c r="F80" s="74" t="str">
        <f t="shared" si="16"/>
        <v>p-bdp-rlgcweb-lb-pb443</v>
      </c>
      <c r="G80" s="74" t="s">
        <v>57</v>
      </c>
      <c r="H80" s="74">
        <v>443</v>
      </c>
      <c r="I80" s="74"/>
      <c r="J80" s="74">
        <v>5</v>
      </c>
      <c r="K80" s="74">
        <v>2</v>
      </c>
    </row>
    <row r="81" spans="2:11" x14ac:dyDescent="0.3">
      <c r="B81" s="82" t="s">
        <v>23</v>
      </c>
      <c r="C81" s="82" t="str" cm="1">
        <f t="array" ref="C81">UPPER(INDEX(_xlfn.TEXTSPLIT($D81, "-"), 3))</f>
        <v>BDP</v>
      </c>
      <c r="D81" s="82" t="s">
        <v>924</v>
      </c>
      <c r="E81" s="82" t="s">
        <v>1085</v>
      </c>
      <c r="F81" s="82" t="str">
        <f t="shared" si="16"/>
        <v>p-bdp-rlgcap-lb-pb9092</v>
      </c>
      <c r="G81" s="82" t="s">
        <v>57</v>
      </c>
      <c r="H81" s="82">
        <v>9092</v>
      </c>
      <c r="I81" s="82"/>
      <c r="J81" s="82">
        <v>5</v>
      </c>
      <c r="K81" s="82">
        <v>2</v>
      </c>
    </row>
    <row r="82" spans="2:11" x14ac:dyDescent="0.3">
      <c r="B82" s="82" t="s">
        <v>23</v>
      </c>
      <c r="C82" s="82" t="str" cm="1">
        <f t="array" ref="C82">UPPER(INDEX(_xlfn.TEXTSPLIT($D82, "-"), 3))</f>
        <v>BDP</v>
      </c>
      <c r="D82" s="82" t="s">
        <v>924</v>
      </c>
      <c r="E82" s="82" t="s">
        <v>1085</v>
      </c>
      <c r="F82" s="82" t="str">
        <f t="shared" si="16"/>
        <v>p-bdp-rlgcap-lb-pb9880</v>
      </c>
      <c r="G82" s="82" t="s">
        <v>57</v>
      </c>
      <c r="H82" s="82">
        <v>9880</v>
      </c>
      <c r="I82" s="82"/>
      <c r="J82" s="82">
        <v>5</v>
      </c>
      <c r="K82" s="82">
        <v>2</v>
      </c>
    </row>
    <row r="83" spans="2:11" x14ac:dyDescent="0.3">
      <c r="B83" s="82" t="s">
        <v>23</v>
      </c>
      <c r="C83" s="82" t="str" cm="1">
        <f t="array" ref="C83">UPPER(INDEX(_xlfn.TEXTSPLIT($D83, "-"), 3))</f>
        <v>BDP</v>
      </c>
      <c r="D83" s="82" t="s">
        <v>924</v>
      </c>
      <c r="E83" s="82" t="s">
        <v>1085</v>
      </c>
      <c r="F83" s="82" t="str">
        <f t="shared" si="16"/>
        <v>p-bdp-rlgcap-lb-pb29105</v>
      </c>
      <c r="G83" s="82" t="s">
        <v>57</v>
      </c>
      <c r="H83" s="82">
        <v>29105</v>
      </c>
      <c r="I83" s="82"/>
      <c r="J83" s="82">
        <v>5</v>
      </c>
      <c r="K83" s="82">
        <v>2</v>
      </c>
    </row>
    <row r="84" spans="2:11" x14ac:dyDescent="0.3">
      <c r="B84" s="82" t="s">
        <v>23</v>
      </c>
      <c r="C84" s="82" t="str" cm="1">
        <f t="array" ref="C84">UPPER(INDEX(_xlfn.TEXTSPLIT($D84, "-"), 3))</f>
        <v>BDP</v>
      </c>
      <c r="D84" s="82" t="s">
        <v>924</v>
      </c>
      <c r="E84" s="82" t="s">
        <v>1085</v>
      </c>
      <c r="F84" s="82" t="str">
        <f t="shared" si="16"/>
        <v>p-bdp-rlgcap-lb-pb29106</v>
      </c>
      <c r="G84" s="82" t="s">
        <v>57</v>
      </c>
      <c r="H84" s="82">
        <v>29106</v>
      </c>
      <c r="I84" s="82"/>
      <c r="J84" s="82">
        <v>5</v>
      </c>
      <c r="K84" s="82">
        <v>2</v>
      </c>
    </row>
    <row r="85" spans="2:11" x14ac:dyDescent="0.3">
      <c r="B85" s="82" t="s">
        <v>23</v>
      </c>
      <c r="C85" s="82" t="str" cm="1">
        <f t="array" ref="C85">UPPER(INDEX(_xlfn.TEXTSPLIT($D85, "-"), 3))</f>
        <v>BDP</v>
      </c>
      <c r="D85" s="82" t="s">
        <v>924</v>
      </c>
      <c r="E85" s="82" t="s">
        <v>1085</v>
      </c>
      <c r="F85" s="82" t="str">
        <f t="shared" si="16"/>
        <v>p-bdp-rlgcap-lb-pb29107</v>
      </c>
      <c r="G85" s="82" t="s">
        <v>57</v>
      </c>
      <c r="H85" s="82">
        <v>29107</v>
      </c>
      <c r="I85" s="82"/>
      <c r="J85" s="82">
        <v>5</v>
      </c>
      <c r="K85" s="82">
        <v>2</v>
      </c>
    </row>
    <row r="86" spans="2:11" x14ac:dyDescent="0.3">
      <c r="B86" s="82" t="s">
        <v>23</v>
      </c>
      <c r="C86" s="82" t="str" cm="1">
        <f t="array" ref="C86">UPPER(INDEX(_xlfn.TEXTSPLIT($D86, "-"), 3))</f>
        <v>BDP</v>
      </c>
      <c r="D86" s="82" t="s">
        <v>924</v>
      </c>
      <c r="E86" s="82" t="s">
        <v>1085</v>
      </c>
      <c r="F86" s="82" t="str">
        <f t="shared" si="16"/>
        <v>p-bdp-rlgcap-lb-pb29108</v>
      </c>
      <c r="G86" s="82" t="s">
        <v>57</v>
      </c>
      <c r="H86" s="82">
        <v>29108</v>
      </c>
      <c r="I86" s="82"/>
      <c r="J86" s="82">
        <v>5</v>
      </c>
      <c r="K86" s="82">
        <v>2</v>
      </c>
    </row>
    <row r="87" spans="2:11" x14ac:dyDescent="0.3">
      <c r="B87" s="82" t="s">
        <v>23</v>
      </c>
      <c r="C87" s="82" t="str" cm="1">
        <f t="array" ref="C87">UPPER(INDEX(_xlfn.TEXTSPLIT($D87, "-"), 3))</f>
        <v>BDP</v>
      </c>
      <c r="D87" s="82" t="s">
        <v>924</v>
      </c>
      <c r="E87" s="82" t="s">
        <v>1085</v>
      </c>
      <c r="F87" s="82" t="str">
        <f t="shared" si="16"/>
        <v>p-bdp-rlgcap-lb-pb29109</v>
      </c>
      <c r="G87" s="82" t="s">
        <v>57</v>
      </c>
      <c r="H87" s="122">
        <v>29109</v>
      </c>
      <c r="I87" s="82"/>
      <c r="J87" s="82">
        <v>5</v>
      </c>
      <c r="K87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S87"/>
  <sheetViews>
    <sheetView tabSelected="1" topLeftCell="A61" workbookViewId="0">
      <selection activeCell="E76" sqref="E76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18" si="0">SUBSTITUTE(E2, "hazr-", "")&amp;"-rule"&amp;O2</f>
        <v>p-dis-ap-lb-rule8080</v>
      </c>
      <c r="G2" s="82" t="str">
        <f t="shared" ref="G2:G36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6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:F60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0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82" t="str">
        <f t="shared" ref="F34" si="12">SUBSTITUTE(E34, "hazr-", "")&amp;"-rule"&amp;O34</f>
        <v>p-dtg-admap-lb-rule8088</v>
      </c>
      <c r="G34" s="82" t="str">
        <f t="shared" ref="G34" si="13">SUBSTITUTE(E34, "hazr-", "")&amp;"-fe"</f>
        <v>p-dtg-admap-lb-fe</v>
      </c>
      <c r="H34" s="82" t="s">
        <v>57</v>
      </c>
      <c r="I34" s="82">
        <v>8088</v>
      </c>
      <c r="J34" s="82" t="b">
        <v>0</v>
      </c>
      <c r="K34" s="82" t="str">
        <f t="shared" ref="K34" si="14">SUBSTITUTE(E34, "hazr-", "")&amp;"-bp"</f>
        <v>p-dtg-admap-lb-bp</v>
      </c>
      <c r="L34" s="82">
        <v>8088</v>
      </c>
      <c r="M34" s="82" t="str">
        <f t="shared" ref="M34" si="15">SUBSTITUTE(E34, "hazr-", "")&amp;"-pb"&amp;IF(O34="", "", O34)</f>
        <v>p-dtg-admap-lb-pb8088</v>
      </c>
      <c r="N34" s="82" t="s">
        <v>57</v>
      </c>
      <c r="O34" s="82">
        <v>8088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10"/>
        <v>p-dtg-web-lb-rule8080</v>
      </c>
      <c r="G35" s="74" t="str">
        <f t="shared" si="1"/>
        <v>p-dtg-web-lb-fe</v>
      </c>
      <c r="H35" s="74" t="s">
        <v>57</v>
      </c>
      <c r="I35" s="74">
        <v>8080</v>
      </c>
      <c r="J35" s="74" t="b">
        <v>0</v>
      </c>
      <c r="K35" s="74" t="str">
        <f t="shared" si="2"/>
        <v>p-dtg-web-lb-bp</v>
      </c>
      <c r="L35" s="74">
        <v>8080</v>
      </c>
      <c r="M35" s="74" t="str">
        <f t="shared" si="11"/>
        <v>p-dtg-web-lb-pb8080</v>
      </c>
      <c r="N35" s="74" t="s">
        <v>57</v>
      </c>
      <c r="O35" s="74">
        <v>8080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74" t="str">
        <f t="shared" si="10"/>
        <v>p-dtg-web-lb-rule8081</v>
      </c>
      <c r="G36" s="74" t="str">
        <f t="shared" si="1"/>
        <v>p-dtg-web-lb-fe</v>
      </c>
      <c r="H36" s="74" t="s">
        <v>57</v>
      </c>
      <c r="I36" s="74">
        <v>8081</v>
      </c>
      <c r="J36" s="74" t="b">
        <v>0</v>
      </c>
      <c r="K36" s="74" t="str">
        <f t="shared" si="2"/>
        <v>p-dtg-web-lb-bp</v>
      </c>
      <c r="L36" s="74">
        <v>8081</v>
      </c>
      <c r="M36" s="74" t="str">
        <f t="shared" si="11"/>
        <v>p-dtg-web-lb-pb8081</v>
      </c>
      <c r="N36" s="74" t="s">
        <v>57</v>
      </c>
      <c r="O36" s="74">
        <v>8081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82" t="str">
        <f t="shared" si="10"/>
        <v>p-dtg-cdmlap-lb-rule3000</v>
      </c>
      <c r="G37" s="82" t="str">
        <f t="shared" ref="G37:G60" si="16">SUBSTITUTE(E37, "hazr-", "")&amp;"-fe"</f>
        <v>p-dtg-cdmlap-lb-fe</v>
      </c>
      <c r="H37" s="82" t="s">
        <v>57</v>
      </c>
      <c r="I37" s="82">
        <v>3000</v>
      </c>
      <c r="J37" s="82" t="b">
        <v>0</v>
      </c>
      <c r="K37" s="82" t="str">
        <f t="shared" ref="K37:K60" si="17">SUBSTITUTE(E37, "hazr-", "")&amp;"-bp"</f>
        <v>p-dtg-cdmlap-lb-bp</v>
      </c>
      <c r="L37" s="82">
        <v>3000</v>
      </c>
      <c r="M37" s="82" t="str">
        <f t="shared" si="11"/>
        <v>p-dtg-cdmlap-lb-pb3000</v>
      </c>
      <c r="N37" s="82" t="s">
        <v>57</v>
      </c>
      <c r="O37" s="82">
        <v>3000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10"/>
        <v>p-dtg-cdstap-lb-rule9305</v>
      </c>
      <c r="G38" s="74" t="str">
        <f t="shared" si="16"/>
        <v>p-dtg-cdstap-lb-fe</v>
      </c>
      <c r="H38" s="74" t="s">
        <v>57</v>
      </c>
      <c r="I38" s="74">
        <v>9305</v>
      </c>
      <c r="J38" s="74" t="b">
        <v>0</v>
      </c>
      <c r="K38" s="74" t="str">
        <f t="shared" si="17"/>
        <v>p-dtg-cdstap-lb-bp</v>
      </c>
      <c r="L38" s="74">
        <v>9305</v>
      </c>
      <c r="M38" s="74" t="str">
        <f t="shared" si="11"/>
        <v>p-dtg-cdstap-lb-pb9305</v>
      </c>
      <c r="N38" s="74" t="s">
        <v>57</v>
      </c>
      <c r="O38" s="74">
        <v>9305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74" t="str">
        <f t="shared" si="10"/>
        <v>p-dtg-cdstap-lb-rule9306</v>
      </c>
      <c r="G39" s="74" t="str">
        <f t="shared" si="16"/>
        <v>p-dtg-cdstap-lb-fe</v>
      </c>
      <c r="H39" s="74" t="s">
        <v>57</v>
      </c>
      <c r="I39" s="74">
        <v>9306</v>
      </c>
      <c r="J39" s="74" t="b">
        <v>0</v>
      </c>
      <c r="K39" s="74" t="str">
        <f t="shared" si="17"/>
        <v>p-dtg-cdstap-lb-bp</v>
      </c>
      <c r="L39" s="74">
        <v>9306</v>
      </c>
      <c r="M39" s="74" t="str">
        <f t="shared" si="11"/>
        <v>p-dtg-cdstap-lb-pb9306</v>
      </c>
      <c r="N39" s="74" t="s">
        <v>57</v>
      </c>
      <c r="O39" s="74">
        <v>9306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10"/>
        <v>p-dtg-cdsvadm-lb-rule9100</v>
      </c>
      <c r="G40" s="82" t="str">
        <f t="shared" si="16"/>
        <v>p-dtg-cdsvadm-lb-fe</v>
      </c>
      <c r="H40" s="82" t="s">
        <v>57</v>
      </c>
      <c r="I40" s="82">
        <v>9100</v>
      </c>
      <c r="J40" s="82" t="b">
        <v>0</v>
      </c>
      <c r="K40" s="82" t="str">
        <f t="shared" si="17"/>
        <v>p-dtg-cdsvadm-lb-bp</v>
      </c>
      <c r="L40" s="82">
        <v>9100</v>
      </c>
      <c r="M40" s="82" t="str">
        <f t="shared" si="11"/>
        <v>p-dtg-cdsvadm-lb-pb9100</v>
      </c>
      <c r="N40" s="82" t="s">
        <v>57</v>
      </c>
      <c r="O40" s="82">
        <v>9100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si="10"/>
        <v>p-dtg-cdsvadm-lb-rule9300</v>
      </c>
      <c r="G41" s="82" t="str">
        <f t="shared" si="16"/>
        <v>p-dtg-cdsvadm-lb-fe</v>
      </c>
      <c r="H41" s="82" t="s">
        <v>57</v>
      </c>
      <c r="I41" s="82">
        <v>9300</v>
      </c>
      <c r="J41" s="82" t="b">
        <v>0</v>
      </c>
      <c r="K41" s="82" t="str">
        <f t="shared" si="17"/>
        <v>p-dtg-cdsvadm-lb-bp</v>
      </c>
      <c r="L41" s="82">
        <v>9300</v>
      </c>
      <c r="M41" s="82" t="str">
        <f t="shared" si="11"/>
        <v>p-dtg-cdsvadm-lb-pb9300</v>
      </c>
      <c r="N41" s="82" t="s">
        <v>57</v>
      </c>
      <c r="O41" s="82">
        <v>9300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0"/>
        <v>p-dtg-cdsvadm-lb-rule9105</v>
      </c>
      <c r="G42" s="82" t="str">
        <f t="shared" si="16"/>
        <v>p-dtg-cdsvadm-lb-fe</v>
      </c>
      <c r="H42" s="82" t="s">
        <v>57</v>
      </c>
      <c r="I42" s="82">
        <v>9105</v>
      </c>
      <c r="J42" s="82" t="b">
        <v>0</v>
      </c>
      <c r="K42" s="82" t="str">
        <f t="shared" si="17"/>
        <v>p-dtg-cdsvadm-lb-bp</v>
      </c>
      <c r="L42" s="82">
        <v>9105</v>
      </c>
      <c r="M42" s="82" t="str">
        <f t="shared" si="11"/>
        <v>p-dtg-cdsvadm-lb-pb9105</v>
      </c>
      <c r="N42" s="82" t="s">
        <v>57</v>
      </c>
      <c r="O42" s="82">
        <v>9105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0"/>
        <v>p-dtg-cdsvadm-lb-rule9003</v>
      </c>
      <c r="G43" s="82" t="str">
        <f t="shared" si="16"/>
        <v>p-dtg-cdsvadm-lb-fe</v>
      </c>
      <c r="H43" s="82" t="s">
        <v>57</v>
      </c>
      <c r="I43" s="82">
        <v>9003</v>
      </c>
      <c r="J43" s="82" t="b">
        <v>0</v>
      </c>
      <c r="K43" s="82" t="str">
        <f t="shared" si="17"/>
        <v>p-dtg-cdsvadm-lb-bp</v>
      </c>
      <c r="L43" s="82">
        <v>9003</v>
      </c>
      <c r="M43" s="82" t="str">
        <f t="shared" si="11"/>
        <v>p-dtg-cdsvadm-lb-pb9003</v>
      </c>
      <c r="N43" s="82" t="s">
        <v>57</v>
      </c>
      <c r="O43" s="82">
        <v>9003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82" t="str">
        <f t="shared" si="10"/>
        <v>p-dtg-cdsvadm-lb-rule8088</v>
      </c>
      <c r="G44" s="82" t="str">
        <f t="shared" si="16"/>
        <v>p-dtg-cdsvadm-lb-fe</v>
      </c>
      <c r="H44" s="82" t="s">
        <v>57</v>
      </c>
      <c r="I44" s="82">
        <v>8088</v>
      </c>
      <c r="J44" s="82" t="b">
        <v>0</v>
      </c>
      <c r="K44" s="82" t="str">
        <f t="shared" si="17"/>
        <v>p-dtg-cdsvadm-lb-bp</v>
      </c>
      <c r="L44" s="82">
        <v>8088</v>
      </c>
      <c r="M44" s="82" t="str">
        <f t="shared" si="11"/>
        <v>p-dtg-cdsvadm-lb-pb8088</v>
      </c>
      <c r="N44" s="82" t="s">
        <v>57</v>
      </c>
      <c r="O44" s="82">
        <v>8088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74" t="str">
        <f t="shared" si="10"/>
        <v>p-dtg-diosap-lb-rule8080</v>
      </c>
      <c r="G45" s="74" t="str">
        <f t="shared" si="16"/>
        <v>p-dtg-diosap-lb-fe</v>
      </c>
      <c r="H45" s="74" t="s">
        <v>57</v>
      </c>
      <c r="I45" s="74">
        <v>8080</v>
      </c>
      <c r="J45" s="74" t="b">
        <v>0</v>
      </c>
      <c r="K45" s="74" t="str">
        <f t="shared" si="17"/>
        <v>p-dtg-diosap-lb-bp</v>
      </c>
      <c r="L45" s="74">
        <v>8080</v>
      </c>
      <c r="M45" s="74" t="str">
        <f t="shared" si="11"/>
        <v>p-dtg-diosap-lb-pb8080</v>
      </c>
      <c r="N45" s="74" t="s">
        <v>57</v>
      </c>
      <c r="O45" s="74">
        <v>8080</v>
      </c>
      <c r="P45" s="74">
        <v>4</v>
      </c>
      <c r="Q45" s="74" t="s">
        <v>123</v>
      </c>
      <c r="R45" s="74" t="b">
        <v>1</v>
      </c>
      <c r="S45" s="74" t="b">
        <v>0</v>
      </c>
    </row>
    <row r="46" spans="1:19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82" t="str">
        <f t="shared" si="10"/>
        <v>p-dtg-diosweb-lb-rule443</v>
      </c>
      <c r="G46" s="82" t="str">
        <f t="shared" si="16"/>
        <v>p-dtg-diosweb-lb-fe</v>
      </c>
      <c r="H46" s="82" t="s">
        <v>57</v>
      </c>
      <c r="I46" s="82">
        <v>443</v>
      </c>
      <c r="J46" s="82" t="b">
        <v>0</v>
      </c>
      <c r="K46" s="82" t="str">
        <f t="shared" si="17"/>
        <v>p-dtg-diosweb-lb-bp</v>
      </c>
      <c r="L46" s="82">
        <v>443</v>
      </c>
      <c r="M46" s="82" t="str">
        <f t="shared" si="11"/>
        <v>p-dtg-diosweb-lb-pb443</v>
      </c>
      <c r="N46" s="82" t="s">
        <v>57</v>
      </c>
      <c r="O46" s="82">
        <v>443</v>
      </c>
      <c r="P46" s="82">
        <v>4</v>
      </c>
      <c r="Q46" s="82" t="s">
        <v>123</v>
      </c>
      <c r="R46" s="82" t="b">
        <v>1</v>
      </c>
      <c r="S46" s="82" t="b">
        <v>0</v>
      </c>
    </row>
    <row r="47" spans="1:19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74" t="str">
        <f t="shared" si="10"/>
        <v>p-dtg-dprweb-lb-rule443</v>
      </c>
      <c r="G47" s="74" t="str">
        <f t="shared" si="16"/>
        <v>p-dtg-dprweb-lb-fe</v>
      </c>
      <c r="H47" s="74" t="s">
        <v>57</v>
      </c>
      <c r="I47" s="74">
        <v>443</v>
      </c>
      <c r="J47" s="74" t="b">
        <v>0</v>
      </c>
      <c r="K47" s="74" t="str">
        <f t="shared" si="17"/>
        <v>p-dtg-dprweb-lb-bp</v>
      </c>
      <c r="L47" s="74">
        <v>443</v>
      </c>
      <c r="M47" s="74" t="str">
        <f t="shared" si="11"/>
        <v>p-dtg-dprweb-lb-pb443</v>
      </c>
      <c r="N47" s="74" t="s">
        <v>57</v>
      </c>
      <c r="O47" s="74">
        <v>443</v>
      </c>
      <c r="P47" s="74">
        <v>4</v>
      </c>
      <c r="Q47" s="74" t="s">
        <v>123</v>
      </c>
      <c r="R47" s="74" t="b">
        <v>1</v>
      </c>
      <c r="S47" s="74" t="b">
        <v>0</v>
      </c>
    </row>
    <row r="48" spans="1:19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82" t="str">
        <f t="shared" si="10"/>
        <v>p-dtg-dprap-lb-rule8082</v>
      </c>
      <c r="G48" s="82" t="str">
        <f t="shared" si="16"/>
        <v>p-dtg-dprap-lb-fe</v>
      </c>
      <c r="H48" s="82" t="s">
        <v>57</v>
      </c>
      <c r="I48" s="82">
        <v>8082</v>
      </c>
      <c r="J48" s="82" t="b">
        <v>0</v>
      </c>
      <c r="K48" s="82" t="str">
        <f t="shared" si="17"/>
        <v>p-dtg-dprap-lb-bp</v>
      </c>
      <c r="L48" s="82">
        <v>8082</v>
      </c>
      <c r="M48" s="82" t="str">
        <f t="shared" si="11"/>
        <v>p-dtg-dprap-lb-pb8082</v>
      </c>
      <c r="N48" s="82" t="s">
        <v>57</v>
      </c>
      <c r="O48" s="82">
        <v>8082</v>
      </c>
      <c r="P48" s="82">
        <v>4</v>
      </c>
      <c r="Q48" s="82" t="s">
        <v>123</v>
      </c>
      <c r="R48" s="82" t="b">
        <v>1</v>
      </c>
      <c r="S48" s="82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74" t="str">
        <f t="shared" si="10"/>
        <v>p-bdp-cxmadm-lb-rule443</v>
      </c>
      <c r="G49" s="74" t="str">
        <f t="shared" si="16"/>
        <v>p-bdp-cxmadm-lb-fe</v>
      </c>
      <c r="H49" s="74" t="s">
        <v>57</v>
      </c>
      <c r="I49" s="74">
        <v>443</v>
      </c>
      <c r="J49" s="74" t="b">
        <v>0</v>
      </c>
      <c r="K49" s="74" t="str">
        <f t="shared" si="17"/>
        <v>p-bdp-cxmadm-lb-bp</v>
      </c>
      <c r="L49" s="74">
        <v>443</v>
      </c>
      <c r="M49" s="74" t="str">
        <f t="shared" si="11"/>
        <v>p-bdp-cxmadm-lb-pb443</v>
      </c>
      <c r="N49" s="74" t="s">
        <v>57</v>
      </c>
      <c r="O49" s="74">
        <v>443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82" t="str">
        <f t="shared" si="10"/>
        <v>p-bdp-slap-lb-rule443</v>
      </c>
      <c r="G50" s="82" t="str">
        <f t="shared" si="16"/>
        <v>p-bdp-slap-lb-fe</v>
      </c>
      <c r="H50" s="82" t="s">
        <v>57</v>
      </c>
      <c r="I50" s="82">
        <v>443</v>
      </c>
      <c r="J50" s="82" t="b">
        <v>0</v>
      </c>
      <c r="K50" s="82" t="str">
        <f t="shared" si="17"/>
        <v>p-bdp-slap-lb-bp</v>
      </c>
      <c r="L50" s="82">
        <v>443</v>
      </c>
      <c r="M50" s="82" t="str">
        <f t="shared" si="11"/>
        <v>p-bdp-slap-lb-pb443</v>
      </c>
      <c r="N50" s="82" t="s">
        <v>57</v>
      </c>
      <c r="O50" s="82">
        <v>443</v>
      </c>
      <c r="P50" s="82">
        <v>4</v>
      </c>
      <c r="Q50" s="82" t="s">
        <v>123</v>
      </c>
      <c r="R50" s="82" t="b">
        <v>1</v>
      </c>
      <c r="S50" s="82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10"/>
        <v>p-if-auth-lb-rule8088</v>
      </c>
      <c r="G51" s="74" t="str">
        <f t="shared" si="16"/>
        <v>p-if-auth-lb-fe</v>
      </c>
      <c r="H51" s="74" t="s">
        <v>57</v>
      </c>
      <c r="I51" s="74">
        <v>8088</v>
      </c>
      <c r="J51" s="74" t="b">
        <v>0</v>
      </c>
      <c r="K51" s="74" t="str">
        <f t="shared" si="17"/>
        <v>p-if-auth-lb-bp</v>
      </c>
      <c r="L51" s="74">
        <v>8088</v>
      </c>
      <c r="M51" s="74" t="str">
        <f t="shared" si="11"/>
        <v>p-if-auth-lb-pb8088</v>
      </c>
      <c r="N51" s="74" t="s">
        <v>57</v>
      </c>
      <c r="O51" s="74">
        <v>8088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si="10"/>
        <v>p-if-auth-lb-rule9003</v>
      </c>
      <c r="G52" s="74" t="str">
        <f t="shared" si="16"/>
        <v>p-if-auth-lb-fe</v>
      </c>
      <c r="H52" s="74" t="s">
        <v>57</v>
      </c>
      <c r="I52" s="74">
        <v>9003</v>
      </c>
      <c r="J52" s="74" t="b">
        <v>0</v>
      </c>
      <c r="K52" s="74" t="str">
        <f t="shared" si="17"/>
        <v>p-if-auth-lb-bp</v>
      </c>
      <c r="L52" s="74">
        <v>9003</v>
      </c>
      <c r="M52" s="74" t="str">
        <f t="shared" si="11"/>
        <v>p-if-auth-lb-pb9003</v>
      </c>
      <c r="N52" s="74" t="s">
        <v>57</v>
      </c>
      <c r="O52" s="74">
        <v>9003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74" t="str">
        <f t="shared" si="10"/>
        <v>p-if-auth-lb-rule9005</v>
      </c>
      <c r="G53" s="74" t="str">
        <f t="shared" si="16"/>
        <v>p-if-auth-lb-fe</v>
      </c>
      <c r="H53" s="74" t="s">
        <v>57</v>
      </c>
      <c r="I53" s="74">
        <v>9005</v>
      </c>
      <c r="J53" s="74" t="b">
        <v>0</v>
      </c>
      <c r="K53" s="74" t="str">
        <f t="shared" si="17"/>
        <v>p-if-auth-lb-bp</v>
      </c>
      <c r="L53" s="74">
        <v>9005</v>
      </c>
      <c r="M53" s="74" t="str">
        <f t="shared" si="11"/>
        <v>p-if-auth-lb-pb9005</v>
      </c>
      <c r="N53" s="74" t="s">
        <v>57</v>
      </c>
      <c r="O53" s="74">
        <v>9005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B54" s="102" t="s">
        <v>984</v>
      </c>
      <c r="C54" s="102"/>
      <c r="D54" s="102" t="s">
        <v>926</v>
      </c>
      <c r="E54" s="102" t="s">
        <v>914</v>
      </c>
      <c r="F54" s="102" t="str">
        <f t="shared" si="10"/>
        <v>p-cs-chtap-lb-rule?</v>
      </c>
      <c r="G54" s="102" t="str">
        <f t="shared" si="16"/>
        <v>p-cs-chtap-lb-fe</v>
      </c>
      <c r="H54" s="102" t="s">
        <v>57</v>
      </c>
      <c r="I54" s="102" t="s">
        <v>983</v>
      </c>
      <c r="J54" s="102" t="b">
        <v>0</v>
      </c>
      <c r="K54" s="102" t="str">
        <f t="shared" si="17"/>
        <v>p-cs-chtap-lb-bp</v>
      </c>
      <c r="L54" s="102" t="s">
        <v>983</v>
      </c>
      <c r="M54" s="102" t="str">
        <f t="shared" si="11"/>
        <v>p-cs-chtap-lb-pb?</v>
      </c>
      <c r="N54" s="102" t="s">
        <v>57</v>
      </c>
      <c r="O54" s="102" t="s">
        <v>983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984</v>
      </c>
      <c r="C55" s="102"/>
      <c r="D55" s="102" t="s">
        <v>926</v>
      </c>
      <c r="E55" s="102" t="s">
        <v>985</v>
      </c>
      <c r="F55" s="102" t="str">
        <f t="shared" si="10"/>
        <v>p-cs-chtweb-lb-rule?</v>
      </c>
      <c r="G55" s="102" t="str">
        <f t="shared" si="16"/>
        <v>p-cs-chtweb-lb-fe</v>
      </c>
      <c r="H55" s="102" t="s">
        <v>57</v>
      </c>
      <c r="I55" s="102" t="s">
        <v>983</v>
      </c>
      <c r="J55" s="102" t="b">
        <v>0</v>
      </c>
      <c r="K55" s="102" t="str">
        <f t="shared" si="17"/>
        <v>p-cs-chtweb-lb-bp</v>
      </c>
      <c r="L55" s="102" t="s">
        <v>983</v>
      </c>
      <c r="M55" s="102" t="str">
        <f t="shared" si="11"/>
        <v>p-cs-chtweb-lb-pb?</v>
      </c>
      <c r="N55" s="102" t="s">
        <v>57</v>
      </c>
      <c r="O55" s="102" t="s">
        <v>983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984</v>
      </c>
      <c r="C56" s="102"/>
      <c r="D56" s="102" t="s">
        <v>926</v>
      </c>
      <c r="E56" s="102" t="s">
        <v>916</v>
      </c>
      <c r="F56" s="102" t="str">
        <f t="shared" si="10"/>
        <v>p-cs-chtintweb-lb-rule?</v>
      </c>
      <c r="G56" s="102" t="str">
        <f t="shared" si="16"/>
        <v>p-cs-chtintweb-lb-fe</v>
      </c>
      <c r="H56" s="102" t="s">
        <v>57</v>
      </c>
      <c r="I56" s="102" t="s">
        <v>983</v>
      </c>
      <c r="J56" s="102" t="b">
        <v>0</v>
      </c>
      <c r="K56" s="102" t="str">
        <f t="shared" si="17"/>
        <v>p-cs-chtintweb-lb-bp</v>
      </c>
      <c r="L56" s="102" t="s">
        <v>983</v>
      </c>
      <c r="M56" s="102" t="str">
        <f t="shared" si="11"/>
        <v>p-cs-chtintweb-lb-pb?</v>
      </c>
      <c r="N56" s="102" t="s">
        <v>57</v>
      </c>
      <c r="O56" s="102" t="s">
        <v>983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0"/>
        <v>p-bdp-crkweb-lb-rule443</v>
      </c>
      <c r="G57" s="74" t="str">
        <f t="shared" si="16"/>
        <v>p-bdp-crkweb-lb-fe</v>
      </c>
      <c r="H57" s="74" t="s">
        <v>57</v>
      </c>
      <c r="I57" s="74">
        <v>443</v>
      </c>
      <c r="J57" s="74" t="b">
        <v>0</v>
      </c>
      <c r="K57" s="74" t="str">
        <f t="shared" si="17"/>
        <v>p-bdp-crkweb-lb-bp</v>
      </c>
      <c r="L57" s="74">
        <v>443</v>
      </c>
      <c r="M57" s="74" t="str">
        <f t="shared" si="11"/>
        <v>p-bdp-crkweb-lb-pb443</v>
      </c>
      <c r="N57" s="74" t="s">
        <v>57</v>
      </c>
      <c r="O57" s="74">
        <v>443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74" t="str">
        <f t="shared" si="10"/>
        <v>p-bdp-crkweb-lb-rule8080</v>
      </c>
      <c r="G58" s="74" t="str">
        <f t="shared" si="16"/>
        <v>p-bdp-crkweb-lb-fe</v>
      </c>
      <c r="H58" s="74" t="s">
        <v>57</v>
      </c>
      <c r="I58" s="74">
        <v>8080</v>
      </c>
      <c r="J58" s="74" t="b">
        <v>0</v>
      </c>
      <c r="K58" s="74" t="str">
        <f t="shared" si="17"/>
        <v>p-bdp-crkweb-lb-bp</v>
      </c>
      <c r="L58" s="74">
        <v>8080</v>
      </c>
      <c r="M58" s="74" t="str">
        <f t="shared" si="11"/>
        <v>p-bdp-crkweb-lb-pb8080</v>
      </c>
      <c r="N58" s="74" t="s">
        <v>57</v>
      </c>
      <c r="O58" s="74">
        <v>8080</v>
      </c>
      <c r="P58" s="74">
        <v>4</v>
      </c>
      <c r="Q58" s="74" t="s">
        <v>123</v>
      </c>
      <c r="R58" s="74" t="b">
        <v>1</v>
      </c>
      <c r="S58" s="74" t="b">
        <v>0</v>
      </c>
    </row>
    <row r="59" spans="1:19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82" t="str">
        <f t="shared" si="10"/>
        <v>p-bdp-crkap-lb-rule8085</v>
      </c>
      <c r="G59" s="82" t="str">
        <f t="shared" si="16"/>
        <v>p-bdp-crkap-lb-fe</v>
      </c>
      <c r="H59" s="82" t="s">
        <v>57</v>
      </c>
      <c r="I59" s="82">
        <v>8085</v>
      </c>
      <c r="J59" s="82" t="b">
        <v>0</v>
      </c>
      <c r="K59" s="82" t="str">
        <f t="shared" si="17"/>
        <v>p-bdp-crkap-lb-bp</v>
      </c>
      <c r="L59" s="82">
        <v>8085</v>
      </c>
      <c r="M59" s="82" t="str">
        <f t="shared" si="11"/>
        <v>p-bdp-crkap-lb-pb8085</v>
      </c>
      <c r="N59" s="82" t="s">
        <v>57</v>
      </c>
      <c r="O59" s="82">
        <v>8085</v>
      </c>
      <c r="P59" s="82">
        <v>4</v>
      </c>
      <c r="Q59" s="82" t="s">
        <v>123</v>
      </c>
      <c r="R59" s="82" t="b">
        <v>1</v>
      </c>
      <c r="S59" s="82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74" t="str">
        <f t="shared" si="10"/>
        <v>p-bdp-crkml-lb-rule8082</v>
      </c>
      <c r="G60" s="74" t="str">
        <f t="shared" si="16"/>
        <v>p-bdp-crkml-lb-fe</v>
      </c>
      <c r="H60" s="74" t="s">
        <v>57</v>
      </c>
      <c r="I60" s="74">
        <v>8082</v>
      </c>
      <c r="J60" s="74" t="b">
        <v>0</v>
      </c>
      <c r="K60" s="74" t="str">
        <f t="shared" si="17"/>
        <v>p-bdp-crkml-lb-bp</v>
      </c>
      <c r="L60" s="74">
        <v>8082</v>
      </c>
      <c r="M60" s="74" t="str">
        <f t="shared" si="11"/>
        <v>p-bdp-crkml-lb-pb8082</v>
      </c>
      <c r="N60" s="74" t="s">
        <v>57</v>
      </c>
      <c r="O60" s="74">
        <v>8082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1027</v>
      </c>
      <c r="F61" s="82" t="str">
        <f t="shared" ref="F61:F62" si="18">SUBSTITUTE(E61, "hazr-", "")&amp;"-rule"&amp;O61</f>
        <v>p-dtg-bbigeoap-lb-rule8089</v>
      </c>
      <c r="G61" s="82" t="str">
        <f t="shared" ref="G61:G62" si="19">SUBSTITUTE(E61, "hazr-", "")&amp;"-fe"</f>
        <v>p-dtg-bbigeoap-lb-fe</v>
      </c>
      <c r="H61" s="82" t="s">
        <v>57</v>
      </c>
      <c r="I61" s="82">
        <v>8089</v>
      </c>
      <c r="J61" s="82" t="b">
        <v>0</v>
      </c>
      <c r="K61" s="82" t="str">
        <f t="shared" ref="K61:K62" si="20">SUBSTITUTE(E61, "hazr-", "")&amp;"-bp"</f>
        <v>p-dtg-bbigeoap-lb-bp</v>
      </c>
      <c r="L61" s="82">
        <v>8089</v>
      </c>
      <c r="M61" s="82" t="str">
        <f t="shared" ref="M61:M62" si="21">SUBSTITUTE(E61, "hazr-", "")&amp;"-pb"&amp;IF(O61="", "", O61)</f>
        <v>p-dtg-bbigeoap-lb-pb8089</v>
      </c>
      <c r="N61" s="82" t="s">
        <v>57</v>
      </c>
      <c r="O61" s="82">
        <v>8089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1027</v>
      </c>
      <c r="F62" s="82" t="str">
        <f t="shared" si="18"/>
        <v>p-dtg-bbigeoap-lb-rule9089</v>
      </c>
      <c r="G62" s="82" t="str">
        <f t="shared" si="19"/>
        <v>p-dtg-bbigeoap-lb-fe</v>
      </c>
      <c r="H62" s="82" t="s">
        <v>57</v>
      </c>
      <c r="I62" s="82">
        <v>9089</v>
      </c>
      <c r="J62" s="82" t="b">
        <v>0</v>
      </c>
      <c r="K62" s="82" t="str">
        <f t="shared" si="20"/>
        <v>p-dtg-bbigeoap-lb-bp</v>
      </c>
      <c r="L62" s="82">
        <v>9089</v>
      </c>
      <c r="M62" s="82" t="str">
        <f t="shared" si="21"/>
        <v>p-dtg-bbigeoap-lb-pb9089</v>
      </c>
      <c r="N62" s="82" t="s">
        <v>57</v>
      </c>
      <c r="O62" s="82">
        <v>9089</v>
      </c>
      <c r="P62" s="82">
        <v>4</v>
      </c>
      <c r="Q62" s="82" t="s">
        <v>123</v>
      </c>
      <c r="R62" s="82" t="b">
        <v>1</v>
      </c>
      <c r="S62" s="82" t="b">
        <v>0</v>
      </c>
    </row>
    <row r="63" spans="1:19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ref="F63:F66" si="22">SUBSTITUTE(E63, "hazr-", "")&amp;"-rule"&amp;O63</f>
        <v>p-com-esnweb-lb-rule8080</v>
      </c>
      <c r="G63" s="74" t="str">
        <f t="shared" ref="G63:G66" si="23">SUBSTITUTE(E63, "hazr-", "")&amp;"-fe"</f>
        <v>p-com-esnweb-lb-fe</v>
      </c>
      <c r="H63" s="74" t="s">
        <v>57</v>
      </c>
      <c r="I63" s="74">
        <v>8080</v>
      </c>
      <c r="J63" s="74" t="b">
        <v>0</v>
      </c>
      <c r="K63" s="74" t="str">
        <f t="shared" ref="K63:K66" si="24">SUBSTITUTE(E63, "hazr-", "")&amp;"-bp"</f>
        <v>p-com-esnweb-lb-bp</v>
      </c>
      <c r="L63" s="74">
        <v>8080</v>
      </c>
      <c r="M63" s="74" t="str">
        <f t="shared" ref="M63:M66" si="25">SUBSTITUTE(E63, "hazr-", "")&amp;"-pb"&amp;IF(O63="", "", O63)</f>
        <v>p-com-esnweb-lb-pb8080</v>
      </c>
      <c r="N63" s="74" t="s">
        <v>57</v>
      </c>
      <c r="O63" s="74">
        <v>8080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74" t="str">
        <f t="shared" si="22"/>
        <v>p-com-esnweb-lb-rule443</v>
      </c>
      <c r="G64" s="74" t="str">
        <f t="shared" si="23"/>
        <v>p-com-esnweb-lb-fe</v>
      </c>
      <c r="H64" s="74" t="s">
        <v>57</v>
      </c>
      <c r="I64" s="74">
        <v>443</v>
      </c>
      <c r="J64" s="74" t="b">
        <v>0</v>
      </c>
      <c r="K64" s="74" t="str">
        <f t="shared" si="24"/>
        <v>p-com-esnweb-lb-bp</v>
      </c>
      <c r="L64" s="74">
        <v>443</v>
      </c>
      <c r="M64" s="74" t="str">
        <f t="shared" si="25"/>
        <v>p-com-esnweb-lb-pb443</v>
      </c>
      <c r="N64" s="74" t="s">
        <v>57</v>
      </c>
      <c r="O64" s="74">
        <v>443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1:19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22"/>
        <v>p-com-esnap-lb-rule8080</v>
      </c>
      <c r="G65" s="82" t="str">
        <f t="shared" si="23"/>
        <v>p-com-esnap-lb-fe</v>
      </c>
      <c r="H65" s="82" t="s">
        <v>57</v>
      </c>
      <c r="I65" s="82">
        <v>8080</v>
      </c>
      <c r="J65" s="82" t="b">
        <v>0</v>
      </c>
      <c r="K65" s="82" t="str">
        <f t="shared" si="24"/>
        <v>p-com-esnap-lb-bp</v>
      </c>
      <c r="L65" s="82">
        <v>8080</v>
      </c>
      <c r="M65" s="82" t="str">
        <f t="shared" si="25"/>
        <v>p-com-esnap-lb-pb8080</v>
      </c>
      <c r="N65" s="82" t="s">
        <v>57</v>
      </c>
      <c r="O65" s="82">
        <v>8080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1:19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82" t="str">
        <f t="shared" si="22"/>
        <v>p-com-esnap-lb-rule443</v>
      </c>
      <c r="G66" s="82" t="str">
        <f t="shared" si="23"/>
        <v>p-com-esnap-lb-fe</v>
      </c>
      <c r="H66" s="82" t="s">
        <v>57</v>
      </c>
      <c r="I66" s="82">
        <v>443</v>
      </c>
      <c r="J66" s="82" t="b">
        <v>0</v>
      </c>
      <c r="K66" s="82" t="str">
        <f t="shared" si="24"/>
        <v>p-com-esnap-lb-bp</v>
      </c>
      <c r="L66" s="82">
        <v>443</v>
      </c>
      <c r="M66" s="82" t="str">
        <f t="shared" si="25"/>
        <v>p-com-esnap-lb-pb443</v>
      </c>
      <c r="N66" s="82" t="s">
        <v>57</v>
      </c>
      <c r="O66" s="82">
        <v>443</v>
      </c>
      <c r="P66" s="82">
        <v>4</v>
      </c>
      <c r="Q66" s="82" t="s">
        <v>123</v>
      </c>
      <c r="R66" s="82" t="b">
        <v>1</v>
      </c>
      <c r="S66" s="82" t="b">
        <v>0</v>
      </c>
    </row>
    <row r="67" spans="1:19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1109</v>
      </c>
      <c r="E67" s="74" t="s">
        <v>1110</v>
      </c>
      <c r="F67" s="74" t="str">
        <f t="shared" ref="F67" si="26">SUBSTITUTE(E67, "hazr-", "")&amp;"-rule"&amp;O67</f>
        <v>p-sec-mevrsol-lb-rule2181</v>
      </c>
      <c r="G67" s="74" t="str">
        <f t="shared" ref="G67" si="27">SUBSTITUTE(E67, "hazr-", "")&amp;"-fe"</f>
        <v>p-sec-mevrsol-lb-fe</v>
      </c>
      <c r="H67" s="74" t="s">
        <v>57</v>
      </c>
      <c r="I67" s="74">
        <v>2181</v>
      </c>
      <c r="J67" s="74" t="b">
        <v>0</v>
      </c>
      <c r="K67" s="74" t="str">
        <f t="shared" ref="K67" si="28">SUBSTITUTE(E67, "hazr-", "")&amp;"-bp"</f>
        <v>p-sec-mevrsol-lb-bp</v>
      </c>
      <c r="L67" s="74">
        <v>2181</v>
      </c>
      <c r="M67" s="74" t="str">
        <f t="shared" ref="M67" si="29">SUBSTITUTE(E67, "hazr-", "")&amp;"-pb"&amp;IF(O67="", "", O67)</f>
        <v>p-sec-mevrsol-lb-pb2181</v>
      </c>
      <c r="N67" s="74" t="s">
        <v>57</v>
      </c>
      <c r="O67" s="74">
        <v>2181</v>
      </c>
      <c r="P67" s="74">
        <v>4</v>
      </c>
      <c r="Q67" s="74" t="s">
        <v>123</v>
      </c>
      <c r="R67" s="74" t="b">
        <v>1</v>
      </c>
      <c r="S67" s="74" t="b">
        <v>0</v>
      </c>
    </row>
    <row r="68" spans="1:19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1109</v>
      </c>
      <c r="E68" s="74" t="s">
        <v>1110</v>
      </c>
      <c r="F68" s="74" t="str">
        <f t="shared" ref="F68:F72" si="30">SUBSTITUTE(E68, "hazr-", "")&amp;"-rule"&amp;O68</f>
        <v>p-sec-mevrsol-lb-rule2182</v>
      </c>
      <c r="G68" s="74" t="str">
        <f t="shared" ref="G68:G72" si="31">SUBSTITUTE(E68, "hazr-", "")&amp;"-fe"</f>
        <v>p-sec-mevrsol-lb-fe</v>
      </c>
      <c r="H68" s="74" t="s">
        <v>57</v>
      </c>
      <c r="I68" s="74">
        <v>2182</v>
      </c>
      <c r="J68" s="74" t="b">
        <v>0</v>
      </c>
      <c r="K68" s="74" t="str">
        <f t="shared" ref="K68:K72" si="32">SUBSTITUTE(E68, "hazr-", "")&amp;"-bp"</f>
        <v>p-sec-mevrsol-lb-bp</v>
      </c>
      <c r="L68" s="74">
        <v>2182</v>
      </c>
      <c r="M68" s="74" t="str">
        <f t="shared" ref="M68:M72" si="33">SUBSTITUTE(E68, "hazr-", "")&amp;"-pb"&amp;IF(O68="", "", O68)</f>
        <v>p-sec-mevrsol-lb-pb2182</v>
      </c>
      <c r="N68" s="74" t="s">
        <v>57</v>
      </c>
      <c r="O68" s="74">
        <v>2182</v>
      </c>
      <c r="P68" s="74">
        <v>4</v>
      </c>
      <c r="Q68" s="74" t="s">
        <v>123</v>
      </c>
      <c r="R68" s="74" t="b">
        <v>1</v>
      </c>
      <c r="S68" s="74" t="b">
        <v>0</v>
      </c>
    </row>
    <row r="69" spans="1:19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1109</v>
      </c>
      <c r="E69" s="74" t="s">
        <v>1110</v>
      </c>
      <c r="F69" s="74" t="str">
        <f t="shared" si="30"/>
        <v>p-sec-mevrsol-lb-rule4442</v>
      </c>
      <c r="G69" s="74" t="str">
        <f t="shared" si="31"/>
        <v>p-sec-mevrsol-lb-fe</v>
      </c>
      <c r="H69" s="74" t="s">
        <v>57</v>
      </c>
      <c r="I69" s="74">
        <v>4442</v>
      </c>
      <c r="J69" s="74" t="b">
        <v>0</v>
      </c>
      <c r="K69" s="74" t="str">
        <f t="shared" si="32"/>
        <v>p-sec-mevrsol-lb-bp</v>
      </c>
      <c r="L69" s="74">
        <v>4442</v>
      </c>
      <c r="M69" s="74" t="str">
        <f t="shared" si="33"/>
        <v>p-sec-mevrsol-lb-pb4442</v>
      </c>
      <c r="N69" s="74" t="s">
        <v>57</v>
      </c>
      <c r="O69" s="74">
        <v>4442</v>
      </c>
      <c r="P69" s="74">
        <v>4</v>
      </c>
      <c r="Q69" s="74" t="s">
        <v>123</v>
      </c>
      <c r="R69" s="74" t="b">
        <v>1</v>
      </c>
      <c r="S69" s="74" t="b">
        <v>0</v>
      </c>
    </row>
    <row r="70" spans="1:19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1109</v>
      </c>
      <c r="E70" s="74" t="s">
        <v>1110</v>
      </c>
      <c r="F70" s="74" t="str">
        <f t="shared" si="30"/>
        <v>p-sec-mevrsol-lb-rule4443</v>
      </c>
      <c r="G70" s="74" t="str">
        <f t="shared" si="31"/>
        <v>p-sec-mevrsol-lb-fe</v>
      </c>
      <c r="H70" s="74" t="s">
        <v>57</v>
      </c>
      <c r="I70" s="74">
        <v>4443</v>
      </c>
      <c r="J70" s="74" t="b">
        <v>0</v>
      </c>
      <c r="K70" s="74" t="str">
        <f t="shared" si="32"/>
        <v>p-sec-mevrsol-lb-bp</v>
      </c>
      <c r="L70" s="74">
        <v>4443</v>
      </c>
      <c r="M70" s="74" t="str">
        <f t="shared" si="33"/>
        <v>p-sec-mevrsol-lb-pb4443</v>
      </c>
      <c r="N70" s="74" t="s">
        <v>57</v>
      </c>
      <c r="O70" s="74">
        <v>4443</v>
      </c>
      <c r="P70" s="74">
        <v>4</v>
      </c>
      <c r="Q70" s="74" t="s">
        <v>123</v>
      </c>
      <c r="R70" s="74" t="b">
        <v>1</v>
      </c>
      <c r="S70" s="74" t="b">
        <v>0</v>
      </c>
    </row>
    <row r="71" spans="1:19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1109</v>
      </c>
      <c r="E71" s="74" t="s">
        <v>1110</v>
      </c>
      <c r="F71" s="74" t="str">
        <f t="shared" si="30"/>
        <v>p-sec-mevrsol-lb-rule4444</v>
      </c>
      <c r="G71" s="74" t="str">
        <f t="shared" si="31"/>
        <v>p-sec-mevrsol-lb-fe</v>
      </c>
      <c r="H71" s="74" t="s">
        <v>57</v>
      </c>
      <c r="I71" s="74">
        <v>4444</v>
      </c>
      <c r="J71" s="74" t="b">
        <v>0</v>
      </c>
      <c r="K71" s="74" t="str">
        <f t="shared" si="32"/>
        <v>p-sec-mevrsol-lb-bp</v>
      </c>
      <c r="L71" s="74">
        <v>4444</v>
      </c>
      <c r="M71" s="74" t="str">
        <f t="shared" si="33"/>
        <v>p-sec-mevrsol-lb-pb4444</v>
      </c>
      <c r="N71" s="74" t="s">
        <v>57</v>
      </c>
      <c r="O71" s="74">
        <v>4444</v>
      </c>
      <c r="P71" s="74">
        <v>4</v>
      </c>
      <c r="Q71" s="74" t="s">
        <v>123</v>
      </c>
      <c r="R71" s="74" t="b">
        <v>1</v>
      </c>
      <c r="S71" s="74" t="b">
        <v>0</v>
      </c>
    </row>
    <row r="72" spans="1:19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1109</v>
      </c>
      <c r="E72" s="74" t="s">
        <v>1110</v>
      </c>
      <c r="F72" s="74" t="str">
        <f t="shared" si="30"/>
        <v>p-sec-mevrsol-lb-rule8090</v>
      </c>
      <c r="G72" s="74" t="str">
        <f t="shared" si="31"/>
        <v>p-sec-mevrsol-lb-fe</v>
      </c>
      <c r="H72" s="74" t="s">
        <v>57</v>
      </c>
      <c r="I72" s="74">
        <v>8090</v>
      </c>
      <c r="J72" s="74" t="b">
        <v>0</v>
      </c>
      <c r="K72" s="74" t="str">
        <f t="shared" si="32"/>
        <v>p-sec-mevrsol-lb-bp</v>
      </c>
      <c r="L72" s="74">
        <v>8090</v>
      </c>
      <c r="M72" s="74" t="str">
        <f t="shared" si="33"/>
        <v>p-sec-mevrsol-lb-pb8090</v>
      </c>
      <c r="N72" s="74" t="s">
        <v>57</v>
      </c>
      <c r="O72" s="74">
        <v>8090</v>
      </c>
      <c r="P72" s="74">
        <v>4</v>
      </c>
      <c r="Q72" s="74" t="s">
        <v>123</v>
      </c>
      <c r="R72" s="74" t="b">
        <v>1</v>
      </c>
      <c r="S72" s="74" t="b">
        <v>0</v>
      </c>
    </row>
    <row r="73" spans="1:19" x14ac:dyDescent="0.3">
      <c r="A73" s="90"/>
      <c r="B73" s="82" t="s">
        <v>23</v>
      </c>
      <c r="C73" s="82" t="str" cm="1">
        <f t="array" ref="C73">UPPER(INDEX(_xlfn.TEXTSPLIT($D73, "-"), 3))</f>
        <v>CLV</v>
      </c>
      <c r="D73" s="82" t="s">
        <v>1133</v>
      </c>
      <c r="E73" s="82" t="s">
        <v>1164</v>
      </c>
      <c r="F73" s="82" t="str">
        <f t="shared" ref="F73:F87" si="34">SUBSTITUTE(E73, "hazr-", "")&amp;"-rule"&amp;O73</f>
        <v>p-clv-web-lb-rule443</v>
      </c>
      <c r="G73" s="82" t="str">
        <f t="shared" ref="G73:G77" si="35">SUBSTITUTE(E73, "hazr-", "")&amp;"-fe"</f>
        <v>p-clv-web-lb-fe</v>
      </c>
      <c r="H73" s="82" t="s">
        <v>57</v>
      </c>
      <c r="I73" s="82">
        <v>443</v>
      </c>
      <c r="J73" s="82" t="b">
        <v>0</v>
      </c>
      <c r="K73" s="82" t="str">
        <f t="shared" ref="K73:K77" si="36">SUBSTITUTE(E73, "hazr-", "")&amp;"-bp"</f>
        <v>p-clv-web-lb-bp</v>
      </c>
      <c r="L73" s="82">
        <v>443</v>
      </c>
      <c r="M73" s="82" t="str">
        <f t="shared" ref="M73:M77" si="37">SUBSTITUTE(E73, "hazr-", "")&amp;"-pb"&amp;IF(O73="", "", O73)</f>
        <v>p-clv-web-lb-pb443</v>
      </c>
      <c r="N73" s="82" t="s">
        <v>57</v>
      </c>
      <c r="O73" s="82">
        <v>443</v>
      </c>
      <c r="P73" s="82">
        <v>4</v>
      </c>
      <c r="Q73" s="82" t="s">
        <v>123</v>
      </c>
      <c r="R73" s="82" t="b">
        <v>1</v>
      </c>
      <c r="S73" s="82" t="b">
        <v>0</v>
      </c>
    </row>
    <row r="74" spans="1:19" x14ac:dyDescent="0.3">
      <c r="A74" s="90"/>
      <c r="B74" s="74" t="s">
        <v>23</v>
      </c>
      <c r="C74" s="74" t="str" cm="1">
        <f t="array" ref="C74">UPPER(INDEX(_xlfn.TEXTSPLIT($D74, "-"), 3))</f>
        <v>CLV</v>
      </c>
      <c r="D74" s="74" t="s">
        <v>1133</v>
      </c>
      <c r="E74" s="74" t="s">
        <v>1117</v>
      </c>
      <c r="F74" s="74" t="str">
        <f t="shared" si="34"/>
        <v>p-dis-clvap-lb-rule8080</v>
      </c>
      <c r="G74" s="74" t="str">
        <f t="shared" si="35"/>
        <v>p-dis-clvap-lb-fe</v>
      </c>
      <c r="H74" s="74" t="s">
        <v>57</v>
      </c>
      <c r="I74" s="74">
        <v>8080</v>
      </c>
      <c r="J74" s="74" t="b">
        <v>0</v>
      </c>
      <c r="K74" s="74" t="str">
        <f t="shared" si="36"/>
        <v>p-dis-clvap-lb-bp</v>
      </c>
      <c r="L74" s="74">
        <v>8080</v>
      </c>
      <c r="M74" s="74" t="str">
        <f t="shared" si="37"/>
        <v>p-dis-clvap-lb-pb8080</v>
      </c>
      <c r="N74" s="74" t="s">
        <v>57</v>
      </c>
      <c r="O74" s="74">
        <v>8080</v>
      </c>
      <c r="P74" s="74">
        <v>4</v>
      </c>
      <c r="Q74" s="74" t="s">
        <v>123</v>
      </c>
      <c r="R74" s="74" t="b">
        <v>1</v>
      </c>
      <c r="S74" s="74" t="b">
        <v>0</v>
      </c>
    </row>
    <row r="75" spans="1:19" x14ac:dyDescent="0.3">
      <c r="A75" s="90"/>
      <c r="B75" s="82" t="s">
        <v>23</v>
      </c>
      <c r="C75" s="82" t="str" cm="1">
        <f t="array" ref="C75">UPPER(INDEX(_xlfn.TEXTSPLIT($D75, "-"), 3))</f>
        <v>CLV</v>
      </c>
      <c r="D75" s="82" t="s">
        <v>1133</v>
      </c>
      <c r="E75" s="82" t="s">
        <v>1166</v>
      </c>
      <c r="F75" s="82" t="str">
        <f t="shared" si="34"/>
        <v>p-clv-ssrap-lb-rule8080</v>
      </c>
      <c r="G75" s="82" t="str">
        <f t="shared" si="35"/>
        <v>p-clv-ssrap-lb-fe</v>
      </c>
      <c r="H75" s="82" t="s">
        <v>57</v>
      </c>
      <c r="I75" s="82">
        <v>8080</v>
      </c>
      <c r="J75" s="82" t="b">
        <v>0</v>
      </c>
      <c r="K75" s="82" t="str">
        <f t="shared" si="36"/>
        <v>p-clv-ssrap-lb-bp</v>
      </c>
      <c r="L75" s="82">
        <v>8080</v>
      </c>
      <c r="M75" s="82" t="str">
        <f t="shared" si="37"/>
        <v>p-clv-ssrap-lb-pb8080</v>
      </c>
      <c r="N75" s="82" t="s">
        <v>57</v>
      </c>
      <c r="O75" s="82">
        <v>8080</v>
      </c>
      <c r="P75" s="82">
        <v>4</v>
      </c>
      <c r="Q75" s="82" t="s">
        <v>123</v>
      </c>
      <c r="R75" s="82" t="b">
        <v>1</v>
      </c>
      <c r="S75" s="82" t="b">
        <v>0</v>
      </c>
    </row>
    <row r="76" spans="1:19" x14ac:dyDescent="0.3">
      <c r="A76" s="90"/>
      <c r="B76" s="74" t="s">
        <v>23</v>
      </c>
      <c r="C76" s="74" t="str" cm="1">
        <f t="array" ref="C76">UPPER(INDEX(_xlfn.TEXTSPLIT($D76, "-"), 3))</f>
        <v>CLV</v>
      </c>
      <c r="D76" s="74" t="s">
        <v>1133</v>
      </c>
      <c r="E76" s="74" t="s">
        <v>1167</v>
      </c>
      <c r="F76" s="74" t="str">
        <f t="shared" si="34"/>
        <v>p-clv-admweb-lb-rule443</v>
      </c>
      <c r="G76" s="74" t="str">
        <f t="shared" si="35"/>
        <v>p-clv-admweb-lb-fe</v>
      </c>
      <c r="H76" s="74" t="s">
        <v>57</v>
      </c>
      <c r="I76" s="74">
        <v>443</v>
      </c>
      <c r="J76" s="74" t="b">
        <v>0</v>
      </c>
      <c r="K76" s="74" t="str">
        <f t="shared" si="36"/>
        <v>p-clv-admweb-lb-bp</v>
      </c>
      <c r="L76" s="74">
        <v>443</v>
      </c>
      <c r="M76" s="74" t="str">
        <f t="shared" si="37"/>
        <v>p-clv-admweb-lb-pb443</v>
      </c>
      <c r="N76" s="74" t="s">
        <v>57</v>
      </c>
      <c r="O76" s="74">
        <v>443</v>
      </c>
      <c r="P76" s="74">
        <v>4</v>
      </c>
      <c r="Q76" s="74" t="s">
        <v>123</v>
      </c>
      <c r="R76" s="74" t="b">
        <v>1</v>
      </c>
      <c r="S76" s="74" t="b">
        <v>0</v>
      </c>
    </row>
    <row r="77" spans="1:19" x14ac:dyDescent="0.3">
      <c r="A77" s="90"/>
      <c r="B77" s="82" t="s">
        <v>23</v>
      </c>
      <c r="C77" s="82" t="str" cm="1">
        <f t="array" ref="C77">UPPER(INDEX(_xlfn.TEXTSPLIT($D77, "-"), 3))</f>
        <v>CLV</v>
      </c>
      <c r="D77" s="82" t="s">
        <v>1133</v>
      </c>
      <c r="E77" s="82" t="s">
        <v>1168</v>
      </c>
      <c r="F77" s="82" t="str">
        <f t="shared" si="34"/>
        <v>p-clv-admap-lb-rule8080</v>
      </c>
      <c r="G77" s="82" t="str">
        <f t="shared" si="35"/>
        <v>p-clv-admap-lb-fe</v>
      </c>
      <c r="H77" s="82" t="s">
        <v>57</v>
      </c>
      <c r="I77" s="82">
        <v>8080</v>
      </c>
      <c r="J77" s="82" t="b">
        <v>0</v>
      </c>
      <c r="K77" s="82" t="str">
        <f t="shared" si="36"/>
        <v>p-clv-admap-lb-bp</v>
      </c>
      <c r="L77" s="82">
        <v>8080</v>
      </c>
      <c r="M77" s="82" t="str">
        <f t="shared" si="37"/>
        <v>p-clv-admap-lb-pb8080</v>
      </c>
      <c r="N77" s="82" t="s">
        <v>57</v>
      </c>
      <c r="O77" s="82">
        <v>8080</v>
      </c>
      <c r="P77" s="82">
        <v>4</v>
      </c>
      <c r="Q77" s="82" t="s">
        <v>123</v>
      </c>
      <c r="R77" s="82" t="b">
        <v>1</v>
      </c>
      <c r="S77" s="82" t="b">
        <v>0</v>
      </c>
    </row>
    <row r="78" spans="1:19" x14ac:dyDescent="0.3">
      <c r="B78" s="74" t="s">
        <v>23</v>
      </c>
      <c r="C78" s="74" t="e" cm="1">
        <f t="array" ref="C78">UPPER(INDEX(_xlfn.TEXTSPLIT($D78, "-"), 3))</f>
        <v>#VALUE!</v>
      </c>
      <c r="D78" s="74"/>
      <c r="E78" s="74"/>
      <c r="F78" s="74" t="str">
        <f t="shared" si="34"/>
        <v>-rule443</v>
      </c>
      <c r="G78" s="74" t="str">
        <f t="shared" ref="G78:G87" si="38">SUBSTITUTE(E78, "hazr-", "")&amp;"-fe"</f>
        <v>-fe</v>
      </c>
      <c r="H78" s="74" t="s">
        <v>57</v>
      </c>
      <c r="I78" s="74">
        <v>443</v>
      </c>
      <c r="J78" s="74" t="b">
        <v>0</v>
      </c>
      <c r="K78" s="74" t="str">
        <f t="shared" ref="K78:K87" si="39">SUBSTITUTE(E78, "hazr-", "")&amp;"-bp"</f>
        <v>-bp</v>
      </c>
      <c r="L78" s="74">
        <v>443</v>
      </c>
      <c r="M78" s="74" t="str">
        <f t="shared" ref="M78:M87" si="40">SUBSTITUTE(E78, "hazr-", "")&amp;"-pb"&amp;IF(O78="", "", O78)</f>
        <v>-pb443</v>
      </c>
      <c r="N78" s="74" t="s">
        <v>57</v>
      </c>
      <c r="O78" s="74">
        <v>443</v>
      </c>
      <c r="P78" s="74">
        <v>4</v>
      </c>
      <c r="Q78" s="74" t="s">
        <v>123</v>
      </c>
      <c r="R78" s="74" t="b">
        <v>1</v>
      </c>
      <c r="S78" s="74" t="b">
        <v>0</v>
      </c>
    </row>
    <row r="79" spans="1:19" x14ac:dyDescent="0.3">
      <c r="B79" s="82" t="s">
        <v>23</v>
      </c>
      <c r="C79" s="82" t="e" cm="1">
        <f t="array" ref="C79">UPPER(INDEX(_xlfn.TEXTSPLIT($D79, "-"), 3))</f>
        <v>#VALUE!</v>
      </c>
      <c r="D79" s="82"/>
      <c r="E79" s="82"/>
      <c r="F79" s="82" t="str">
        <f t="shared" si="34"/>
        <v>-rule8080</v>
      </c>
      <c r="G79" s="82" t="str">
        <f t="shared" si="38"/>
        <v>-fe</v>
      </c>
      <c r="H79" s="82" t="s">
        <v>57</v>
      </c>
      <c r="I79" s="82">
        <v>8080</v>
      </c>
      <c r="J79" s="82" t="b">
        <v>0</v>
      </c>
      <c r="K79" s="82" t="str">
        <f t="shared" si="39"/>
        <v>-bp</v>
      </c>
      <c r="L79" s="82">
        <v>8080</v>
      </c>
      <c r="M79" s="82" t="str">
        <f t="shared" si="40"/>
        <v>-pb8080</v>
      </c>
      <c r="N79" s="82" t="s">
        <v>57</v>
      </c>
      <c r="O79" s="82">
        <v>8080</v>
      </c>
      <c r="P79" s="82">
        <v>4</v>
      </c>
      <c r="Q79" s="82" t="s">
        <v>123</v>
      </c>
      <c r="R79" s="82" t="b">
        <v>1</v>
      </c>
      <c r="S79" s="82" t="b">
        <v>0</v>
      </c>
    </row>
    <row r="80" spans="1:19" x14ac:dyDescent="0.3">
      <c r="B80" s="74" t="s">
        <v>23</v>
      </c>
      <c r="C80" s="74" t="str" cm="1">
        <f t="array" ref="C80">UPPER(INDEX(_xlfn.TEXTSPLIT($D80, "-"), 3))</f>
        <v>BDP</v>
      </c>
      <c r="D80" s="74" t="s">
        <v>924</v>
      </c>
      <c r="E80" s="74" t="s">
        <v>1084</v>
      </c>
      <c r="F80" s="74" t="str">
        <f t="shared" si="34"/>
        <v>p-bdp-rlgcweb-lb-rule443</v>
      </c>
      <c r="G80" s="74" t="str">
        <f t="shared" si="38"/>
        <v>p-bdp-rlgcweb-lb-fe</v>
      </c>
      <c r="H80" s="74" t="s">
        <v>57</v>
      </c>
      <c r="I80" s="74">
        <v>443</v>
      </c>
      <c r="J80" s="74" t="b">
        <v>0</v>
      </c>
      <c r="K80" s="74" t="str">
        <f t="shared" si="39"/>
        <v>p-bdp-rlgcweb-lb-bp</v>
      </c>
      <c r="L80" s="74">
        <v>443</v>
      </c>
      <c r="M80" s="74" t="str">
        <f t="shared" si="40"/>
        <v>p-bdp-rlgcweb-lb-pb443</v>
      </c>
      <c r="N80" s="74" t="s">
        <v>57</v>
      </c>
      <c r="O80" s="74">
        <v>443</v>
      </c>
      <c r="P80" s="74">
        <v>4</v>
      </c>
      <c r="Q80" s="74" t="s">
        <v>123</v>
      </c>
      <c r="R80" s="74" t="b">
        <v>1</v>
      </c>
      <c r="S80" s="74" t="b">
        <v>0</v>
      </c>
    </row>
    <row r="81" spans="2:19" x14ac:dyDescent="0.3">
      <c r="B81" s="82" t="s">
        <v>23</v>
      </c>
      <c r="C81" s="82" t="str" cm="1">
        <f t="array" ref="C81">UPPER(INDEX(_xlfn.TEXTSPLIT($D81, "-"), 3))</f>
        <v>BDP</v>
      </c>
      <c r="D81" s="82" t="s">
        <v>924</v>
      </c>
      <c r="E81" s="82" t="s">
        <v>1085</v>
      </c>
      <c r="F81" s="82" t="str">
        <f t="shared" si="34"/>
        <v>p-bdp-rlgcap-lb-rule9092</v>
      </c>
      <c r="G81" s="82" t="str">
        <f t="shared" si="38"/>
        <v>p-bdp-rlgcap-lb-fe</v>
      </c>
      <c r="H81" s="82" t="s">
        <v>57</v>
      </c>
      <c r="I81" s="82">
        <v>9092</v>
      </c>
      <c r="J81" s="82" t="b">
        <v>0</v>
      </c>
      <c r="K81" s="82" t="str">
        <f t="shared" si="39"/>
        <v>p-bdp-rlgcap-lb-bp</v>
      </c>
      <c r="L81" s="82">
        <v>9092</v>
      </c>
      <c r="M81" s="82" t="str">
        <f t="shared" si="40"/>
        <v>p-bdp-rlgcap-lb-pb9092</v>
      </c>
      <c r="N81" s="82" t="s">
        <v>57</v>
      </c>
      <c r="O81" s="82">
        <v>9092</v>
      </c>
      <c r="P81" s="82">
        <v>4</v>
      </c>
      <c r="Q81" s="82" t="s">
        <v>123</v>
      </c>
      <c r="R81" s="82" t="b">
        <v>1</v>
      </c>
      <c r="S81" s="82" t="b">
        <v>0</v>
      </c>
    </row>
    <row r="82" spans="2:19" x14ac:dyDescent="0.3">
      <c r="B82" s="82" t="s">
        <v>23</v>
      </c>
      <c r="C82" s="82" t="str" cm="1">
        <f t="array" ref="C82">UPPER(INDEX(_xlfn.TEXTSPLIT($D82, "-"), 3))</f>
        <v>BDP</v>
      </c>
      <c r="D82" s="82" t="s">
        <v>924</v>
      </c>
      <c r="E82" s="82" t="s">
        <v>1085</v>
      </c>
      <c r="F82" s="82" t="str">
        <f t="shared" si="34"/>
        <v>p-bdp-rlgcap-lb-rule9880</v>
      </c>
      <c r="G82" s="82" t="str">
        <f t="shared" si="38"/>
        <v>p-bdp-rlgcap-lb-fe</v>
      </c>
      <c r="H82" s="82" t="s">
        <v>57</v>
      </c>
      <c r="I82" s="82">
        <v>9880</v>
      </c>
      <c r="J82" s="82" t="b">
        <v>0</v>
      </c>
      <c r="K82" s="82" t="str">
        <f t="shared" si="39"/>
        <v>p-bdp-rlgcap-lb-bp</v>
      </c>
      <c r="L82" s="82">
        <v>9880</v>
      </c>
      <c r="M82" s="82" t="str">
        <f t="shared" si="40"/>
        <v>p-bdp-rlgcap-lb-pb9880</v>
      </c>
      <c r="N82" s="82" t="s">
        <v>57</v>
      </c>
      <c r="O82" s="82">
        <v>9880</v>
      </c>
      <c r="P82" s="82">
        <v>4</v>
      </c>
      <c r="Q82" s="82" t="s">
        <v>123</v>
      </c>
      <c r="R82" s="82" t="b">
        <v>1</v>
      </c>
      <c r="S82" s="82" t="b">
        <v>0</v>
      </c>
    </row>
    <row r="83" spans="2:19" x14ac:dyDescent="0.3">
      <c r="B83" s="82" t="s">
        <v>23</v>
      </c>
      <c r="C83" s="82" t="str" cm="1">
        <f t="array" ref="C83">UPPER(INDEX(_xlfn.TEXTSPLIT($D83, "-"), 3))</f>
        <v>BDP</v>
      </c>
      <c r="D83" s="82" t="s">
        <v>924</v>
      </c>
      <c r="E83" s="82" t="s">
        <v>1085</v>
      </c>
      <c r="F83" s="82" t="str">
        <f t="shared" si="34"/>
        <v>p-bdp-rlgcap-lb-rule29105</v>
      </c>
      <c r="G83" s="82" t="str">
        <f t="shared" si="38"/>
        <v>p-bdp-rlgcap-lb-fe</v>
      </c>
      <c r="H83" s="82" t="s">
        <v>57</v>
      </c>
      <c r="I83" s="82">
        <v>29105</v>
      </c>
      <c r="J83" s="82" t="b">
        <v>0</v>
      </c>
      <c r="K83" s="82" t="str">
        <f t="shared" si="39"/>
        <v>p-bdp-rlgcap-lb-bp</v>
      </c>
      <c r="L83" s="82">
        <v>29105</v>
      </c>
      <c r="M83" s="82" t="str">
        <f t="shared" si="40"/>
        <v>p-bdp-rlgcap-lb-pb29105</v>
      </c>
      <c r="N83" s="82" t="s">
        <v>57</v>
      </c>
      <c r="O83" s="82">
        <v>29105</v>
      </c>
      <c r="P83" s="82">
        <v>4</v>
      </c>
      <c r="Q83" s="82" t="s">
        <v>123</v>
      </c>
      <c r="R83" s="82" t="b">
        <v>1</v>
      </c>
      <c r="S83" s="82" t="b">
        <v>0</v>
      </c>
    </row>
    <row r="84" spans="2:19" x14ac:dyDescent="0.3">
      <c r="B84" s="82" t="s">
        <v>23</v>
      </c>
      <c r="C84" s="82" t="str" cm="1">
        <f t="array" ref="C84">UPPER(INDEX(_xlfn.TEXTSPLIT($D84, "-"), 3))</f>
        <v>BDP</v>
      </c>
      <c r="D84" s="82" t="s">
        <v>924</v>
      </c>
      <c r="E84" s="82" t="s">
        <v>1085</v>
      </c>
      <c r="F84" s="82" t="str">
        <f t="shared" si="34"/>
        <v>p-bdp-rlgcap-lb-rule29106</v>
      </c>
      <c r="G84" s="82" t="str">
        <f t="shared" si="38"/>
        <v>p-bdp-rlgcap-lb-fe</v>
      </c>
      <c r="H84" s="82" t="s">
        <v>57</v>
      </c>
      <c r="I84" s="82">
        <v>29106</v>
      </c>
      <c r="J84" s="82" t="b">
        <v>0</v>
      </c>
      <c r="K84" s="82" t="str">
        <f t="shared" si="39"/>
        <v>p-bdp-rlgcap-lb-bp</v>
      </c>
      <c r="L84" s="82">
        <v>29106</v>
      </c>
      <c r="M84" s="82" t="str">
        <f t="shared" si="40"/>
        <v>p-bdp-rlgcap-lb-pb29106</v>
      </c>
      <c r="N84" s="82" t="s">
        <v>57</v>
      </c>
      <c r="O84" s="82">
        <v>29106</v>
      </c>
      <c r="P84" s="82">
        <v>4</v>
      </c>
      <c r="Q84" s="82" t="s">
        <v>123</v>
      </c>
      <c r="R84" s="82" t="b">
        <v>1</v>
      </c>
      <c r="S84" s="82" t="b">
        <v>0</v>
      </c>
    </row>
    <row r="85" spans="2:19" x14ac:dyDescent="0.3">
      <c r="B85" s="82" t="s">
        <v>23</v>
      </c>
      <c r="C85" s="82" t="str" cm="1">
        <f t="array" ref="C85">UPPER(INDEX(_xlfn.TEXTSPLIT($D85, "-"), 3))</f>
        <v>BDP</v>
      </c>
      <c r="D85" s="82" t="s">
        <v>924</v>
      </c>
      <c r="E85" s="82" t="s">
        <v>1085</v>
      </c>
      <c r="F85" s="82" t="str">
        <f t="shared" si="34"/>
        <v>p-bdp-rlgcap-lb-rule29107</v>
      </c>
      <c r="G85" s="82" t="str">
        <f t="shared" si="38"/>
        <v>p-bdp-rlgcap-lb-fe</v>
      </c>
      <c r="H85" s="82" t="s">
        <v>57</v>
      </c>
      <c r="I85" s="82">
        <v>29107</v>
      </c>
      <c r="J85" s="82" t="b">
        <v>0</v>
      </c>
      <c r="K85" s="82" t="str">
        <f t="shared" si="39"/>
        <v>p-bdp-rlgcap-lb-bp</v>
      </c>
      <c r="L85" s="82">
        <v>29107</v>
      </c>
      <c r="M85" s="82" t="str">
        <f t="shared" si="40"/>
        <v>p-bdp-rlgcap-lb-pb29107</v>
      </c>
      <c r="N85" s="82" t="s">
        <v>57</v>
      </c>
      <c r="O85" s="82">
        <v>29107</v>
      </c>
      <c r="P85" s="82">
        <v>4</v>
      </c>
      <c r="Q85" s="82" t="s">
        <v>123</v>
      </c>
      <c r="R85" s="82" t="b">
        <v>1</v>
      </c>
      <c r="S85" s="82" t="b">
        <v>0</v>
      </c>
    </row>
    <row r="86" spans="2:19" x14ac:dyDescent="0.3">
      <c r="B86" s="82" t="s">
        <v>23</v>
      </c>
      <c r="C86" s="82" t="str" cm="1">
        <f t="array" ref="C86">UPPER(INDEX(_xlfn.TEXTSPLIT($D86, "-"), 3))</f>
        <v>BDP</v>
      </c>
      <c r="D86" s="82" t="s">
        <v>924</v>
      </c>
      <c r="E86" s="82" t="s">
        <v>1085</v>
      </c>
      <c r="F86" s="82" t="str">
        <f t="shared" si="34"/>
        <v>p-bdp-rlgcap-lb-rule29108</v>
      </c>
      <c r="G86" s="82" t="str">
        <f t="shared" si="38"/>
        <v>p-bdp-rlgcap-lb-fe</v>
      </c>
      <c r="H86" s="82" t="s">
        <v>57</v>
      </c>
      <c r="I86" s="82">
        <v>29108</v>
      </c>
      <c r="J86" s="82" t="b">
        <v>0</v>
      </c>
      <c r="K86" s="82" t="str">
        <f t="shared" si="39"/>
        <v>p-bdp-rlgcap-lb-bp</v>
      </c>
      <c r="L86" s="82">
        <v>29108</v>
      </c>
      <c r="M86" s="82" t="str">
        <f t="shared" si="40"/>
        <v>p-bdp-rlgcap-lb-pb29108</v>
      </c>
      <c r="N86" s="82" t="s">
        <v>57</v>
      </c>
      <c r="O86" s="82">
        <v>29108</v>
      </c>
      <c r="P86" s="82">
        <v>4</v>
      </c>
      <c r="Q86" s="82" t="s">
        <v>123</v>
      </c>
      <c r="R86" s="82" t="b">
        <v>1</v>
      </c>
      <c r="S86" s="82" t="b">
        <v>0</v>
      </c>
    </row>
    <row r="87" spans="2:19" x14ac:dyDescent="0.3">
      <c r="B87" s="82" t="s">
        <v>23</v>
      </c>
      <c r="C87" s="82" t="str" cm="1">
        <f t="array" ref="C87">UPPER(INDEX(_xlfn.TEXTSPLIT($D87, "-"), 3))</f>
        <v>BDP</v>
      </c>
      <c r="D87" s="82" t="s">
        <v>924</v>
      </c>
      <c r="E87" s="82" t="s">
        <v>1085</v>
      </c>
      <c r="F87" s="82" t="str">
        <f t="shared" si="34"/>
        <v>p-bdp-rlgcap-lb-rule29109</v>
      </c>
      <c r="G87" s="82" t="str">
        <f t="shared" si="38"/>
        <v>p-bdp-rlgcap-lb-fe</v>
      </c>
      <c r="H87" s="82" t="s">
        <v>57</v>
      </c>
      <c r="I87" s="82">
        <v>29109</v>
      </c>
      <c r="J87" s="82" t="b">
        <v>0</v>
      </c>
      <c r="K87" s="82" t="str">
        <f t="shared" si="39"/>
        <v>p-bdp-rlgcap-lb-bp</v>
      </c>
      <c r="L87" s="82">
        <v>29109</v>
      </c>
      <c r="M87" s="82" t="str">
        <f t="shared" si="40"/>
        <v>p-bdp-rlgcap-lb-pb29109</v>
      </c>
      <c r="N87" s="82" t="s">
        <v>57</v>
      </c>
      <c r="O87" s="82">
        <v>29109</v>
      </c>
      <c r="P87" s="82">
        <v>4</v>
      </c>
      <c r="Q87" s="82" t="s">
        <v>123</v>
      </c>
      <c r="R87" s="82" t="b">
        <v>1</v>
      </c>
      <c r="S87" s="82" t="b">
        <v>0</v>
      </c>
    </row>
  </sheetData>
  <autoFilter ref="B1:S60" xr:uid="{A4BC862D-08E7-4593-9A34-4D2B508CF25B}">
    <sortState xmlns:xlrd2="http://schemas.microsoft.com/office/spreadsheetml/2017/richdata2" ref="B2:S53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2026-10-01T05:49:27Z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