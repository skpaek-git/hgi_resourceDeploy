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8F97CCD-C59B-46A1-AEA5-4160FEE3A5A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6" i="2" l="1" a="1"/>
  <c r="C176" i="2" s="1"/>
  <c r="C177" i="2" a="1"/>
  <c r="C177" i="2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E177" i="2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C178" i="2" a="1"/>
  <c r="C178" i="2" s="1"/>
  <c r="C179" i="2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<sst xmlns="http://schemas.openxmlformats.org/spreadsheetml/2006/main" count="8156" uniqueCount="1169">
  <si>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</si>
  <si>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</si>
  <si>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</si>
  <si>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</si>
  <si>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</si>
  <si>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</si>
  <si>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</si>
  <si>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</si>
  <si>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</si>
  <si>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</si>
  <si>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</si>
  <si>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</si>
  <si>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</si>
  <si>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</si>
  <si>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</si>
  <si>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</si>
  <si>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</si>
  <si>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</si>
  <si>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</si>
  <si>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</si>
  <si>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</si>
  <si>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</si>
  <si>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</si>
  <si>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</si>
  <si>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</si>
  <si>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</si>
  <si>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</si>
  <si>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</si>
  <si>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</si>
  <si>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</si>
  <si>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</si>
  <si>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</si>
  <si>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</si>
  <si>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</si>
  <si>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</si>
  <si>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</si>
  <si>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</si>
  <si>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</si>
  <si>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</si>
  <si>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</si>
  <si>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</si>
  <si>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</si>
  <si>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</si>
  <si>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</si>
  <si>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</si>
  <si>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</si>
  <si>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</si>
  <si>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</si>
  <si>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</si>
  <si>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</si>
  <si>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</si>
  <si>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</si>
  <si>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</si>
  <si>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</si>
  <si>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</si>
  <si>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</si>
  <si>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</si>
  <si>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</si>
  <si>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</si>
  <si>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</si>
  <si>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</si>
  <si>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</si>
  <si>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</si>
  <si>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</si>
  <si>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</si>
  <si>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</si>
  <si>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</si>
  <si>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</si>
  <si>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</si>
  <si>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</si>
  <si>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</si>
  <si>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</si>
  <si>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</si>
  <si>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</si>
  <si>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</si>
  <si>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</si>
  <si>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</si>
  <si>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</si>
  <si>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</si>
  <si>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</si>
  <si>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</si>
  <si>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</si>
  <si>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</si>
  <si>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</si>
  <si>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</si>
  <si>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</si>
  <si>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</si>
  <si>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</si>
  <si>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</si>
  <si>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</si>
  <si>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</si>
  <si>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</si>
  <si>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</si>
  <si>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</si>
  <si>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</si>
  <si>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</si>
  <si>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</si>
  <si>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</si>
  <si>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</si>
  <si>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</si>
  <si>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</si>
  <si>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</si>
  <si>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</si>
  <si>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</si>
  <si>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</si>
  <si>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</si>
  <si>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</si>
  <si>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</si>
  <si>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</si>
  <si>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</si>
  <si>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</si>
  <si>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</si>
  <si>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</si>
  <si>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</si>
  <si>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</si>
  <si>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</si>
  <si>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</si>
  <si>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</si>
  <si>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</si>
  <si>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</si>
  <si>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</si>
  <si>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</si>
  <si>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</si>
  <si>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</si>
  <si>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</si>
  <si>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</si>
  <si>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</si>
  <si>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</si>
  <si>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</si>
  <si>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</si>
  <si>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</si>
  <si>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</si>
  <si>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</si>
  <si>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</si>
  <si>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</si>
  <si>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</si>
  <si>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</si>
  <si>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</si>
  <si>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</si>
  <si>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</si>
  <si>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</si>
  <si>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</si>
  <si>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</si>
  <si>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</si>
  <si>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</si>
  <si>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</si>
  <si>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</si>
  <si>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</si>
  <si>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</si>
  <si>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</si>
  <si>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</si>
  <si>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</si>
  <si>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</si>
  <si>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</si>
  <si>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</si>
  <si>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</si>
  <si>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</si>
  <si>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</si>
  <si>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</si>
  <si>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</si>
  <si>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</si>
  <si>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</si>
  <si>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</si>
  <si>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</si>
  <si>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</si>
  <si>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</si>
  <si>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</si>
  <si>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</si>
  <si>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</si>
  <si>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</si>
  <si>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</si>
  <si>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</si>
  <si>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</si>
  <si>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</si>
  <si>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</si>
  <si>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</si>
  <si>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</si>
  <si>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</si>
  <si>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</si>
  <si>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</si>
  <si>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</si>
  <si>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</si>
  <si>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</si>
  <si>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</si>
  <si>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</si>
  <si>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</si>
  <si>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</si>
  <si>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</si>
  <si>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</si>
  <si>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</si>
  <si>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</si>
  <si>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</si>
  <si>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</si>
  <si>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</si>
  <si>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</si>
  <si>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</si>
  <si>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</si>
  <si>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</si>
  <si>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</si>
  <si>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</si>
  <si>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</si>
  <si>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</si>
  <si>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</si>
  <si>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</si>
  <si>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</si>
  <si>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</si>
  <si>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</si>
  <si>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</si>
  <si>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</si>
  <si>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</si>
  <si>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</si>
  <si>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</si>
  <si>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</si>
  <si>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</si>
  <si>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</si>
  <si>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</si>
  <si>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</si>
  <si>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</si>
  <si>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</si>
  <si>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</si>
  <si>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</si>
  <si>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</si>
  <si>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</si>
  <si>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</si>
  <si>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</si>
  <si>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</si>
  <si>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</si>
  <si>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</si>
  <si>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</si>
  <si>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</si>
  <si>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</si>
  <si>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</si>
  <si>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</si>
  <si>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</si>
  <si>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</si>
  <si>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</si>
  <si>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</si>
  <si>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</si>
  <si>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</si>
  <si>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</si>
  <si>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</si>
  <si>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</si>
  <si>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</si>
  <si>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</si>
  <si>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</si>
  <si>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</si>
  <si>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</si>
  <si>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</si>
  <si>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</si>
  <si>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</si>
  <si>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</si>
  <si>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</si>
  <si>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</si>
  <si>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</si>
  <si>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</si>
  <si>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</si>
  <si>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</si>
  <si>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</si>
  <si>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</si>
  <si>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</si>
  <si>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</si>
  <si>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</si>
  <si>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</si>
  <si>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</si>
  <si>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</si>
  <si>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</si>
  <si>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</si>
  <si>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</si>
  <si>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</si>
  <si>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</si>
  <si>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</si>
  <si>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</si>
  <si>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</si>
  <si>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</si>
  <si>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</si>
  <si>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</si>
  <si>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</si>
  <si>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</si>
  <si>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</si>
  <si>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</si>
  <si>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</si>
  <si>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</si>
  <si>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</si>
  <si>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</si>
  <si>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</si>
  <si>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</si>
  <si>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</si>
  <si>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</si>
  <si>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</si>
  <si>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</si>
  <si>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</si>
  <si>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</si>
  <si>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</si>
  <si>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</si>
  <si>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</si>
  <si>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</si>
  <si>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</si>
  <si>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</si>
  <si>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</si>
  <si>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</si>
  <si>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</si>
  <si>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</si>
  <si>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</si>
  <si>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</si>
  <si>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</si>
  <si>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</si>
  <si>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</si>
  <si>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</si>
  <si>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</si>
  <si>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</si>
  <si>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</si>
  <si>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</si>
  <si>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</si>
  <si>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</si>
  <si>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</si>
  <si>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</si>
  <si>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</si>
  <si>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</si>
  <si>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</si>
  <si>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</si>
  <si>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</si>
  <si>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</si>
  <si>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</si>
  <si>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</si>
  <si>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</si>
  <si>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</si>
  <si>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</si>
  <si>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</si>
  <si>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</si>
  <si>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</si>
  <si>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</si>
  <si>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</si>
  <si>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</si>
  <si>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</si>
  <si>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</si>
  <si>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</si>
  <si>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</si>
  <si>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</si>
  <si>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</si>
  <si>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</si>
  <si>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</si>
  <si>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</si>
  <si>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</si>
  <si>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</si>
  <si>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</si>
  <si>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</si>
  <si>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</si>
  <si>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</si>
  <si>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</si>
  <si>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</si>
  <si>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</si>
  <si>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</si>
  <si>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</si>
  <si>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</si>
  <si>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</si>
  <si>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</si>
  <si>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</si>
  <si>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</si>
  <si>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</si>
  <si>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</si>
  <si>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</si>
  <si>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</si>
  <si>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</si>
  <si>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</si>
  <si>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</si>
  <si>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</si>
  <si>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</si>
  <si>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</si>
  <si>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</si>
  <si>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</si>
  <si>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</si>
  <si>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</si>
  <si>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</si>
  <si>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</si>
  <si>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</si>
  <si>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</si>
  <si>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</si>
  <si>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</si>
  <si>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</si>
  <si>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</si>
  <si>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</si>
  <si>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</si>
  <si>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</si>
  <si>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</si>
  <si>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</si>
  <si>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</si>
  <si>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</si>
  <si>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</si>
  <si>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</si>
  <si>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</si>
  <si>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</si>
  <si>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</si>
  <si>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</si>
  <si>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</si>
  <si>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</si>
  <si>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</si>
  <si>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</si>
  <si>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</si>
  <si>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</si>
  <si>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</si>
  <si>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</si>
  <si>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</si>
  <si>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</si>
  <si>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</si>
  <si>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</si>
  <si>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</si>
  <si>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</si>
  <si>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</si>
  <si>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</si>
  <si>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</si>
  <si>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</si>
  <si>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</si>
  <si>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</si>
  <si>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</si>
  <si>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</si>
  <si>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</si>
  <si>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</si>
  <si>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</si>
  <si>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</si>
  <si>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</si>
  <si>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</si>
  <si>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</si>
  <si>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</si>
  <si>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</si>
  <si>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</si>
  <si>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</si>
  <si>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</si>
  <si>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</si>
  <si>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</si>
  <si>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</si>
  <si>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</si>
  <si>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</si>
  <si>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</si>
  <si>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</si>
  <si>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</si>
  <si>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</si>
  <si>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</si>
  <si>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</si>
  <si>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</si>
  <si>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</si>
  <si>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</si>
  <si>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</si>
  <si>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</si>
  <si>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</si>
  <si>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</si>
  <si>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</si>
  <si>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</si>
  <si>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</si>
  <si>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</si>
  <si>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</si>
  <si>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</si>
  <si>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</si>
  <si>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</si>
  <si>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</si>
  <si>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</si>
  <si>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</si>
  <si>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</si>
  <si>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</si>
  <si>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</si>
  <si>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</si>
  <si>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</si>
  <si>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</si>
  <si>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</si>
  <si>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</si>
  <si>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</si>
  <si>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</si>
  <si>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</si>
  <si>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</si>
  <si>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</si>
  <si>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</si>
  <si>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</si>
  <si>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</si>
  <si>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</si>
  <si>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</si>
  <si>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</si>
  <si>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</si>
  <si>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</si>
  <si>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</si>
  <si>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</si>
  <si>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</si>
  <si>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</si>
  <si>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</si>
  <si>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</si>
  <si>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</si>
  <si>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</si>
  <si>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</si>
  <si>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</si>
  <si>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</si>
  <si>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</si>
  <si>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</si>
  <si>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</si>
  <si>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</si>
  <si>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</si>
  <si>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</si>
  <si>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</si>
  <si>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</si>
  <si>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</si>
  <si>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</si>
  <si>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</si>
  <si>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</si>
  <si>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</si>
  <si>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</si>
  <si>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</si>
  <si>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</si>
  <si>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</si>
  <si>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</si>
  <si>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</si>
  <si>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</si>
  <si>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</si>
  <si>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</si>
  <si>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</si>
  <si>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</si>
  <si>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</si>
  <si>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</si>
  <si>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</si>
  <si>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</si>
  <si>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</si>
  <si>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</si>
  <si>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</si>
  <si>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</si>
  <si>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</si>
  <si>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</si>
  <si>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</si>
  <si>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</si>
  <si>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</si>
  <si>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</si>
  <si>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</si>
  <si>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</si>
  <si>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</si>
  <si>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</si>
  <si>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</si>
  <si>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</si>
  <si>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</si>
  <si>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</si>
  <si>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</si>
  <si>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</si>
  <si>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</si>
  <si>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</si>
  <si>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</si>
  <si>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</si>
  <si>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</si>
  <si>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</si>
  <si>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</si>
  <si>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</si>
  <si>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</si>
  <si>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</si>
  <si>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</si>
  <si>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</si>
  <si>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</si>
  <si>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</si>
  <si>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</si>
  <si>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</si>
  <si>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</si>
  <si>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</si>
  <si>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</si>
  <si>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</si>
  <si>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</si>
  <si>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</si>
  <si>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</si>
  <si>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</si>
  <si>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</si>
  <si>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</si>
  <si>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</si>
  <si>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</si>
  <si>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</si>
  <si>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</si>
  <si>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</si>
  <si>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</si>
  <si>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</si>
  <si>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</si>
  <si>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</si>
  <si>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</si>
  <si>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</si>
  <si>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</si>
  <si>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</si>
  <si>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</si>
  <si>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</si>
  <si>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</si>
  <si>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</si>
  <si>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</si>
  <si>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</si>
  <si>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</si>
  <si>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</si>
  <si>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</si>
  <si>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</si>
  <si>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</si>
  <si>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</si>
  <si>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</si>
  <si>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</si>
  <si>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</si>
  <si>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</si>
  <si>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</si>
  <si>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</si>
  <si>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</si>
  <si>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</si>
  <si>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</si>
  <si>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</si>
  <si>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</si>
  <si>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</si>
  <si>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</si>
  <si>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</si>
  <si>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</si>
  <si>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</si>
  <si>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</si>
  <si>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</si>
  <si>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</si>
  <si>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</si>
  <si>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</si>
  <si>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</si>
  <si>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</si>
  <si>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</si>
  <si>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</si>
  <si>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</si>
  <si>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</si>
  <si>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</si>
  <si>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</si>
  <si>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</si>
  <si>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</si>
  <si>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</si>
  <si>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</si>
  <si>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</si>
  <si>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</si>
  <si>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</si>
  <si>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</si>
  <si>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</si>
  <si>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</si>
  <si>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</si>
  <si>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</si>
  <si>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</si>
  <si>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</si>
  <si>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</si>
  <si>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</si>
  <si>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</si>
  <si>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</si>
  <si>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</si>
  <si>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</si>
  <si>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</si>
  <si>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</si>
  <si>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</si>
  <si>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</si>
  <si>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</si>
  <si>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</si>
  <si>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</si>
  <si>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</si>
  <si>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</si>
  <si>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</si>
  <si>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</si>
  <si>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</si>
  <si>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</si>
  <si>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</si>
  <si>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</si>
  <si>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</si>
  <si>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</si>
  <si>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</si>
  <si>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</si>
  <si>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</si>
  <si>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</si>
  <si>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</si>
  <si>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</si>
  <si>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</si>
  <si>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</si>
  <si>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</si>
  <si>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</si>
  <si>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</si>
  <si>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</si>
  <si>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</si>
  <si>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</si>
  <si>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</si>
  <si>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</si>
  <si>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</si>
  <si>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</si>
  <si>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</si>
  <si>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</si>
  <si>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</si>
  <si>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</si>
  <si>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</si>
  <si>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</si>
  <si>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</si>
  <si>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</si>
  <si>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</si>
  <si>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</si>
  <si>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</si>
  <si>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</si>
  <si>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</si>
  <si>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</si>
  <si>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</si>
  <si>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</si>
  <si>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</si>
  <si>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</si>
  <si>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</si>
  <si>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</si>
  <si>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</si>
  <si>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</si>
  <si>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</si>
  <si>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</si>
  <si>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</si>
  <si>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</si>
  <si>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</si>
  <si>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</si>
  <si>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</si>
  <si>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</si>
  <si>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</si>
  <si>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</si>
  <si>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</si>
  <si>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</si>
  <si>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</si>
  <si>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</si>
  <si>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</si>
  <si>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</si>
  <si>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</si>
  <si>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</si>
  <si>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</si>
  <si>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</si>
  <si>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</si>
  <si>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</si>
  <si>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</si>
  <si>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</si>
  <si>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</si>
  <si>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</si>
  <si>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</si>
  <si>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</si>
  <si>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</si>
  <si>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</si>
  <si>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</si>
  <si>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</si>
  <si>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</si>
  <si>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</si>
  <si>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</si>
  <si>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</si>
  <si>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</si>
  <si>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</si>
  <si>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</si>
  <si>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</si>
  <si>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</si>
  <si>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</si>
  <si>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</si>
  <si>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</si>
  <si>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</si>
  <si>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</si>
  <si>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</si>
  <si>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</si>
  <si>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</si>
  <si>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</si>
  <si>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</si>
  <si>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</si>
  <si>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</si>
  <si>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</si>
  <si>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</si>
  <si>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</si>
  <si>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</si>
  <si>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</si>
  <si>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</si>
  <si>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</si>
  <si>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</si>
  <si>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</si>
  <si>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</si>
  <si>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</si>
  <si>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</si>
  <si>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</si>
  <si>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</si>
  <si>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</si>
  <si>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</si>
  <si>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</si>
  <si>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</si>
  <si>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</si>
  <si>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</si>
  <si>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</si>
  <si>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</si>
  <si>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</si>
  <si>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</si>
  <si>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</si>
  <si>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</si>
  <si>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</si>
  <si>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</si>
  <si>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</si>
  <si>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</si>
  <si>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</si>
  <si>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</si>
  <si>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</si>
  <si>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</si>
  <si>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</si>
  <si>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</si>
  <si>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</si>
  <si>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</si>
  <si>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</si>
  <si>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</si>
  <si>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</si>
  <si>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</si>
  <si>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</si>
  <si>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</si>
  <si>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</si>
  <si>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</si>
  <si>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</si>
  <si>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</si>
  <si>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</si>
  <si>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</si>
  <si>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</si>
  <si>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</si>
  <si>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</si>
  <si>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</si>
  <si>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</si>
  <si>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</si>
  <si>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</si>
  <si>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</si>
  <si>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</si>
  <si>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</si>
  <si>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</si>
  <si>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</si>
  <si>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</si>
  <si>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</si>
  <si>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</si>
  <si>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</si>
  <si>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</si>
  <si>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</si>
  <si>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</si>
  <si>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</si>
  <si>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</si>
  <si>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</si>
  <si>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</si>
  <si>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</si>
  <si>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</si>
  <si>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</si>
  <si>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</si>
  <si>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</si>
  <si>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</si>
  <si>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</si>
  <si>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</si>
  <si>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</si>
  <si>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</si>
  <si>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</si>
  <si>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</si>
  <si>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</si>
  <si>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</si>
  <si>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</si>
  <si>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</si>
  <si>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</si>
  <si>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</si>
  <si>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</si>
  <si>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</si>
  <si>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</si>
  <si>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</si>
  <si>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</si>
  <si>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</si>
  <si>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</si>
  <si>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</si>
  <si>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</si>
  <si>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</si>
  <si>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</si>
  <si>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</si>
  <si>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</si>
  <si>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</si>
  <si>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</si>
  <si>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</si>
  <si>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</si>
  <si>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</si>
  <si>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</si>
  <si>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</si>
  <si>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</si>
  <si>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</si>
  <si>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</si>
  <si>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</si>
  <si>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</si>
  <si>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</si>
  <si>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</si>
  <si>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</si>
  <si>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</si>
  <si>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</si>
  <si>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</si>
  <si>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</si>
  <si>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</si>
  <si>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</si>
  <si>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</si>
  <si>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</si>
  <si>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</si>
  <si>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</si>
  <si>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</si>
  <si>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</si>
  <si>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</si>
  <si>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</si>
  <si>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</si>
  <si>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</si>
  <si>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</si>
  <si>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</si>
  <si>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</si>
  <si>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</si>
  <si>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</si>
  <si>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</si>
  <si>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</si>
  <si>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</si>
  <si>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</si>
  <si>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</si>
  <si>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</si>
  <si>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</si>
  <si>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</si>
  <si>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</si>
  <si>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</si>
  <si>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</si>
  <si>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</si>
  <si>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</si>
  <si>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</si>
  <si>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</si>
  <si>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</si>
  <si>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</si>
  <si>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</si>
  <si>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</si>
  <si>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</si>
  <si>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</si>
  <si>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</si>
  <si>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</si>
  <si>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</si>
  <si>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</si>
  <si>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</si>
  <si>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</si>
  <si>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</si>
  <si>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</si>
  <si>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</si>
  <si>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</si>
  <si>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</si>
  <si>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</si>
  <si>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</si>
  <si>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</si>
  <si>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</si>
  <si>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</si>
  <si>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</si>
  <si>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</si>
  <si>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</si>
  <si>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</si>
  <si>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</si>
  <si>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</si>
  <si>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</si>
  <si>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</si>
  <si>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</si>
  <si>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</si>
  <si>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</si>
  <si>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</si>
  <si>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</si>
  <si>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</si>
  <si>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</si>
  <si>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</si>
  <si>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</si>
  <si>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</si>
  <si>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</si>
  <si>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</si>
  <si>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</si>
  <si>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</si>
  <si>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</si>
  <si>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</si>
  <si>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</si>
  <si>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</si>
  <si>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</si>
  <si>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</si>
  <si>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</si>
  <si>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</si>
  <si>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</si>
  <si>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</si>
  <si>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</si>
  <si>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</si>
  <si>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</si>
  <si>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</si>
  <si>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</si>
  <si>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</si>
  <si>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</si>
  <si>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</si>
  <si>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</si>
  <si>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</si>
  <si>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</si>
  <si>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</si>
  <si>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</si>
  <si>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</si>
  <si>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</si>
  <si>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</si>
  <si>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</si>
  <si>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</si>
  <si>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</si>
  <si>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</si>
  <si>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</si>
  <si>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</si>
  <si>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</si>
  <si>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</si>
  <si>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</si>
  <si>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</si>
  <si>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</si>
  <si>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</si>
  <si>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</si>
  <si>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</si>
  <si>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</si>
  <si>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</si>
  <si>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</si>
  <si>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</si>
  <si>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</si>
  <si>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</si>
  <si>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</si>
  <si>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</si>
  <si>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</si>
  <si>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</si>
  <si>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</si>
  <si>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</si>
  <si>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</si>
  <si>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</si>
  <si>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</si>
  <si>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</si>
  <si>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</si>
  <si>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</si>
  <si>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</si>
  <si>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</si>
  <si>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</si>
  <si>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</si>
  <si>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</si>
  <si>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</si>
  <si>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</si>
  <si>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</si>
  <si>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</si>
  <si>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</si>
  <si>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</si>
  <si>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</si>
  <si>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</si>
  <si>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</si>
  <si>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</si>
  <si>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</si>
  <si>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</si>
  <si>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</si>
  <si>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</si>
  <si>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</si>
  <si>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</si>
  <si>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</si>
  <si>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</si>
  <si>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</si>
  <si>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</si>
  <si>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</si>
  <si>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</si>
  <si>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</si>
  <si>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</si>
  <si>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</si>
  <si>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</si>
  <si>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</si>
  <si>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</si>
  <si>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</si>
  <si>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</si>
  <si>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</si>
  <si>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</si>
  <si>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</si>
  <si>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</si>
  <si>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</si>
  <si>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</si>
  <si>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</si>
  <si>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</si>
  <si>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</si>
  <si>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</si>
  <si>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</si>
  <si>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</si>
  <si>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</si>
  <si>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</si>
  <si>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</si>
  <si>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</si>
  <si>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</si>
  <si>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</si>
  <si>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</si>
  <si>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</si>
  <si>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</si>
  <si>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</si>
  <si>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</si>
  <si>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</si>
  <si>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</si>
  <si>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</si>
  <si>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</si>
  <si>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</si>
  <si>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</si>
  <si>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</si>
  <si>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</si>
  <si>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</si>
  <si>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</si>
  <si>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</si>
  <si>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</si>
  <si>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</si>
  <si>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</si>
  <si>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</si>
  <si>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</si>
  <si>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</si>
  <si>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</si>
  <si>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</si>
  <si>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</si>
  <si>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</si>
  <si>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</si>
  <si>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</si>
  <si>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</si>
  <si>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</si>
  <si>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</si>
  <si>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</si>
  <si>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</si>
  <si>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</si>
  <si>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</si>
  <si>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</si>
  <si>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</si>
  <si>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</si>
  <si>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</si>
  <si>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</si>
  <si>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</si>
  <si>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</si>
  <si>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</si>
  <si>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</si>
  <si>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</si>
  <si>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</si>
  <si>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</si>
  <si>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</si>
  <si>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</si>
  <si>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</si>
  <si>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</si>
  <si>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</si>
  <si>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</si>
  <si>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</si>
  <si>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</si>
  <si>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</si>
  <si>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</si>
  <si>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</si>
  <si>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</si>
  <si>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</si>
  <si>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</si>
  <si>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</si>
  <si>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</si>
  <si>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</si>
  <si>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</si>
  <si>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10.158.128.20</t>
    <phoneticPr fontId="1" type="noConversion"/>
  </si>
  <si>
    <t>10.158.144.50</t>
    <phoneticPr fontId="1" type="noConversion"/>
  </si>
  <si>
    <t>10.158.144.70</t>
    <phoneticPr fontId="1" type="noConversion"/>
  </si>
  <si>
    <t>10.158.144.130</t>
    <phoneticPr fontId="1" type="noConversion"/>
  </si>
  <si>
    <t>10.158.144.140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</si>
  <si>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</si>
  <si>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</si>
  <si>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</si>
  <si>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</si>
  <si>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</si>
  <si>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10.158.144.150</t>
    <phoneticPr fontId="1" type="noConversion"/>
  </si>
  <si>
    <t>10.158.128.50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</si>
  <si>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</si>
  <si>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</si>
  <si>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</si>
  <si>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</si>
  <si>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</si>
  <si>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</si>
  <si>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</si>
  <si>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</si>
  <si>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</si>
  <si>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</si>
  <si>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</si>
  <si>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</si>
  <si>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hazr-p-if-brpadb01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</si>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</sst>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tabSelected="1" zoomScaleNormal="100" zoomScaleSheetLayoutView="100" workbookViewId="0">
      <pane xSplit="6" ySplit="1" topLeftCell="T138" activePane="bottomRight" state="frozen"/>
      <selection activeCell="B148" sqref="B148"/>
      <selection pane="topRight" activeCell="B148" sqref="B148"/>
      <selection pane="bottomLeft" activeCell="B148" sqref="B148"/>
      <selection pane="bottomRight" activeCell="Y158" sqref="Y15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1133</v>
      </c>
      <c r="E148" s="74" t="s">
        <v>24</v>
      </c>
      <c r="F148" s="82" t="s">
        <v>1134</v>
      </c>
      <c r="G148" s="74" t="s">
        <v>1154</v>
      </c>
      <c r="H148" s="74" t="s">
        <v>1127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1146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1147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1133</v>
      </c>
      <c r="E149" s="74" t="s">
        <v>24</v>
      </c>
      <c r="F149" s="74" t="s">
        <v>1135</v>
      </c>
      <c r="G149" s="74" t="s">
        <v>1155</v>
      </c>
      <c r="H149" s="74" t="s">
        <v>1127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1146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1147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1133</v>
      </c>
      <c r="E150" s="74" t="s">
        <v>24</v>
      </c>
      <c r="F150" s="82" t="s">
        <v>1136</v>
      </c>
      <c r="G150" s="74" t="s">
        <v>1152</v>
      </c>
      <c r="H150" s="74" t="s">
        <v>1128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1146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1148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1133</v>
      </c>
      <c r="E151" s="74" t="s">
        <v>24</v>
      </c>
      <c r="F151" s="74" t="s">
        <v>1137</v>
      </c>
      <c r="G151" s="74" t="s">
        <v>1153</v>
      </c>
      <c r="H151" s="74" t="s">
        <v>1128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1146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1148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1133</v>
      </c>
      <c r="E152" s="74" t="s">
        <v>24</v>
      </c>
      <c r="F152" s="82" t="s">
        <v>1138</v>
      </c>
      <c r="G152" s="74" t="s">
        <v>1156</v>
      </c>
      <c r="H152" s="74" t="s">
        <v>1128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1146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1148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1133</v>
      </c>
      <c r="E153" s="74" t="s">
        <v>24</v>
      </c>
      <c r="F153" s="74" t="s">
        <v>1139</v>
      </c>
      <c r="G153" s="74" t="s">
        <v>1157</v>
      </c>
      <c r="H153" s="74" t="s">
        <v>1128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1146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1148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1133</v>
      </c>
      <c r="E154" s="74" t="s">
        <v>24</v>
      </c>
      <c r="F154" s="82" t="s">
        <v>1140</v>
      </c>
      <c r="G154" s="74" t="s">
        <v>1158</v>
      </c>
      <c r="H154" s="74" t="s">
        <v>1129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1146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1148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1133</v>
      </c>
      <c r="E155" s="74" t="s">
        <v>24</v>
      </c>
      <c r="F155" s="74" t="s">
        <v>1141</v>
      </c>
      <c r="G155" s="74" t="s">
        <v>1159</v>
      </c>
      <c r="H155" s="74" t="s">
        <v>1129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1146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1148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1133</v>
      </c>
      <c r="E156" s="74" t="s">
        <v>24</v>
      </c>
      <c r="F156" s="82" t="s">
        <v>1142</v>
      </c>
      <c r="G156" s="74" t="s">
        <v>1160</v>
      </c>
      <c r="H156" s="74" t="s">
        <v>1128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1146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1148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1133</v>
      </c>
      <c r="E157" s="74" t="s">
        <v>24</v>
      </c>
      <c r="F157" s="95" t="s">
        <v>1143</v>
      </c>
      <c r="G157" s="95" t="s">
        <v>1161</v>
      </c>
      <c r="H157" s="95" t="s">
        <v>1128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1146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1148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925</v>
      </c>
      <c r="E158" s="74" t="s">
        <v>24</v>
      </c>
      <c r="F158" s="74" t="s">
        <v>1144</v>
      </c>
      <c r="G158" s="74" t="s">
        <v>1150</v>
      </c>
      <c r="H158" s="74" t="s">
        <v>1022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992</v>
      </c>
      <c r="N158" s="121" t="s">
        <v>1146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965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925</v>
      </c>
      <c r="E159" s="74" t="s">
        <v>24</v>
      </c>
      <c r="F159" s="74" t="s">
        <v>1145</v>
      </c>
      <c r="G159" s="74" t="s">
        <v>1151</v>
      </c>
      <c r="H159" s="74" t="s">
        <v>998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992</v>
      </c>
      <c r="N159" s="121" t="s">
        <v>1146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1149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e" cm="1">
        <f t="array" ref="C160">UPPER(INDEX(_xlfn.TEXTSPLIT($F160, "-"), 3))</f>
        <v>#VALUE!</v>
      </c>
      <c r="D160" s="74"/>
      <c r="E160" s="74" t="s">
        <v>24</v>
      </c>
      <c r="F160" s="74"/>
      <c r="G160" s="74"/>
      <c r="H160" s="74"/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/>
      <c r="O160" s="117" t="str">
        <f>SUBSTITUTE(F160,"hazr-","")&amp;"-osdisk"</f>
        <v>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/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e" cm="1">
        <f t="array" ref="C161">UPPER(INDEX(_xlfn.TEXTSPLIT($F161, "-"), 3))</f>
        <v>#VALUE!</v>
      </c>
      <c r="D161" s="95"/>
      <c r="E161" s="95" t="s">
        <v>24</v>
      </c>
      <c r="F161" s="95"/>
      <c r="G161" s="95"/>
      <c r="H161" s="95"/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/>
      <c r="O161" s="120" t="str">
        <f>SUBSTITUTE(F161,"hazr-","")&amp;"-osdisk"</f>
        <v>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/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workbookViewId="0">
      <pane xSplit="6" ySplit="1" topLeftCell="O151" activePane="bottomRight" state="frozen"/>
      <selection activeCell="B148" sqref="B148"/>
      <selection pane="topRight" activeCell="B148" sqref="B148"/>
      <selection pane="bottomLeft" activeCell="B148" sqref="B148"/>
      <selection pane="bottomRight" activeCell="A168" sqref="A16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1133</v>
      </c>
      <c r="E157" s="78" t="s">
        <v>24</v>
      </c>
      <c r="F157" s="82" t="s">
        <v>1134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1133</v>
      </c>
      <c r="E158" s="80" t="s">
        <v>24</v>
      </c>
      <c r="F158" s="74" t="s">
        <v>1135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1133</v>
      </c>
      <c r="E159" s="78" t="s">
        <v>24</v>
      </c>
      <c r="F159" s="82" t="s">
        <v>1136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1133</v>
      </c>
      <c r="E160" s="80" t="s">
        <v>24</v>
      </c>
      <c r="F160" s="74" t="s">
        <v>1137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1133</v>
      </c>
      <c r="E161" s="78" t="s">
        <v>24</v>
      </c>
      <c r="F161" s="82" t="s">
        <v>1138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1133</v>
      </c>
      <c r="E162" s="80" t="s">
        <v>24</v>
      </c>
      <c r="F162" s="74" t="s">
        <v>1139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1133</v>
      </c>
      <c r="E163" s="78" t="s">
        <v>24</v>
      </c>
      <c r="F163" s="82" t="s">
        <v>1140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1133</v>
      </c>
      <c r="E164" s="80" t="s">
        <v>24</v>
      </c>
      <c r="F164" s="74" t="s">
        <v>1141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1133</v>
      </c>
      <c r="E165" s="78" t="s">
        <v>24</v>
      </c>
      <c r="F165" s="82" t="s">
        <v>1142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1133</v>
      </c>
      <c r="E166" s="80" t="s">
        <v>24</v>
      </c>
      <c r="F166" s="115" t="s">
        <v>1143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925</v>
      </c>
      <c r="E167" s="78" t="s">
        <v>24</v>
      </c>
      <c r="F167" s="73" t="s">
        <v>1144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925</v>
      </c>
      <c r="E168" s="80" t="s">
        <v>24</v>
      </c>
      <c r="F168" s="74" t="s">
        <v>1145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2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e" cm="1">
        <f t="array" ref="C169">UPPER(INDEX(_xlfn.TEXTSPLIT($D169, "-"), 3))</f>
        <v>#VALUE!</v>
      </c>
      <c r="D169" s="78"/>
      <c r="E169" s="78" t="s">
        <v>24</v>
      </c>
      <c r="F169" s="73"/>
      <c r="G169" s="73" t="str">
        <f t="shared" si="7"/>
        <v>-disk01</v>
      </c>
      <c r="H169" s="73" t="s">
        <v>179</v>
      </c>
      <c r="I169" s="73">
        <v>128</v>
      </c>
      <c r="J169" s="73" t="str">
        <f t="shared" si="8"/>
        <v>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e" cm="1">
        <f t="array" ref="C170">UPPER(INDEX(_xlfn.TEXTSPLIT($D170, "-"), 3))</f>
        <v>#VALUE!</v>
      </c>
      <c r="D170" s="80"/>
      <c r="E170" s="80" t="s">
        <v>24</v>
      </c>
      <c r="F170" s="115"/>
      <c r="G170" s="74" t="str">
        <f t="shared" si="7"/>
        <v>-disk01</v>
      </c>
      <c r="H170" s="74" t="s">
        <v>179</v>
      </c>
      <c r="I170" s="74">
        <v>128</v>
      </c>
      <c r="J170" s="74" t="str">
        <f t="shared" si="8"/>
        <v>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opLeftCell="A129" workbookViewId="0">
      <selection activeCell="J141" sqref="J14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1162</v>
      </c>
      <c r="I139" s="74"/>
      <c r="J139" s="74"/>
      <c r="K139" s="74"/>
      <c r="L139" s="74" t="s">
        <v>228</v>
      </c>
      <c r="M139" s="74"/>
    </row>
    <row r="140" spans="1:13" x14ac:dyDescent="0.3"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1163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7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1107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1107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CLV</v>
      </c>
      <c r="D166" s="114" t="s">
        <v>317</v>
      </c>
      <c r="E166" s="114" t="str">
        <f t="shared" si="7"/>
        <v>p-clv-web01-nsg</v>
      </c>
      <c r="F166" s="114" t="s">
        <v>317</v>
      </c>
      <c r="G166" s="114" t="s">
        <v>338</v>
      </c>
      <c r="H166" s="114" t="s">
        <v>1147</v>
      </c>
      <c r="I166" s="82" t="s">
        <v>1134</v>
      </c>
      <c r="J166" s="114" t="s">
        <v>922</v>
      </c>
      <c r="K166" s="114" t="str">
        <f t="shared" ref="K166:K175" si="10">SUBSTITUTE(I166,"hazr-","")&amp;"-nic"</f>
        <v>p-clv-web01-nic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CLV</v>
      </c>
      <c r="D167" s="115" t="s">
        <v>317</v>
      </c>
      <c r="E167" s="115" t="str">
        <f t="shared" si="7"/>
        <v>p-clv-web02-nsg</v>
      </c>
      <c r="F167" s="115" t="s">
        <v>317</v>
      </c>
      <c r="G167" s="115" t="s">
        <v>338</v>
      </c>
      <c r="H167" s="115" t="s">
        <v>1147</v>
      </c>
      <c r="I167" s="74" t="s">
        <v>1135</v>
      </c>
      <c r="J167" s="115" t="s">
        <v>922</v>
      </c>
      <c r="K167" s="115" t="str">
        <f t="shared" si="10"/>
        <v>p-clv-web02-nic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CLV</v>
      </c>
      <c r="D168" s="114" t="s">
        <v>317</v>
      </c>
      <c r="E168" s="114" t="str">
        <f t="shared" si="7"/>
        <v>p-clv-ap01-nsg</v>
      </c>
      <c r="F168" s="114" t="s">
        <v>317</v>
      </c>
      <c r="G168" s="114" t="s">
        <v>338</v>
      </c>
      <c r="H168" s="114" t="s">
        <v>1148</v>
      </c>
      <c r="I168" s="82" t="s">
        <v>1136</v>
      </c>
      <c r="J168" s="114" t="s">
        <v>922</v>
      </c>
      <c r="K168" s="114" t="str">
        <f t="shared" si="10"/>
        <v>p-clv-ap01-nic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CLV</v>
      </c>
      <c r="D169" s="115" t="s">
        <v>317</v>
      </c>
      <c r="E169" s="115" t="str">
        <f t="shared" si="7"/>
        <v>p-clv-ap02-nsg</v>
      </c>
      <c r="F169" s="115" t="s">
        <v>317</v>
      </c>
      <c r="G169" s="115" t="s">
        <v>338</v>
      </c>
      <c r="H169" s="115" t="s">
        <v>1148</v>
      </c>
      <c r="I169" s="74" t="s">
        <v>1137</v>
      </c>
      <c r="J169" s="115" t="s">
        <v>922</v>
      </c>
      <c r="K169" s="115" t="str">
        <f t="shared" si="10"/>
        <v>p-clv-ap02-nic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CLV</v>
      </c>
      <c r="D170" s="114" t="s">
        <v>317</v>
      </c>
      <c r="E170" s="114" t="str">
        <f t="shared" si="7"/>
        <v>p-clv-ssrap01-nsg</v>
      </c>
      <c r="F170" s="114" t="s">
        <v>317</v>
      </c>
      <c r="G170" s="114" t="s">
        <v>338</v>
      </c>
      <c r="H170" s="114" t="s">
        <v>1148</v>
      </c>
      <c r="I170" s="82" t="s">
        <v>1138</v>
      </c>
      <c r="J170" s="114" t="s">
        <v>922</v>
      </c>
      <c r="K170" s="114" t="str">
        <f t="shared" si="10"/>
        <v>p-clv-ssrap01-nic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CLV</v>
      </c>
      <c r="D171" s="115" t="s">
        <v>317</v>
      </c>
      <c r="E171" s="115" t="str">
        <f t="shared" si="7"/>
        <v>p-clv-ssrap02-nsg</v>
      </c>
      <c r="F171" s="115" t="s">
        <v>317</v>
      </c>
      <c r="G171" s="115" t="s">
        <v>338</v>
      </c>
      <c r="H171" s="115" t="s">
        <v>1148</v>
      </c>
      <c r="I171" s="74" t="s">
        <v>1139</v>
      </c>
      <c r="J171" s="115" t="s">
        <v>922</v>
      </c>
      <c r="K171" s="115" t="str">
        <f t="shared" si="10"/>
        <v>p-clv-ssrap02-nic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CLV</v>
      </c>
      <c r="D172" s="114" t="s">
        <v>317</v>
      </c>
      <c r="E172" s="114" t="str">
        <f t="shared" si="7"/>
        <v>p-clv-admweb01-nsg</v>
      </c>
      <c r="F172" s="114" t="s">
        <v>317</v>
      </c>
      <c r="G172" s="114" t="s">
        <v>338</v>
      </c>
      <c r="H172" s="114" t="s">
        <v>1148</v>
      </c>
      <c r="I172" s="82" t="s">
        <v>1140</v>
      </c>
      <c r="J172" s="114" t="s">
        <v>922</v>
      </c>
      <c r="K172" s="114" t="str">
        <f t="shared" si="10"/>
        <v>p-clv-admweb01-nic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CLV</v>
      </c>
      <c r="D173" s="115" t="s">
        <v>317</v>
      </c>
      <c r="E173" s="115" t="str">
        <f t="shared" si="7"/>
        <v>p-clv-admweb02-nsg</v>
      </c>
      <c r="F173" s="115" t="s">
        <v>317</v>
      </c>
      <c r="G173" s="115" t="s">
        <v>338</v>
      </c>
      <c r="H173" s="115" t="s">
        <v>1148</v>
      </c>
      <c r="I173" s="74" t="s">
        <v>1141</v>
      </c>
      <c r="J173" s="115" t="s">
        <v>922</v>
      </c>
      <c r="K173" s="115" t="str">
        <f t="shared" si="10"/>
        <v>p-clv-admweb02-nic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CLV</v>
      </c>
      <c r="D174" s="114" t="s">
        <v>317</v>
      </c>
      <c r="E174" s="114" t="str">
        <f t="shared" si="7"/>
        <v>p-clv-admap01-nsg</v>
      </c>
      <c r="F174" s="114" t="s">
        <v>317</v>
      </c>
      <c r="G174" s="114" t="s">
        <v>338</v>
      </c>
      <c r="H174" s="114" t="s">
        <v>1148</v>
      </c>
      <c r="I174" s="82" t="s">
        <v>1142</v>
      </c>
      <c r="J174" s="114" t="s">
        <v>922</v>
      </c>
      <c r="K174" s="114" t="str">
        <f t="shared" si="10"/>
        <v>p-clv-admap01-nic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CLV</v>
      </c>
      <c r="D175" s="115" t="s">
        <v>317</v>
      </c>
      <c r="E175" s="115" t="str">
        <f t="shared" si="7"/>
        <v>p-clv-admap02-nsg</v>
      </c>
      <c r="F175" s="115" t="s">
        <v>317</v>
      </c>
      <c r="G175" s="115" t="s">
        <v>338</v>
      </c>
      <c r="H175" s="115" t="s">
        <v>1148</v>
      </c>
      <c r="I175" s="115" t="s">
        <v>1143</v>
      </c>
      <c r="J175" s="115" t="s">
        <v>922</v>
      </c>
      <c r="K175" s="115" t="str">
        <f t="shared" si="10"/>
        <v>p-clv-admap02-nic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IF</v>
      </c>
      <c r="D176" s="114" t="s">
        <v>317</v>
      </c>
      <c r="E176" s="114" t="str">
        <f t="shared" si="7"/>
        <v>p-if-brpaap01-nsg</v>
      </c>
      <c r="F176" s="114" t="s">
        <v>317</v>
      </c>
      <c r="G176" s="114" t="s">
        <v>338</v>
      </c>
      <c r="H176" s="114" t="s">
        <v>965</v>
      </c>
      <c r="I176" s="73" t="s">
        <v>1144</v>
      </c>
      <c r="J176" s="114" t="s">
        <v>922</v>
      </c>
      <c r="K176" s="114" t="str">
        <f t="shared" ref="K176:K179" si="11">SUBSTITUTE(I176,"hazr-","")&amp;"-nic"</f>
        <v>p-if-brpaap01-nic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IF</v>
      </c>
      <c r="D177" s="115" t="s">
        <v>317</v>
      </c>
      <c r="E177" s="115" t="str">
        <f t="shared" si="7"/>
        <v>p-if-brpadb01-nsg</v>
      </c>
      <c r="F177" s="115" t="s">
        <v>317</v>
      </c>
      <c r="G177" s="115" t="s">
        <v>338</v>
      </c>
      <c r="H177" s="115" t="s">
        <v>1149</v>
      </c>
      <c r="I177" s="74" t="s">
        <v>1145</v>
      </c>
      <c r="J177" s="115" t="s">
        <v>922</v>
      </c>
      <c r="K177" s="115" t="str">
        <f t="shared" si="11"/>
        <v>p-if-brpadb01-nic</v>
      </c>
      <c r="L177" s="115" t="s">
        <v>226</v>
      </c>
      <c r="M177" s="115"/>
    </row>
    <row r="178" spans="2:13" x14ac:dyDescent="0.3">
      <c r="B178" s="114" t="s">
        <v>23</v>
      </c>
      <c r="C178" s="114" t="e" cm="1">
        <f t="array" ref="C178">UPPER(INDEX(_xlfn.TEXTSPLIT($E178, "-"), 2))</f>
        <v>#VALUE!</v>
      </c>
      <c r="D178" s="114" t="s">
        <v>317</v>
      </c>
      <c r="E178" s="114"/>
      <c r="F178" s="114" t="s">
        <v>317</v>
      </c>
      <c r="G178" s="114" t="s">
        <v>338</v>
      </c>
      <c r="H178" s="114" t="s">
        <v>340</v>
      </c>
      <c r="I178" s="73"/>
      <c r="J178" s="114" t="s">
        <v>922</v>
      </c>
      <c r="K178" s="114" t="str">
        <f t="shared" si="11"/>
        <v>-nic</v>
      </c>
      <c r="L178" s="114" t="s">
        <v>226</v>
      </c>
      <c r="M178" s="114"/>
    </row>
    <row r="179" spans="2:13" x14ac:dyDescent="0.3">
      <c r="B179" s="115" t="s">
        <v>23</v>
      </c>
      <c r="C179" s="115" t="e" cm="1">
        <f t="array" ref="C179">UPPER(INDEX(_xlfn.TEXTSPLIT($E179, "-"), 2))</f>
        <v>#VALUE!</v>
      </c>
      <c r="D179" s="115" t="s">
        <v>317</v>
      </c>
      <c r="E179" s="115"/>
      <c r="F179" s="115" t="s">
        <v>317</v>
      </c>
      <c r="G179" s="115" t="s">
        <v>338</v>
      </c>
      <c r="H179" s="115" t="s">
        <v>340</v>
      </c>
      <c r="I179" s="115"/>
      <c r="J179" s="115" t="s">
        <v>922</v>
      </c>
      <c r="K179" s="115" t="str">
        <f t="shared" si="11"/>
        <v>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32" activePane="bottomRight" state="frozen"/>
      <selection pane="topRight" activeCell="G1" sqref="G1"/>
      <selection pane="bottomLeft" activeCell="A2" sqref="A2"/>
      <selection pane="bottomRight" activeCell="F50" sqref="F46:F5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CLV</v>
      </c>
      <c r="D46" s="82" t="s">
        <v>1116</v>
      </c>
      <c r="E46" s="82" t="s">
        <v>24</v>
      </c>
      <c r="F46" s="82" t="s">
        <v>1164</v>
      </c>
      <c r="G46" s="82" t="s">
        <v>111</v>
      </c>
      <c r="H46" s="82" t="s">
        <v>1016</v>
      </c>
      <c r="I46" s="82" t="s">
        <v>1126</v>
      </c>
      <c r="J46" s="82" t="s">
        <v>102</v>
      </c>
      <c r="K46" s="82" t="str">
        <f t="shared" si="5"/>
        <v>p-clv-web-lb-fe</v>
      </c>
      <c r="L46" s="82" t="s">
        <v>1118</v>
      </c>
      <c r="M46" s="82" t="s">
        <v>1119</v>
      </c>
      <c r="N46" s="82" t="s">
        <v>1147</v>
      </c>
      <c r="O46" s="82" t="s">
        <v>108</v>
      </c>
      <c r="P46" s="82" t="s">
        <v>1121</v>
      </c>
      <c r="Q46" s="82" t="str">
        <f t="shared" si="6"/>
        <v>p-clv-web-lb-bp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CLV</v>
      </c>
      <c r="D47" s="74" t="s">
        <v>1116</v>
      </c>
      <c r="E47" s="74" t="s">
        <v>24</v>
      </c>
      <c r="F47" s="74" t="s">
        <v>1165</v>
      </c>
      <c r="G47" s="74" t="s">
        <v>111</v>
      </c>
      <c r="H47" s="74" t="s">
        <v>1016</v>
      </c>
      <c r="I47" s="74" t="s">
        <v>1126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1120</v>
      </c>
      <c r="N47" s="74" t="s">
        <v>1148</v>
      </c>
      <c r="O47" s="74" t="s">
        <v>108</v>
      </c>
      <c r="P47" s="74" t="s">
        <v>1122</v>
      </c>
      <c r="Q47" s="74" t="str">
        <f t="shared" si="6"/>
        <v>p-clv-ap-lb-bp</v>
      </c>
    </row>
    <row r="48" spans="1:17" x14ac:dyDescent="0.3">
      <c r="B48" s="82" t="s">
        <v>1115</v>
      </c>
      <c r="C48" s="82" t="str" cm="1">
        <f t="array" ref="C48">UPPER(INDEX(_xlfn.TEXTSPLIT($F48, "-"), 3))</f>
        <v>CLV</v>
      </c>
      <c r="D48" s="82" t="s">
        <v>1116</v>
      </c>
      <c r="E48" s="82" t="s">
        <v>24</v>
      </c>
      <c r="F48" s="82" t="s">
        <v>1166</v>
      </c>
      <c r="G48" s="82" t="s">
        <v>111</v>
      </c>
      <c r="H48" s="82" t="s">
        <v>1016</v>
      </c>
      <c r="I48" s="82" t="s">
        <v>1126</v>
      </c>
      <c r="J48" s="82" t="s">
        <v>102</v>
      </c>
      <c r="K48" s="82" t="str">
        <f t="shared" si="5"/>
        <v>p-clv-ssrap-lb-fe</v>
      </c>
      <c r="L48" s="82" t="s">
        <v>1118</v>
      </c>
      <c r="M48" s="82" t="s">
        <v>1120</v>
      </c>
      <c r="N48" s="82" t="s">
        <v>1148</v>
      </c>
      <c r="O48" s="82" t="s">
        <v>108</v>
      </c>
      <c r="P48" s="82" t="s">
        <v>1123</v>
      </c>
      <c r="Q48" s="82" t="str">
        <f t="shared" si="6"/>
        <v>p-clv-ssrap-lb-bp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CLV</v>
      </c>
      <c r="D49" s="74" t="s">
        <v>1116</v>
      </c>
      <c r="E49" s="74" t="s">
        <v>24</v>
      </c>
      <c r="F49" s="74" t="s">
        <v>1167</v>
      </c>
      <c r="G49" s="74" t="s">
        <v>111</v>
      </c>
      <c r="H49" s="74" t="s">
        <v>1016</v>
      </c>
      <c r="I49" s="74" t="s">
        <v>1126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1120</v>
      </c>
      <c r="N49" s="74" t="s">
        <v>1148</v>
      </c>
      <c r="O49" s="74" t="s">
        <v>108</v>
      </c>
      <c r="P49" s="74" t="s">
        <v>1124</v>
      </c>
      <c r="Q49" s="74" t="str">
        <f t="shared" si="6"/>
        <v>p-clv-admweb-lb-bp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CLV</v>
      </c>
      <c r="D50" s="82" t="s">
        <v>1116</v>
      </c>
      <c r="E50" s="82" t="s">
        <v>24</v>
      </c>
      <c r="F50" s="82" t="s">
        <v>1168</v>
      </c>
      <c r="G50" s="82" t="s">
        <v>111</v>
      </c>
      <c r="H50" s="82" t="s">
        <v>1016</v>
      </c>
      <c r="I50" s="82" t="s">
        <v>1126</v>
      </c>
      <c r="J50" s="82" t="s">
        <v>102</v>
      </c>
      <c r="K50" s="82" t="str">
        <f t="shared" si="5"/>
        <v>p-clv-admap-lb-fe</v>
      </c>
      <c r="L50" s="82" t="s">
        <v>1118</v>
      </c>
      <c r="M50" s="82" t="s">
        <v>1120</v>
      </c>
      <c r="N50" s="82" t="s">
        <v>1148</v>
      </c>
      <c r="O50" s="82" t="s">
        <v>108</v>
      </c>
      <c r="P50" s="82" t="s">
        <v>1125</v>
      </c>
      <c r="Q50" s="82" t="str">
        <f t="shared" si="6"/>
        <v>p-clv-admap-lb-bp</v>
      </c>
    </row>
    <row r="51" spans="2:17" x14ac:dyDescent="0.3">
      <c r="B51" s="74" t="s">
        <v>23</v>
      </c>
      <c r="C51" s="74" t="e" cm="1">
        <f t="array" ref="C51">UPPER(INDEX(_xlfn.TEXTSPLIT($F51, "-"), 3))</f>
        <v>#VALUE!</v>
      </c>
      <c r="D51" s="74" t="s">
        <v>922</v>
      </c>
      <c r="E51" s="74" t="s">
        <v>24</v>
      </c>
      <c r="F51" s="74"/>
      <c r="G51" s="74"/>
      <c r="H51" s="74" t="s">
        <v>1016</v>
      </c>
      <c r="I51" s="74" t="s">
        <v>1126</v>
      </c>
      <c r="J51" s="74" t="s">
        <v>102</v>
      </c>
      <c r="K51" s="74" t="str">
        <f t="shared" si="5"/>
        <v>-fe</v>
      </c>
      <c r="L51" s="74" t="s">
        <v>317</v>
      </c>
      <c r="M51" s="74" t="s">
        <v>345</v>
      </c>
      <c r="N51" s="74"/>
      <c r="O51" s="74" t="s">
        <v>108</v>
      </c>
      <c r="P51" s="74" t="s">
        <v>1132</v>
      </c>
      <c r="Q51" s="74" t="str">
        <f t="shared" si="6"/>
        <v>-bp</v>
      </c>
    </row>
    <row r="52" spans="2:17" x14ac:dyDescent="0.3">
      <c r="B52" s="82" t="s">
        <v>23</v>
      </c>
      <c r="C52" s="82" t="e" cm="1">
        <f t="array" ref="C52">UPPER(INDEX(_xlfn.TEXTSPLIT($F52, "-"), 3))</f>
        <v>#VALUE!</v>
      </c>
      <c r="D52" s="82" t="s">
        <v>922</v>
      </c>
      <c r="E52" s="82" t="s">
        <v>24</v>
      </c>
      <c r="F52" s="82"/>
      <c r="G52" s="82"/>
      <c r="H52" s="82" t="s">
        <v>1016</v>
      </c>
      <c r="I52" s="82" t="s">
        <v>1126</v>
      </c>
      <c r="J52" s="82" t="s">
        <v>102</v>
      </c>
      <c r="K52" s="82" t="str">
        <f t="shared" si="5"/>
        <v>-fe</v>
      </c>
      <c r="L52" s="82" t="s">
        <v>317</v>
      </c>
      <c r="M52" s="82" t="s">
        <v>338</v>
      </c>
      <c r="N52" s="82"/>
      <c r="O52" s="82" t="s">
        <v>108</v>
      </c>
      <c r="P52" s="82" t="s">
        <v>1131</v>
      </c>
      <c r="Q52" s="82" t="str">
        <f t="shared" si="6"/>
        <v>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D73" sqref="D73:D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1133</v>
      </c>
      <c r="E73" s="82" t="s">
        <v>1164</v>
      </c>
      <c r="F73" s="82" t="str">
        <f t="shared" si="15"/>
        <v>p-clv-web-lb-pb443</v>
      </c>
      <c r="G73" s="82" t="s">
        <v>1130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1133</v>
      </c>
      <c r="E74" s="74" t="s">
        <v>1117</v>
      </c>
      <c r="F74" s="74" t="str">
        <f t="shared" si="15"/>
        <v>p-dis-clvap-lb-pb8080</v>
      </c>
      <c r="G74" s="74" t="s">
        <v>1130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1133</v>
      </c>
      <c r="E75" s="82" t="s">
        <v>1166</v>
      </c>
      <c r="F75" s="82" t="str">
        <f t="shared" si="15"/>
        <v>p-clv-ssrap-lb-pb8080</v>
      </c>
      <c r="G75" s="82" t="s">
        <v>1130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1133</v>
      </c>
      <c r="E76" s="74" t="s">
        <v>1167</v>
      </c>
      <c r="F76" s="74" t="str">
        <f t="shared" si="15"/>
        <v>p-clv-admweb-lb-pb443</v>
      </c>
      <c r="G76" s="74" t="s">
        <v>1130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1133</v>
      </c>
      <c r="E77" s="82" t="s">
        <v>1168</v>
      </c>
      <c r="F77" s="82" t="str">
        <f t="shared" si="15"/>
        <v>p-clv-admap-lb-pb8080</v>
      </c>
      <c r="G77" s="82" t="s">
        <v>1130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15"/>
        <v>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ref="F79:F87" si="16">SUBSTITUTE(E79, "hazr-", "")&amp;"-pb"&amp;H79</f>
        <v>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1" workbookViewId="0">
      <selection activeCell="E76" sqref="E76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1133</v>
      </c>
      <c r="E73" s="82" t="s">
        <v>1164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1133</v>
      </c>
      <c r="E74" s="74" t="s">
        <v>1117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1133</v>
      </c>
      <c r="E75" s="82" t="s">
        <v>1166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1133</v>
      </c>
      <c r="E76" s="74" t="s">
        <v>1167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1133</v>
      </c>
      <c r="E77" s="82" t="s">
        <v>1168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34"/>
        <v>-rule443</v>
      </c>
      <c r="G78" s="74" t="str">
        <f t="shared" ref="G78:G87" si="38">SUBSTITUTE(E78, "hazr-", "")&amp;"-fe"</f>
        <v>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-bp</v>
      </c>
      <c r="L78" s="74">
        <v>443</v>
      </c>
      <c r="M78" s="74" t="str">
        <f t="shared" ref="M78:M87" si="40">SUBSTITUTE(E78, "hazr-", "")&amp;"-pb"&amp;IF(O78="", "", O78)</f>
        <v>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si="34"/>
        <v>-rule8080</v>
      </c>
      <c r="G79" s="82" t="str">
        <f t="shared" si="38"/>
        <v>-fe</v>
      </c>
      <c r="H79" s="82" t="s">
        <v>57</v>
      </c>
      <c r="I79" s="82">
        <v>8080</v>
      </c>
      <c r="J79" s="82" t="b">
        <v>0</v>
      </c>
      <c r="K79" s="82" t="str">
        <f t="shared" si="39"/>
        <v>-bp</v>
      </c>
      <c r="L79" s="82">
        <v>8080</v>
      </c>
      <c r="M79" s="82" t="str">
        <f t="shared" si="40"/>
        <v>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2026-10-01T06:40:55Z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