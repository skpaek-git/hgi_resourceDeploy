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3113361-A827-4E76-B065-64A485E602C7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4" i="11" l="1"/>
  <c r="C147" i="2" a="1"/>
  <c r="C147" i="2" s="1"/>
  <c r="C148" i="2" a="1"/>
  <c r="C148" i="2" s="1"/>
  <c r="C149" i="2" a="1"/>
  <c r="C149" i="2" s="1"/>
  <c r="C150" i="2" a="1"/>
  <c r="C150" i="2" s="1"/>
  <c r="E147" i="2"/>
  <c r="E148" i="2"/>
  <c r="E149" i="2"/>
  <c r="E150" i="2"/>
  <c r="K184" i="2"/>
  <c r="K185" i="2"/>
  <c r="K186" i="2"/>
  <c r="E183" i="2"/>
  <c r="C183" i="2" s="1" a="1"/>
  <c r="C183" i="2" s="1"/>
  <c r="E184" i="2"/>
  <c r="C184" i="2" s="1" a="1"/>
  <c r="C184" i="2" s="1"/>
  <c r="E185" i="2"/>
  <c r="C185" i="2" s="1" a="1"/>
  <c r="C185" i="2" s="1"/>
  <c r="E186" i="2"/>
  <c r="C186" i="2" s="1" a="1"/>
  <c r="C186" i="2" s="1"/>
  <c r="E182" i="2"/>
  <c r="C182" i="2" s="1" a="1"/>
  <c r="C182" i="2" s="1"/>
  <c r="G171" i="14"/>
  <c r="J171" i="14"/>
  <c r="G172" i="14"/>
  <c r="J172" i="14"/>
  <c r="G173" i="14"/>
  <c r="J173" i="14"/>
  <c r="C164" i="1" a="1"/>
  <c r="C164" i="1" s="1"/>
  <c r="O164" i="1"/>
  <c r="U164" i="1"/>
  <c r="C163" i="1" a="1"/>
  <c r="C163" i="1" s="1"/>
  <c r="O163" i="1"/>
  <c r="U163" i="1"/>
  <c r="C162" i="1" a="1"/>
  <c r="C162" i="1" s="1"/>
  <c r="O162" i="1"/>
  <c r="U162" i="1"/>
  <c r="C171" i="14" a="1"/>
  <c r="C171" i="14" s="1"/>
  <c r="C172" i="14" a="1"/>
  <c r="C172" i="14" s="1"/>
  <c r="C173" i="14" a="1"/>
  <c r="C173" i="14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C176" i="2" s="1" a="1"/>
  <c r="C176" i="2" s="1"/>
  <c r="E177" i="2"/>
  <c r="C177" i="2" s="1" a="1"/>
  <c r="C177" i="2" s="1"/>
  <c r="E178" i="2"/>
  <c r="C178" i="2" s="1" a="1"/>
  <c r="C178" i="2" s="1"/>
  <c r="E179" i="2"/>
  <c r="C179" i="2" s="1" a="1"/>
  <c r="C179" i="2" s="1"/>
  <c r="E180" i="2"/>
  <c r="C180" i="2" s="1" a="1"/>
  <c r="C180" i="2" s="1"/>
  <c r="E181" i="2"/>
  <c r="C181" i="2" s="1" a="1"/>
  <c r="C181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K180" i="2"/>
  <c r="K181" i="2"/>
  <c r="K182" i="2"/>
  <c r="K183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70" i="2"/>
  <c r="K171" i="2"/>
  <c r="K172" i="2"/>
  <c r="K173" i="2"/>
  <c r="K174" i="2"/>
  <c r="K175" i="2"/>
  <c r="K176" i="2"/>
  <c r="K177" i="2"/>
  <c r="K178" i="2"/>
  <c r="K179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7" i="2"/>
  <c r="C167" i="2" s="1" a="1"/>
  <c r="C167" i="2" s="1"/>
  <c r="E168" i="2"/>
  <c r="C168" i="2" s="1" a="1"/>
  <c r="C168" i="2" s="1"/>
  <c r="E169" i="2"/>
  <c r="C169" i="2" s="1" a="1"/>
  <c r="C169" i="2" s="1"/>
  <c r="K167" i="2"/>
  <c r="K168" i="2"/>
  <c r="K169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4" i="2" a="1"/>
  <c r="C164" i="2" s="1"/>
  <c r="E162" i="2"/>
  <c r="C162" i="2" s="1" a="1"/>
  <c r="C162" i="2" s="1"/>
  <c r="K162" i="2"/>
  <c r="E163" i="2"/>
  <c r="C163" i="2" s="1" a="1"/>
  <c r="C163" i="2" s="1"/>
  <c r="K163" i="2"/>
  <c r="E164" i="2"/>
  <c r="K164" i="2"/>
  <c r="E165" i="2"/>
  <c r="C165" i="2" s="1" a="1"/>
  <c r="C165" i="2" s="1"/>
  <c r="K165" i="2"/>
  <c r="E166" i="2"/>
  <c r="C166" i="2" s="1" a="1"/>
  <c r="C166" i="2" s="1"/>
  <c r="K166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8" i="2"/>
  <c r="K159" i="2"/>
  <c r="K160" i="2"/>
  <c r="K161" i="2"/>
  <c r="E158" i="2"/>
  <c r="E159" i="2"/>
  <c r="E160" i="2"/>
  <c r="E161" i="2"/>
  <c r="O139" i="1"/>
  <c r="U139" i="1"/>
  <c r="O138" i="1"/>
  <c r="U138" i="1"/>
  <c r="O137" i="1"/>
  <c r="U137" i="1"/>
  <c r="O136" i="1"/>
  <c r="U136" i="1"/>
  <c r="U134" i="1"/>
  <c r="U135" i="1"/>
  <c r="F63" i="11" l="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4" i="2"/>
  <c r="K155" i="2"/>
  <c r="K156" i="2"/>
  <c r="K157" i="2"/>
  <c r="E154" i="2"/>
  <c r="C154" i="2" s="1" a="1"/>
  <c r="C154" i="2" s="1"/>
  <c r="E155" i="2"/>
  <c r="C155" i="2" s="1" a="1"/>
  <c r="C155" i="2" s="1"/>
  <c r="E156" i="2"/>
  <c r="C156" i="2" s="1" a="1"/>
  <c r="C156" i="2" s="1"/>
  <c r="E157" i="2"/>
  <c r="C157" i="2" s="1" a="1"/>
  <c r="C157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53" i="2"/>
  <c r="E152" i="2"/>
  <c r="E153" i="2"/>
  <c r="C153" i="2" s="1" a="1"/>
  <c r="C153" i="2" s="1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52" i="2" a="1"/>
  <c r="C152" i="2" s="1"/>
  <c r="K151" i="2"/>
  <c r="K15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51" i="2"/>
  <c r="C151" i="2" s="1" a="1"/>
  <c r="C151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<sst xmlns="http://schemas.openxmlformats.org/spreadsheetml/2006/main" count="8311" uniqueCount="1192">
  <si>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</si>
  <si>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</si>
  <si>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</si>
  <si>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</si>
  <si>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</si>
  <si>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</si>
  <si>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</si>
  <si>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</si>
  <si>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</si>
  <si>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</si>
  <si>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</si>
  <si>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</si>
  <si>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</si>
  <si>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</si>
  <si>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</si>
  <si>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</si>
  <si>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</si>
  <si>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</si>
  <si>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</si>
  <si>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</si>
  <si>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</si>
  <si>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</si>
  <si>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</si>
  <si>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</si>
  <si>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</si>
  <si>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</si>
  <si>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</si>
  <si>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</si>
  <si>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</si>
  <si>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</si>
  <si>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</si>
  <si>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</si>
  <si>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</si>
  <si>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</si>
  <si>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</si>
  <si>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</si>
  <si>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</si>
  <si>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</si>
  <si>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</si>
  <si>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</si>
  <si>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</si>
  <si>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</si>
  <si>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</si>
  <si>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</si>
  <si>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</si>
  <si>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</si>
  <si>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</si>
  <si>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</si>
  <si>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</si>
  <si>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</si>
  <si>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</si>
  <si>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</si>
  <si>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</si>
  <si>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</si>
  <si>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</si>
  <si>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</si>
  <si>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</si>
  <si>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</si>
  <si>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</si>
  <si>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</si>
  <si>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</si>
  <si>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</si>
  <si>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</si>
  <si>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</si>
  <si>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</si>
  <si>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</si>
  <si>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</si>
  <si>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</si>
  <si>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</si>
  <si>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</si>
  <si>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</si>
  <si>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</si>
  <si>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</si>
  <si>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</si>
  <si>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</si>
  <si>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</si>
  <si>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</si>
  <si>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</si>
  <si>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</si>
  <si>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</si>
  <si>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</si>
  <si>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</si>
  <si>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</si>
  <si>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</si>
  <si>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</si>
  <si>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</si>
  <si>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</si>
  <si>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</si>
  <si>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</si>
  <si>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</si>
  <si>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</si>
  <si>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</si>
  <si>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</si>
  <si>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</si>
  <si>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</si>
  <si>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</si>
  <si>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</si>
  <si>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</si>
  <si>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</si>
  <si>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</si>
  <si>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</si>
  <si>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</si>
  <si>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</si>
  <si>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</si>
  <si>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</si>
  <si>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</si>
  <si>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</si>
  <si>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</si>
  <si>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</si>
  <si>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</si>
  <si>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</si>
  <si>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</si>
  <si>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</si>
  <si>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</si>
  <si>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</si>
  <si>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</si>
  <si>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</si>
  <si>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</si>
  <si>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</si>
  <si>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</si>
  <si>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</si>
  <si>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</si>
  <si>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</si>
  <si>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</si>
  <si>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</si>
  <si>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</si>
  <si>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</si>
  <si>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</si>
  <si>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</si>
  <si>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</si>
  <si>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</si>
  <si>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</si>
  <si>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</si>
  <si>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</si>
  <si>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</si>
  <si>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</si>
  <si>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</si>
  <si>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</si>
  <si>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</si>
  <si>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</si>
  <si>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</si>
  <si>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</si>
  <si>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</si>
  <si>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</si>
  <si>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</si>
  <si>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</si>
  <si>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</si>
  <si>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</si>
  <si>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</si>
  <si>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</si>
  <si>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</si>
  <si>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</si>
  <si>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</si>
  <si>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</si>
  <si>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</si>
  <si>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</si>
  <si>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</si>
  <si>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</si>
  <si>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</si>
  <si>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</si>
  <si>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</si>
  <si>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</si>
  <si>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</si>
  <si>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</si>
  <si>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</si>
  <si>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</si>
  <si>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</si>
  <si>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</si>
  <si>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</si>
  <si>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</si>
  <si>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</si>
  <si>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</si>
  <si>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</si>
  <si>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</si>
  <si>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</si>
  <si>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</si>
  <si>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</si>
  <si>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</si>
  <si>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</si>
  <si>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</si>
  <si>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</si>
  <si>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</si>
  <si>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</si>
  <si>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</si>
  <si>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</si>
  <si>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</si>
  <si>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</si>
  <si>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</si>
  <si>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</si>
  <si>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</si>
  <si>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</si>
  <si>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</si>
  <si>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</si>
  <si>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</si>
  <si>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</si>
  <si>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</si>
  <si>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</si>
  <si>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</si>
  <si>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</si>
  <si>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</si>
  <si>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</si>
  <si>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</si>
  <si>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</si>
  <si>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</si>
  <si>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</si>
  <si>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</si>
  <si>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</si>
  <si>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</si>
  <si>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</si>
  <si>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</si>
  <si>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</si>
  <si>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</si>
  <si>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</si>
  <si>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</si>
  <si>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</si>
  <si>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</si>
  <si>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</si>
  <si>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</si>
  <si>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</si>
  <si>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</si>
  <si>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</si>
  <si>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</si>
  <si>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</si>
  <si>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</si>
  <si>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</si>
  <si>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</si>
  <si>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</si>
  <si>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</si>
  <si>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</si>
  <si>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</si>
  <si>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</si>
  <si>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</si>
  <si>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</si>
  <si>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</si>
  <si>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</si>
  <si>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</si>
  <si>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</si>
  <si>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</si>
  <si>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</si>
  <si>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</si>
  <si>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</si>
  <si>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</si>
  <si>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</si>
  <si>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</si>
  <si>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</si>
  <si>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</si>
  <si>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</si>
  <si>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</si>
  <si>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</si>
  <si>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</si>
  <si>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</si>
  <si>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</si>
  <si>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</si>
  <si>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</si>
  <si>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</si>
  <si>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</si>
  <si>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</si>
  <si>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</si>
  <si>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</si>
  <si>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</si>
  <si>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</si>
  <si>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</si>
  <si>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</si>
  <si>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</si>
  <si>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</si>
  <si>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</si>
  <si>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</si>
  <si>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</si>
  <si>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</si>
  <si>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</si>
  <si>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</si>
  <si>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</si>
  <si>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</si>
  <si>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</si>
  <si>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</si>
  <si>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</si>
  <si>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</si>
  <si>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</si>
  <si>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</si>
  <si>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</si>
  <si>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</si>
  <si>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</si>
  <si>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</si>
  <si>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</si>
  <si>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</si>
  <si>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</si>
  <si>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</si>
  <si>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</si>
  <si>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</si>
  <si>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</si>
  <si>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</si>
  <si>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</si>
  <si>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</si>
  <si>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</si>
  <si>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</si>
  <si>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</si>
  <si>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</si>
  <si>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</si>
  <si>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</si>
  <si>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</si>
  <si>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</si>
  <si>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</si>
  <si>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</si>
  <si>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</si>
  <si>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</si>
  <si>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</si>
  <si>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</si>
  <si>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</si>
  <si>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</si>
  <si>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</si>
  <si>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</si>
  <si>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</si>
  <si>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</si>
  <si>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</si>
  <si>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</si>
  <si>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</si>
  <si>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</si>
  <si>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</si>
  <si>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</si>
  <si>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</si>
  <si>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</si>
  <si>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</si>
  <si>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</si>
  <si>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</si>
  <si>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</si>
  <si>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</si>
  <si>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</si>
  <si>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</si>
  <si>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</si>
  <si>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</si>
  <si>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</si>
  <si>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</si>
  <si>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</si>
  <si>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</si>
  <si>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</si>
  <si>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</si>
  <si>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</si>
  <si>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</si>
  <si>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</si>
  <si>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</si>
  <si>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</si>
  <si>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</si>
  <si>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</si>
  <si>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</si>
  <si>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</si>
  <si>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</si>
  <si>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</si>
  <si>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</si>
  <si>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</si>
  <si>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</si>
  <si>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</si>
  <si>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</si>
  <si>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</si>
  <si>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</si>
  <si>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</si>
  <si>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</si>
  <si>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</si>
  <si>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</si>
  <si>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</si>
  <si>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</si>
  <si>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</si>
  <si>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</si>
  <si>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</si>
  <si>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</si>
  <si>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</si>
  <si>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</si>
  <si>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</si>
  <si>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</si>
  <si>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</si>
  <si>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</si>
  <si>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</si>
  <si>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</si>
  <si>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</si>
  <si>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</si>
  <si>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</si>
  <si>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</si>
  <si>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</si>
  <si>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</si>
  <si>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</si>
  <si>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</si>
  <si>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</si>
  <si>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</si>
  <si>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</si>
  <si>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</si>
  <si>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</si>
  <si>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</si>
  <si>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</si>
  <si>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</si>
  <si>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</si>
  <si>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</si>
  <si>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</si>
  <si>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</si>
  <si>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</si>
  <si>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</si>
  <si>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</si>
  <si>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</si>
  <si>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</si>
  <si>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</si>
  <si>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</si>
  <si>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</si>
  <si>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</si>
  <si>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</si>
  <si>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</si>
  <si>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</si>
  <si>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</si>
  <si>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</si>
  <si>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</si>
  <si>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</si>
  <si>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</si>
  <si>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</si>
  <si>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</si>
  <si>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</si>
  <si>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</si>
  <si>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</si>
  <si>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</si>
  <si>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</si>
  <si>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</si>
  <si>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</si>
  <si>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</si>
  <si>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</si>
  <si>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</si>
  <si>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</si>
  <si>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</si>
  <si>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</si>
  <si>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</si>
  <si>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</si>
  <si>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</si>
  <si>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</si>
  <si>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</si>
  <si>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</si>
  <si>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</si>
  <si>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</si>
  <si>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</si>
  <si>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</si>
  <si>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</si>
  <si>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</si>
  <si>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</si>
  <si>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</si>
  <si>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</si>
  <si>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</si>
  <si>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</si>
  <si>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</si>
  <si>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</si>
  <si>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</si>
  <si>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</si>
  <si>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</si>
  <si>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</si>
  <si>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</si>
  <si>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</si>
  <si>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</si>
  <si>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</si>
  <si>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</si>
  <si>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</si>
  <si>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</si>
  <si>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</si>
  <si>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</si>
  <si>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</si>
  <si>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</si>
  <si>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</si>
  <si>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</si>
  <si>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</si>
  <si>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</si>
  <si>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</si>
  <si>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</si>
  <si>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</si>
  <si>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</si>
  <si>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</si>
  <si>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</si>
  <si>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</si>
  <si>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</si>
  <si>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</si>
  <si>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</si>
  <si>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</si>
  <si>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</si>
  <si>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</si>
  <si>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</si>
  <si>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</si>
  <si>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</si>
  <si>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</si>
  <si>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</si>
  <si>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</si>
  <si>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</si>
  <si>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</si>
  <si>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</si>
  <si>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</si>
  <si>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</si>
  <si>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</si>
  <si>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</si>
  <si>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</si>
  <si>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</si>
  <si>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</si>
  <si>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</si>
  <si>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</si>
  <si>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</si>
  <si>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</si>
  <si>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</si>
  <si>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</si>
  <si>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</si>
  <si>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</si>
  <si>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</si>
  <si>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</si>
  <si>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</si>
  <si>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</si>
  <si>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</si>
  <si>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</si>
  <si>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</si>
  <si>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</si>
  <si>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</si>
  <si>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</si>
  <si>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</si>
  <si>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</si>
  <si>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</si>
  <si>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</si>
  <si>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</si>
  <si>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</si>
  <si>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</si>
  <si>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</si>
  <si>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</si>
  <si>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</si>
  <si>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</si>
  <si>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</si>
  <si>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</si>
  <si>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</si>
  <si>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</si>
  <si>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</si>
  <si>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</si>
  <si>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</si>
  <si>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</si>
  <si>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</si>
  <si>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</si>
  <si>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</si>
  <si>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</si>
  <si>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</si>
  <si>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</si>
  <si>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</si>
  <si>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</si>
  <si>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</si>
  <si>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</si>
  <si>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</si>
  <si>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</si>
  <si>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</si>
  <si>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</si>
  <si>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</si>
  <si>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</si>
  <si>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</si>
  <si>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</si>
  <si>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</si>
  <si>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</si>
  <si>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</si>
  <si>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</si>
  <si>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</si>
  <si>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</si>
  <si>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</si>
  <si>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</si>
  <si>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</si>
  <si>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</si>
  <si>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</si>
  <si>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</si>
  <si>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</si>
  <si>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</si>
  <si>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</si>
  <si>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</si>
  <si>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</si>
  <si>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</si>
  <si>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</si>
  <si>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</si>
  <si>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</si>
  <si>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</si>
  <si>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</si>
  <si>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</si>
  <si>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</si>
  <si>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</si>
  <si>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</si>
  <si>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</si>
  <si>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</si>
  <si>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</si>
  <si>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</si>
  <si>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</si>
  <si>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</si>
  <si>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</si>
  <si>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</si>
  <si>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</si>
  <si>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</si>
  <si>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</si>
  <si>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</si>
  <si>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</si>
  <si>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</si>
  <si>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</si>
  <si>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</si>
  <si>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</si>
  <si>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</si>
  <si>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</si>
  <si>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</si>
  <si>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</si>
  <si>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</si>
  <si>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</si>
  <si>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</si>
  <si>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</si>
  <si>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</si>
  <si>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</si>
  <si>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</si>
  <si>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</si>
  <si>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</si>
  <si>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</si>
  <si>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</si>
  <si>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</si>
  <si>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</si>
  <si>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</si>
  <si>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</si>
  <si>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</si>
  <si>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</si>
  <si>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</si>
  <si>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</si>
  <si>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</si>
  <si>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</si>
  <si>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</si>
  <si>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</si>
  <si>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</si>
  <si>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</si>
  <si>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</si>
  <si>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</si>
  <si>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</si>
  <si>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</si>
  <si>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</si>
  <si>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</si>
  <si>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</si>
  <si>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</si>
  <si>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</si>
  <si>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</si>
  <si>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</si>
  <si>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</si>
  <si>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</si>
  <si>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</si>
  <si>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</si>
  <si>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</si>
  <si>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</si>
  <si>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</si>
  <si>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</si>
  <si>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</si>
  <si>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</si>
  <si>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</si>
  <si>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</si>
  <si>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</si>
  <si>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</si>
  <si>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</si>
  <si>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</si>
  <si>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</si>
  <si>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</si>
  <si>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</si>
  <si>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</si>
  <si>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</si>
  <si>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</si>
  <si>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</si>
  <si>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</si>
  <si>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</si>
  <si>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</si>
  <si>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</si>
  <si>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</si>
  <si>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</si>
  <si>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</si>
  <si>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</si>
  <si>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</si>
  <si>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</si>
  <si>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</si>
  <si>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</si>
  <si>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</si>
  <si>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</si>
  <si>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</si>
  <si>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</si>
  <si>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</si>
  <si>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</si>
  <si>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</si>
  <si>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</si>
  <si>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</si>
  <si>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</si>
  <si>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</si>
  <si>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</si>
  <si>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</si>
  <si>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</si>
  <si>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</si>
  <si>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</si>
  <si>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</si>
  <si>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</si>
  <si>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</si>
  <si>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</si>
  <si>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</si>
  <si>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</si>
  <si>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</si>
  <si>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</si>
  <si>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</si>
  <si>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</si>
  <si>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</si>
  <si>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</si>
  <si>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</si>
  <si>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</si>
  <si>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</si>
  <si>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</si>
  <si>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</si>
  <si>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</si>
  <si>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</si>
  <si>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</si>
  <si>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</si>
  <si>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</si>
  <si>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</si>
  <si>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</si>
  <si>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</si>
  <si>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</si>
  <si>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</si>
  <si>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</si>
  <si>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</si>
  <si>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</si>
  <si>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</si>
  <si>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</si>
  <si>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</si>
  <si>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</si>
  <si>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</si>
  <si>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</si>
  <si>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</si>
  <si>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</si>
  <si>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</si>
  <si>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</si>
  <si>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</si>
  <si>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</si>
  <si>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</si>
  <si>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</si>
  <si>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</si>
  <si>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</si>
  <si>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</si>
  <si>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</si>
  <si>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</si>
  <si>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</si>
  <si>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</si>
  <si>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</si>
  <si>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</si>
  <si>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</si>
  <si>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</si>
  <si>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</si>
  <si>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</si>
  <si>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</si>
  <si>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</si>
  <si>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</si>
  <si>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</si>
  <si>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</si>
  <si>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</si>
  <si>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</si>
  <si>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</si>
  <si>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</si>
  <si>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</si>
  <si>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</si>
  <si>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</si>
  <si>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</si>
  <si>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</si>
  <si>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</si>
  <si>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</si>
  <si>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</si>
  <si>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</si>
  <si>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</si>
  <si>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</si>
  <si>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</si>
  <si>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</si>
  <si>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</si>
  <si>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</si>
  <si>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</si>
  <si>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</si>
  <si>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</si>
  <si>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</si>
  <si>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</si>
  <si>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</si>
  <si>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</si>
  <si>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</si>
  <si>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</si>
  <si>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</si>
  <si>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</si>
  <si>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</si>
  <si>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</si>
  <si>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</si>
  <si>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</si>
  <si>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</si>
  <si>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</si>
  <si>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</si>
  <si>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</si>
  <si>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</si>
  <si>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</si>
  <si>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</si>
  <si>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</si>
  <si>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</si>
  <si>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</si>
  <si>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</si>
  <si>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</si>
  <si>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</si>
  <si>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</si>
  <si>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</si>
  <si>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</si>
  <si>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</si>
  <si>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</si>
  <si>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</si>
  <si>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</si>
  <si>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</si>
  <si>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</si>
  <si>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</si>
  <si>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</si>
  <si>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</si>
  <si>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</si>
  <si>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</si>
  <si>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</si>
  <si>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</si>
  <si>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</si>
  <si>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</si>
  <si>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</si>
  <si>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</si>
  <si>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</si>
  <si>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</si>
  <si>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</si>
  <si>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</si>
  <si>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</si>
  <si>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</si>
  <si>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</si>
  <si>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</si>
  <si>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</si>
  <si>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</si>
  <si>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</si>
  <si>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</si>
  <si>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</si>
  <si>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</si>
  <si>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</si>
  <si>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</si>
  <si>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</si>
  <si>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</si>
  <si>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</si>
  <si>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</si>
  <si>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</si>
  <si>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</si>
  <si>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</si>
  <si>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</si>
  <si>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</si>
  <si>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</si>
  <si>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</si>
  <si>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</si>
  <si>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</si>
  <si>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</si>
  <si>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</si>
  <si>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</si>
  <si>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</si>
  <si>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</si>
  <si>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</si>
  <si>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</si>
  <si>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</si>
  <si>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</si>
  <si>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</si>
  <si>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</si>
  <si>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</si>
  <si>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</si>
  <si>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</si>
  <si>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</si>
  <si>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</si>
  <si>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</si>
  <si>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</si>
  <si>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</si>
  <si>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</si>
  <si>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</si>
  <si>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</si>
  <si>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</si>
  <si>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</si>
  <si>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</si>
  <si>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</si>
  <si>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</si>
  <si>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</si>
  <si>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</si>
  <si>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</si>
  <si>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</si>
  <si>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</si>
  <si>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</si>
  <si>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</si>
  <si>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</si>
  <si>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</si>
  <si>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</si>
  <si>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</si>
  <si>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</si>
  <si>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</si>
  <si>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</si>
  <si>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</si>
  <si>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</si>
  <si>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</si>
  <si>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</si>
  <si>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</si>
  <si>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</si>
  <si>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</si>
  <si>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</si>
  <si>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</si>
  <si>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</si>
  <si>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</si>
  <si>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</si>
  <si>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</si>
  <si>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</si>
  <si>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</si>
  <si>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</si>
  <si>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</si>
  <si>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</si>
  <si>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</si>
  <si>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</si>
  <si>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</si>
  <si>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</si>
  <si>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</si>
  <si>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</si>
  <si>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</si>
  <si>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</si>
  <si>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</si>
  <si>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</si>
  <si>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</si>
  <si>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</si>
  <si>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</si>
  <si>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</si>
  <si>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</si>
  <si>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</si>
  <si>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</si>
  <si>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</si>
  <si>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</si>
  <si>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</si>
  <si>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</si>
  <si>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</si>
  <si>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</si>
  <si>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</si>
  <si>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</si>
  <si>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</si>
  <si>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</si>
  <si>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</si>
  <si>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</si>
  <si>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</si>
  <si>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</si>
  <si>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</si>
  <si>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</si>
  <si>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</si>
  <si>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</si>
  <si>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</si>
  <si>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</si>
  <si>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</si>
  <si>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</si>
  <si>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</si>
  <si>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</si>
  <si>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</si>
  <si>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</si>
  <si>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</si>
  <si>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</si>
  <si>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</si>
  <si>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</si>
  <si>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</si>
  <si>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</si>
  <si>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</si>
  <si>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</si>
  <si>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</si>
  <si>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</si>
  <si>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</si>
  <si>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</si>
  <si>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</si>
  <si>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</si>
  <si>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</si>
  <si>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</si>
  <si>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</si>
  <si>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</si>
  <si>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</si>
  <si>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</si>
  <si>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</si>
  <si>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</si>
  <si>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</si>
  <si>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</si>
  <si>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</si>
  <si>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</si>
  <si>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</si>
  <si>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</si>
  <si>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</si>
  <si>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</si>
  <si>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</si>
  <si>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</si>
  <si>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</si>
  <si>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</si>
  <si>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</si>
  <si>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</si>
  <si>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</si>
  <si>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</si>
  <si>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</si>
  <si>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</si>
  <si>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</si>
  <si>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</si>
  <si>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</si>
  <si>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</si>
  <si>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</si>
  <si>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</si>
  <si>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</si>
  <si>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</si>
  <si>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</si>
  <si>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</si>
  <si>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</si>
  <si>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</si>
  <si>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</si>
  <si>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</si>
  <si>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</si>
  <si>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</si>
  <si>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</si>
  <si>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</si>
  <si>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</si>
  <si>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</si>
  <si>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</si>
  <si>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</si>
  <si>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</si>
  <si>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</si>
  <si>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</si>
  <si>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</si>
  <si>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</si>
  <si>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</si>
  <si>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</si>
  <si>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</si>
  <si>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</si>
  <si>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</si>
  <si>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</si>
  <si>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</si>
  <si>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</si>
  <si>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</si>
  <si>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</si>
  <si>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</si>
  <si>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</si>
  <si>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</si>
  <si>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</si>
  <si>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</si>
  <si>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</si>
  <si>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</si>
  <si>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</si>
  <si>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</si>
  <si>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</si>
  <si>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</si>
  <si>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</si>
  <si>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</si>
  <si>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</si>
  <si>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</si>
  <si>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</si>
  <si>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</si>
  <si>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</si>
  <si>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</si>
  <si>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</si>
  <si>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</si>
  <si>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</si>
  <si>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</si>
  <si>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</si>
  <si>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</si>
  <si>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</si>
  <si>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</si>
  <si>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</si>
  <si>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</si>
  <si>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</si>
  <si>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</si>
  <si>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</si>
  <si>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</si>
  <si>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</si>
  <si>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</si>
  <si>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</si>
  <si>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</si>
  <si>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</si>
  <si>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</si>
  <si>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</si>
  <si>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</si>
  <si>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</si>
  <si>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</si>
  <si>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</si>
  <si>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</si>
  <si>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</si>
  <si>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</si>
  <si>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</si>
  <si>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</si>
  <si>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</si>
  <si>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</si>
  <si>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</si>
  <si>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</si>
  <si>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</si>
  <si>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</si>
  <si>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</si>
  <si>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</si>
  <si>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</si>
  <si>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</si>
  <si>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</si>
  <si>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</si>
  <si>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</si>
  <si>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</si>
  <si>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</si>
  <si>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</si>
  <si>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</si>
  <si>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</si>
  <si>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</si>
  <si>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</si>
  <si>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</si>
  <si>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</si>
  <si>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</si>
  <si>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</si>
  <si>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</si>
  <si>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</si>
  <si>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</si>
  <si>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</si>
  <si>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</si>
  <si>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</si>
  <si>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</si>
  <si>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</si>
  <si>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</si>
  <si>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</si>
  <si>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</si>
  <si>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</si>
  <si>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</si>
  <si>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</si>
  <si>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</si>
  <si>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</si>
  <si>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</si>
  <si>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</si>
  <si>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</si>
  <si>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</si>
  <si>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</si>
  <si>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</si>
  <si>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</si>
  <si>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</si>
  <si>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</si>
  <si>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</si>
  <si>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</si>
  <si>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</si>
  <si>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</si>
  <si>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</si>
  <si>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</si>
  <si>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</si>
  <si>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</si>
  <si>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</si>
  <si>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</si>
  <si>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</si>
  <si>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</si>
  <si>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</si>
  <si>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</si>
  <si>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</si>
  <si>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</si>
  <si>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</si>
  <si>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</si>
  <si>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</si>
  <si>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</si>
  <si>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</si>
  <si>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</si>
  <si>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</si>
  <si>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</si>
  <si>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</si>
  <si>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</si>
  <si>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</si>
  <si>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</si>
  <si>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</si>
  <si>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</si>
  <si>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</si>
  <si>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</si>
  <si>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</si>
  <si>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</si>
  <si>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</si>
  <si>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</si>
  <si>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</si>
  <si>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</si>
  <si>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</si>
  <si>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</si>
  <si>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</si>
  <si>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</si>
  <si>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</si>
  <si>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</si>
  <si>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</si>
  <si>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</si>
  <si>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</si>
  <si>
    <t>hazr-p-ga-rg</t>
  </si>
  <si>
    <t>hazr-p-ga-rg</t>
    <phoneticPr fontId="1" type="noConversion"/>
  </si>
  <si>
    <t>hazr-p-bsu-rg</t>
    <phoneticPr fontId="1" type="noConversion"/>
  </si>
  <si>
    <t>hazr-p-ga-oweb01</t>
    <phoneticPr fontId="1" type="noConversion"/>
  </si>
  <si>
    <t>hazr-p-ga-oap01</t>
    <phoneticPr fontId="1" type="noConversion"/>
  </si>
  <si>
    <t>hazr-p-bsu-accweb01</t>
    <phoneticPr fontId="1" type="noConversion"/>
  </si>
  <si>
    <t>hazr-p-ga-oweb02</t>
    <phoneticPr fontId="1" type="noConversion"/>
  </si>
  <si>
    <t>hazr-p-ga-oap02</t>
    <phoneticPr fontId="1" type="noConversion"/>
  </si>
  <si>
    <t>10.158.137.11</t>
    <phoneticPr fontId="1" type="noConversion"/>
  </si>
  <si>
    <t>10.158.137.12</t>
    <phoneticPr fontId="1" type="noConversion"/>
  </si>
  <si>
    <t>10.158.171.11</t>
    <phoneticPr fontId="1" type="noConversion"/>
  </si>
  <si>
    <t>10.158.171.12</t>
    <phoneticPr fontId="1" type="noConversion"/>
  </si>
  <si>
    <t>10.158.147.11</t>
    <phoneticPr fontId="1" type="noConversion"/>
  </si>
  <si>
    <t>Windows</t>
    <phoneticPr fontId="1" type="noConversion"/>
  </si>
  <si>
    <t>/subscriptions/b73b1d70-b43f-41b5-bb3f-34b9236d2ed9/resourceGroups/hazr-l-mgmt-rg/providers/Microsoft.Compute/galleries/hazrlmgmtgal/images/RHEL_9.8_Base_Image/versions/0.0.6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</si>
  <si>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</si>
  <si>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p-ga-web-sbn</t>
    <phoneticPr fontId="1" type="noConversion"/>
  </si>
  <si>
    <t>p-ga-ap-sbn</t>
    <phoneticPr fontId="1" type="noConversion"/>
  </si>
  <si>
    <t>p-bsu-ap-sbn</t>
    <phoneticPr fontId="1" type="noConversion"/>
  </si>
  <si>
    <t>p-tm-db-sbn</t>
    <phoneticPr fontId="1" type="noConversion"/>
  </si>
  <si>
    <t>p-tm-pe-sbn</t>
    <phoneticPr fontId="1" type="noConversion"/>
  </si>
  <si>
    <t>p-ga-db-sbn</t>
    <phoneticPr fontId="1" type="noConversion"/>
  </si>
  <si>
    <t>p-ga-pe-sbn</t>
    <phoneticPr fontId="1" type="noConversion"/>
  </si>
  <si>
    <t>p-bsu-db-sbn</t>
    <phoneticPr fontId="1" type="noConversion"/>
  </si>
  <si>
    <t>p-bsu-pe-sbn</t>
    <phoneticPr fontId="1" type="noConversion"/>
  </si>
  <si>
    <t>hazr-p-ga-oweb-lb</t>
    <phoneticPr fontId="1" type="noConversion"/>
  </si>
  <si>
    <t>hazr-p-ga-oap-lb</t>
    <phoneticPr fontId="1" type="noConversion"/>
  </si>
  <si>
    <t>10.158.137.10</t>
    <phoneticPr fontId="1" type="noConversion"/>
  </si>
  <si>
    <t>10.158.171.10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</si>
</sst>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4" totalsRowShown="0" headerRowDxfId="32" dataDxfId="31">
  <autoFilter ref="B1:AF164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1027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4"/>
  <sheetViews>
    <sheetView zoomScaleNormal="100" zoomScaleSheetLayoutView="100" workbookViewId="0">
      <pane xSplit="6" ySplit="1" topLeftCell="G149" activePane="bottomRight" state="frozen"/>
      <selection activeCell="B148" sqref="B148"/>
      <selection pane="topRight" activeCell="B148" sqref="B148"/>
      <selection pane="bottomLeft" activeCell="B148" sqref="B148"/>
      <selection pane="bottomRight" activeCell="A160" sqref="A160:A16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985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985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986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986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995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986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995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986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985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985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985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985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985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985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985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995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985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995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985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985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985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986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986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986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986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986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986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985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985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986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986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985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985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985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985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985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985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985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985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986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986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986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986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986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986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985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985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985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985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985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985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985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985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985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985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985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985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1005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985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1006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985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1007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985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1008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985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1009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985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1010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985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986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986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985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985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986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985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985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985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985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986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986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985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985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985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985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985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985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985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985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985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985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986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985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993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985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985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985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985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985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985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985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985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986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986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985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985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986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986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986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986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985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985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986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985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986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986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986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986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986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986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996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985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985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997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986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985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988</v>
      </c>
      <c r="C114" s="102"/>
      <c r="D114" s="102" t="s">
        <v>924</v>
      </c>
      <c r="E114" s="102" t="s">
        <v>24</v>
      </c>
      <c r="F114" s="102" t="s">
        <v>454</v>
      </c>
      <c r="G114" s="102" t="s">
        <v>989</v>
      </c>
      <c r="H114" s="102" t="s">
        <v>990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991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964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988</v>
      </c>
      <c r="C115" s="102"/>
      <c r="D115" s="102" t="s">
        <v>924</v>
      </c>
      <c r="E115" s="102" t="s">
        <v>24</v>
      </c>
      <c r="F115" s="102" t="s">
        <v>455</v>
      </c>
      <c r="G115" s="102" t="s">
        <v>992</v>
      </c>
      <c r="H115" s="102" t="s">
        <v>990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991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964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985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985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986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986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986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986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986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986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985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985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985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985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985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922</v>
      </c>
      <c r="E129" s="95" t="s">
        <v>24</v>
      </c>
      <c r="F129" s="95" t="s">
        <v>1017</v>
      </c>
      <c r="G129" s="95" t="s">
        <v>1019</v>
      </c>
      <c r="H129" s="95" t="s">
        <v>1021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991</v>
      </c>
      <c r="N129" s="98" t="s">
        <v>985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961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922</v>
      </c>
      <c r="E130" s="74" t="s">
        <v>24</v>
      </c>
      <c r="F130" s="95" t="s">
        <v>1087</v>
      </c>
      <c r="G130" s="74" t="s">
        <v>1020</v>
      </c>
      <c r="H130" s="74" t="s">
        <v>1021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991</v>
      </c>
      <c r="N130" s="98" t="s">
        <v>985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961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1028</v>
      </c>
      <c r="D131" s="95" t="s">
        <v>924</v>
      </c>
      <c r="E131" s="95" t="s">
        <v>24</v>
      </c>
      <c r="F131" s="95" t="s">
        <v>1029</v>
      </c>
      <c r="G131" s="95" t="s">
        <v>1030</v>
      </c>
      <c r="H131" s="95" t="s">
        <v>1031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991</v>
      </c>
      <c r="N131" s="98" t="s">
        <v>1032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964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1033</v>
      </c>
      <c r="E132" s="95" t="s">
        <v>24</v>
      </c>
      <c r="F132" s="95" t="s">
        <v>1034</v>
      </c>
      <c r="G132" s="95" t="s">
        <v>1038</v>
      </c>
      <c r="H132" s="95" t="s">
        <v>1040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991</v>
      </c>
      <c r="N132" s="118" t="s">
        <v>1048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1043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1033</v>
      </c>
      <c r="E133" s="95" t="s">
        <v>24</v>
      </c>
      <c r="F133" s="95" t="s">
        <v>1035</v>
      </c>
      <c r="G133" s="95" t="s">
        <v>1039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991</v>
      </c>
      <c r="N133" s="118" t="s">
        <v>1048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1043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1033</v>
      </c>
      <c r="E134" s="95" t="s">
        <v>24</v>
      </c>
      <c r="F134" s="95" t="s">
        <v>1036</v>
      </c>
      <c r="G134" s="95" t="s">
        <v>1049</v>
      </c>
      <c r="H134" s="95" t="s">
        <v>1042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991</v>
      </c>
      <c r="N134" s="118" t="s">
        <v>1048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1046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1033</v>
      </c>
      <c r="E135" s="95" t="s">
        <v>24</v>
      </c>
      <c r="F135" s="95" t="s">
        <v>1037</v>
      </c>
      <c r="G135" s="95" t="s">
        <v>1050</v>
      </c>
      <c r="H135" s="95" t="s">
        <v>1041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991</v>
      </c>
      <c r="N135" s="118" t="s">
        <v>1048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1046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1053</v>
      </c>
      <c r="D136" s="95" t="s">
        <v>1054</v>
      </c>
      <c r="E136" s="95" t="s">
        <v>24</v>
      </c>
      <c r="F136" s="95" t="s">
        <v>1055</v>
      </c>
      <c r="G136" s="95" t="s">
        <v>1057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991</v>
      </c>
      <c r="N136" s="1" t="s">
        <v>1064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1061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1053</v>
      </c>
      <c r="D137" s="95" t="s">
        <v>1054</v>
      </c>
      <c r="E137" s="95" t="s">
        <v>24</v>
      </c>
      <c r="F137" s="95" t="s">
        <v>1056</v>
      </c>
      <c r="G137" s="95" t="s">
        <v>1058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991</v>
      </c>
      <c r="N137" s="1" t="s">
        <v>1064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1061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1053</v>
      </c>
      <c r="D138" s="95" t="s">
        <v>1054</v>
      </c>
      <c r="E138" s="95" t="s">
        <v>24</v>
      </c>
      <c r="F138" s="95" t="s">
        <v>1062</v>
      </c>
      <c r="G138" s="95" t="s">
        <v>1059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991</v>
      </c>
      <c r="N138" s="1" t="s">
        <v>1064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1061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1053</v>
      </c>
      <c r="D139" s="95" t="s">
        <v>1054</v>
      </c>
      <c r="E139" s="95" t="s">
        <v>24</v>
      </c>
      <c r="F139" s="95" t="s">
        <v>1063</v>
      </c>
      <c r="G139" s="95" t="s">
        <v>1060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991</v>
      </c>
      <c r="N139" s="1" t="s">
        <v>1064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1061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1065</v>
      </c>
      <c r="C140" s="95" t="str" cm="1">
        <f t="array" ref="C140">UPPER(INDEX(_xlfn.TEXTSPLIT($F140, "-"), 3))</f>
        <v>BDP</v>
      </c>
      <c r="D140" s="95" t="s">
        <v>1066</v>
      </c>
      <c r="E140" s="95" t="s">
        <v>24</v>
      </c>
      <c r="F140" s="95" t="s">
        <v>1068</v>
      </c>
      <c r="G140" s="95" t="s">
        <v>1073</v>
      </c>
      <c r="H140" s="95" t="s">
        <v>1077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1079</v>
      </c>
      <c r="N140" s="118" t="s">
        <v>1080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967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1065</v>
      </c>
      <c r="C141" s="95" t="str" cm="1">
        <f t="array" ref="C141">UPPER(INDEX(_xlfn.TEXTSPLIT($F141, "-"), 3))</f>
        <v>BDP</v>
      </c>
      <c r="D141" s="95" t="s">
        <v>1066</v>
      </c>
      <c r="E141" s="95" t="s">
        <v>24</v>
      </c>
      <c r="F141" s="95" t="s">
        <v>1069</v>
      </c>
      <c r="G141" s="95" t="s">
        <v>1074</v>
      </c>
      <c r="H141" s="95" t="s">
        <v>1077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1079</v>
      </c>
      <c r="N141" s="118" t="s">
        <v>1080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967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1065</v>
      </c>
      <c r="C142" s="74" t="str" cm="1">
        <f t="array" ref="C142">UPPER(INDEX(_xlfn.TEXTSPLIT($F142, "-"), 3))</f>
        <v>BDP</v>
      </c>
      <c r="D142" s="95" t="s">
        <v>1066</v>
      </c>
      <c r="E142" s="74" t="s">
        <v>24</v>
      </c>
      <c r="F142" s="74" t="s">
        <v>1070</v>
      </c>
      <c r="G142" s="74" t="s">
        <v>1075</v>
      </c>
      <c r="H142" s="74" t="s">
        <v>1078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1079</v>
      </c>
      <c r="N142" s="119" t="s">
        <v>1080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963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1067</v>
      </c>
      <c r="C143" s="74" t="str" cm="1">
        <f t="array" ref="C143">UPPER(INDEX(_xlfn.TEXTSPLIT($F143, "-"), 3))</f>
        <v>BDP</v>
      </c>
      <c r="D143" s="95" t="s">
        <v>1066</v>
      </c>
      <c r="E143" s="74" t="s">
        <v>24</v>
      </c>
      <c r="F143" s="74" t="s">
        <v>1071</v>
      </c>
      <c r="G143" s="74" t="s">
        <v>1076</v>
      </c>
      <c r="H143" s="74" t="s">
        <v>1078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1079</v>
      </c>
      <c r="N143" s="116" t="s">
        <v>1080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963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1065</v>
      </c>
      <c r="C144" s="74" t="str" cm="1">
        <f t="array" ref="C144">UPPER(INDEX(_xlfn.TEXTSPLIT($F144, "-"), 3))</f>
        <v>BDP</v>
      </c>
      <c r="D144" s="95" t="s">
        <v>1066</v>
      </c>
      <c r="E144" s="74" t="s">
        <v>24</v>
      </c>
      <c r="F144" s="74" t="s">
        <v>1072</v>
      </c>
      <c r="G144" s="74" t="s">
        <v>1086</v>
      </c>
      <c r="H144" s="74" t="s">
        <v>1078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1079</v>
      </c>
      <c r="N144" s="116" t="s">
        <v>1080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963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1088</v>
      </c>
      <c r="C145" s="95" t="str" cm="1">
        <f t="array" ref="C145">UPPER(INDEX(_xlfn.TEXTSPLIT($F145, "-"), 3))</f>
        <v>IF</v>
      </c>
      <c r="D145" s="95" t="s">
        <v>1090</v>
      </c>
      <c r="E145" s="95" t="s">
        <v>24</v>
      </c>
      <c r="F145" s="95" t="s">
        <v>1091</v>
      </c>
      <c r="G145" s="95" t="s">
        <v>1092</v>
      </c>
      <c r="H145" s="95" t="s">
        <v>1097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1089</v>
      </c>
      <c r="N145" s="116" t="s">
        <v>1103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1104</v>
      </c>
      <c r="Z145" s="95" t="s">
        <v>964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1093</v>
      </c>
      <c r="C146" s="95" t="str" cm="1">
        <f t="array" ref="C146">UPPER(INDEX(_xlfn.TEXTSPLIT($F146, "-"), 3))</f>
        <v>SEC</v>
      </c>
      <c r="D146" s="95" t="s">
        <v>1094</v>
      </c>
      <c r="E146" s="95" t="s">
        <v>24</v>
      </c>
      <c r="F146" s="95" t="s">
        <v>1101</v>
      </c>
      <c r="G146" s="95" t="s">
        <v>1095</v>
      </c>
      <c r="H146" s="95" t="s">
        <v>1098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1099</v>
      </c>
      <c r="N146" s="121" t="s">
        <v>1100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1104</v>
      </c>
      <c r="Z146" s="95" t="s">
        <v>1106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1093</v>
      </c>
      <c r="C147" s="95" t="str" cm="1">
        <f t="array" ref="C147">UPPER(INDEX(_xlfn.TEXTSPLIT($F147, "-"), 3))</f>
        <v>SEC</v>
      </c>
      <c r="D147" s="95" t="s">
        <v>1094</v>
      </c>
      <c r="E147" s="95" t="s">
        <v>24</v>
      </c>
      <c r="F147" s="95" t="s">
        <v>1102</v>
      </c>
      <c r="G147" s="95" t="s">
        <v>1096</v>
      </c>
      <c r="H147" s="95" t="s">
        <v>1098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1099</v>
      </c>
      <c r="N147" s="121" t="s">
        <v>1100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1104</v>
      </c>
      <c r="Z147" s="95" t="s">
        <v>1106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1122</v>
      </c>
      <c r="E148" s="74" t="s">
        <v>24</v>
      </c>
      <c r="F148" s="82" t="s">
        <v>1123</v>
      </c>
      <c r="G148" s="74" t="s">
        <v>1142</v>
      </c>
      <c r="H148" s="74" t="s">
        <v>1118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991</v>
      </c>
      <c r="N148" s="121" t="s">
        <v>1134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1135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1122</v>
      </c>
      <c r="E149" s="74" t="s">
        <v>24</v>
      </c>
      <c r="F149" s="74" t="s">
        <v>1124</v>
      </c>
      <c r="G149" s="74" t="s">
        <v>1143</v>
      </c>
      <c r="H149" s="74" t="s">
        <v>1118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991</v>
      </c>
      <c r="N149" s="121" t="s">
        <v>1134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1135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1122</v>
      </c>
      <c r="E150" s="74" t="s">
        <v>24</v>
      </c>
      <c r="F150" s="82" t="s">
        <v>1125</v>
      </c>
      <c r="G150" s="74" t="s">
        <v>1140</v>
      </c>
      <c r="H150" s="74" t="s">
        <v>1119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991</v>
      </c>
      <c r="N150" s="121" t="s">
        <v>1134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1136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1122</v>
      </c>
      <c r="E151" s="74" t="s">
        <v>24</v>
      </c>
      <c r="F151" s="74" t="s">
        <v>1126</v>
      </c>
      <c r="G151" s="74" t="s">
        <v>1141</v>
      </c>
      <c r="H151" s="74" t="s">
        <v>1119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991</v>
      </c>
      <c r="N151" s="121" t="s">
        <v>1134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1136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1122</v>
      </c>
      <c r="E152" s="74" t="s">
        <v>24</v>
      </c>
      <c r="F152" s="82" t="s">
        <v>1127</v>
      </c>
      <c r="G152" s="74" t="s">
        <v>1144</v>
      </c>
      <c r="H152" s="74" t="s">
        <v>1119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991</v>
      </c>
      <c r="N152" s="121" t="s">
        <v>1134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1136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1122</v>
      </c>
      <c r="E153" s="74" t="s">
        <v>24</v>
      </c>
      <c r="F153" s="74" t="s">
        <v>1128</v>
      </c>
      <c r="G153" s="74" t="s">
        <v>1145</v>
      </c>
      <c r="H153" s="74" t="s">
        <v>1119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991</v>
      </c>
      <c r="N153" s="121" t="s">
        <v>1134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1136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1122</v>
      </c>
      <c r="E154" s="74" t="s">
        <v>24</v>
      </c>
      <c r="F154" s="82" t="s">
        <v>1129</v>
      </c>
      <c r="G154" s="74" t="s">
        <v>1146</v>
      </c>
      <c r="H154" s="74" t="s">
        <v>1120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991</v>
      </c>
      <c r="N154" s="121" t="s">
        <v>1134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1136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1122</v>
      </c>
      <c r="E155" s="74" t="s">
        <v>24</v>
      </c>
      <c r="F155" s="74" t="s">
        <v>1130</v>
      </c>
      <c r="G155" s="74" t="s">
        <v>1147</v>
      </c>
      <c r="H155" s="74" t="s">
        <v>1120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991</v>
      </c>
      <c r="N155" s="121" t="s">
        <v>1134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1136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1122</v>
      </c>
      <c r="E156" s="74" t="s">
        <v>24</v>
      </c>
      <c r="F156" s="82" t="s">
        <v>1131</v>
      </c>
      <c r="G156" s="74" t="s">
        <v>1148</v>
      </c>
      <c r="H156" s="74" t="s">
        <v>1119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991</v>
      </c>
      <c r="N156" s="121" t="s">
        <v>1134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1136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1122</v>
      </c>
      <c r="E157" s="74" t="s">
        <v>24</v>
      </c>
      <c r="F157" s="95" t="s">
        <v>1132</v>
      </c>
      <c r="G157" s="95" t="s">
        <v>1149</v>
      </c>
      <c r="H157" s="95" t="s">
        <v>1119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991</v>
      </c>
      <c r="N157" s="121" t="s">
        <v>1134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1136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924</v>
      </c>
      <c r="E158" s="74" t="s">
        <v>24</v>
      </c>
      <c r="F158" s="74" t="s">
        <v>1133</v>
      </c>
      <c r="G158" s="74" t="s">
        <v>1138</v>
      </c>
      <c r="H158" s="74" t="s">
        <v>1021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991</v>
      </c>
      <c r="N158" s="121" t="s">
        <v>1134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964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924</v>
      </c>
      <c r="E159" s="74" t="s">
        <v>24</v>
      </c>
      <c r="F159" s="74" t="s">
        <v>1157</v>
      </c>
      <c r="G159" s="74" t="s">
        <v>1139</v>
      </c>
      <c r="H159" s="74" t="s">
        <v>997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991</v>
      </c>
      <c r="N159" s="121" t="s">
        <v>1134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1137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str" cm="1">
        <f t="array" ref="C160">UPPER(INDEX(_xlfn.TEXTSPLIT($F160, "-"), 3))</f>
        <v>GA</v>
      </c>
      <c r="D160" s="74" t="s">
        <v>1164</v>
      </c>
      <c r="E160" s="74" t="s">
        <v>24</v>
      </c>
      <c r="F160" s="74" t="s">
        <v>1166</v>
      </c>
      <c r="G160" s="74" t="s">
        <v>1171</v>
      </c>
      <c r="H160" s="74" t="s">
        <v>1118</v>
      </c>
      <c r="I160" s="74">
        <v>4</v>
      </c>
      <c r="J160" s="74">
        <v>8</v>
      </c>
      <c r="K160" s="95" t="s">
        <v>180</v>
      </c>
      <c r="L160" s="111" t="s">
        <v>224</v>
      </c>
      <c r="M160" s="95" t="s">
        <v>991</v>
      </c>
      <c r="N160" s="121" t="s">
        <v>1177</v>
      </c>
      <c r="O160" s="117" t="str">
        <f>SUBSTITUTE(F160,"hazr-","")&amp;"-osdisk"</f>
        <v>p-ga-oweb01-osdisk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p-ga-oweb01-nic</v>
      </c>
      <c r="V160" s="95" t="b">
        <v>1</v>
      </c>
      <c r="W160" s="95" t="b">
        <v>1</v>
      </c>
      <c r="X160" s="95" t="s">
        <v>317</v>
      </c>
      <c r="Y160" s="95" t="s">
        <v>345</v>
      </c>
      <c r="Z160" s="95" t="s">
        <v>1179</v>
      </c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str" cm="1">
        <f t="array" ref="C161">UPPER(INDEX(_xlfn.TEXTSPLIT($F161, "-"), 3))</f>
        <v>GA</v>
      </c>
      <c r="D161" s="95" t="s">
        <v>1164</v>
      </c>
      <c r="E161" s="95" t="s">
        <v>24</v>
      </c>
      <c r="F161" s="95" t="s">
        <v>1169</v>
      </c>
      <c r="G161" s="95" t="s">
        <v>1172</v>
      </c>
      <c r="H161" s="95" t="s">
        <v>1118</v>
      </c>
      <c r="I161" s="95">
        <v>4</v>
      </c>
      <c r="J161" s="95">
        <v>8</v>
      </c>
      <c r="K161" s="95" t="s">
        <v>180</v>
      </c>
      <c r="L161" s="111" t="s">
        <v>224</v>
      </c>
      <c r="M161" s="95" t="s">
        <v>991</v>
      </c>
      <c r="N161" s="121" t="s">
        <v>1177</v>
      </c>
      <c r="O161" s="120" t="str">
        <f>SUBSTITUTE(F161,"hazr-","")&amp;"-osdisk"</f>
        <v>p-ga-oweb02-osdisk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p-ga-oweb02-nic</v>
      </c>
      <c r="V161" s="95" t="b">
        <v>1</v>
      </c>
      <c r="W161" s="95" t="b">
        <v>1</v>
      </c>
      <c r="X161" s="95" t="s">
        <v>317</v>
      </c>
      <c r="Y161" s="95" t="s">
        <v>345</v>
      </c>
      <c r="Z161" s="95" t="s">
        <v>1179</v>
      </c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  <row r="162" spans="1:32" x14ac:dyDescent="0.3">
      <c r="A162" s="90"/>
      <c r="B162" s="95" t="s">
        <v>23</v>
      </c>
      <c r="C162" s="95" t="str" cm="1">
        <f t="array" ref="C162">UPPER(INDEX(_xlfn.TEXTSPLIT($F162, "-"), 3))</f>
        <v>GA</v>
      </c>
      <c r="D162" s="95" t="s">
        <v>1164</v>
      </c>
      <c r="E162" s="74" t="s">
        <v>24</v>
      </c>
      <c r="F162" s="95" t="s">
        <v>1167</v>
      </c>
      <c r="G162" s="95" t="s">
        <v>1173</v>
      </c>
      <c r="H162" s="95" t="s">
        <v>997</v>
      </c>
      <c r="I162" s="95">
        <v>4</v>
      </c>
      <c r="J162" s="95">
        <v>16</v>
      </c>
      <c r="K162" s="95" t="s">
        <v>180</v>
      </c>
      <c r="L162" s="111" t="s">
        <v>224</v>
      </c>
      <c r="M162" s="95" t="s">
        <v>991</v>
      </c>
      <c r="N162" s="121" t="s">
        <v>1177</v>
      </c>
      <c r="O162" s="120" t="str">
        <f>SUBSTITUTE(F162,"hazr-","")&amp;"-osdisk"</f>
        <v>p-ga-oap01-osdisk</v>
      </c>
      <c r="P162" s="112">
        <v>64</v>
      </c>
      <c r="Q162" s="113" t="s">
        <v>179</v>
      </c>
      <c r="R162" s="95"/>
      <c r="S162" s="95"/>
      <c r="T162" s="95"/>
      <c r="U162" s="95" t="str">
        <f>SUBSTITUTE(F162,"hazr-","")&amp;"-nic"</f>
        <v>p-ga-oap01-nic</v>
      </c>
      <c r="V162" s="95" t="b">
        <v>1</v>
      </c>
      <c r="W162" s="95" t="b">
        <v>1</v>
      </c>
      <c r="X162" s="95" t="s">
        <v>317</v>
      </c>
      <c r="Y162" s="95" t="s">
        <v>338</v>
      </c>
      <c r="Z162" s="95" t="s">
        <v>1180</v>
      </c>
      <c r="AA162" s="74" t="b">
        <v>1</v>
      </c>
      <c r="AB162" s="95" t="s">
        <v>317</v>
      </c>
      <c r="AC162" s="95" t="s">
        <v>318</v>
      </c>
      <c r="AD162" s="112">
        <v>1</v>
      </c>
      <c r="AE162" s="95"/>
      <c r="AF162" s="95"/>
    </row>
    <row r="163" spans="1:32" x14ac:dyDescent="0.3">
      <c r="A163" s="90"/>
      <c r="B163" s="95" t="s">
        <v>23</v>
      </c>
      <c r="C163" s="95" t="str" cm="1">
        <f t="array" ref="C163">UPPER(INDEX(_xlfn.TEXTSPLIT($F163, "-"), 3))</f>
        <v>GA</v>
      </c>
      <c r="D163" s="95" t="s">
        <v>1164</v>
      </c>
      <c r="E163" s="95" t="s">
        <v>24</v>
      </c>
      <c r="F163" s="95" t="s">
        <v>1170</v>
      </c>
      <c r="G163" s="95" t="s">
        <v>1174</v>
      </c>
      <c r="H163" s="95" t="s">
        <v>997</v>
      </c>
      <c r="I163" s="95">
        <v>4</v>
      </c>
      <c r="J163" s="95">
        <v>16</v>
      </c>
      <c r="K163" s="95" t="s">
        <v>180</v>
      </c>
      <c r="L163" s="111" t="s">
        <v>224</v>
      </c>
      <c r="M163" s="95" t="s">
        <v>991</v>
      </c>
      <c r="N163" s="121" t="s">
        <v>1134</v>
      </c>
      <c r="O163" s="120" t="str">
        <f>SUBSTITUTE(F163,"hazr-","")&amp;"-osdisk"</f>
        <v>p-ga-oap02-osdisk</v>
      </c>
      <c r="P163" s="112">
        <v>64</v>
      </c>
      <c r="Q163" s="113" t="s">
        <v>179</v>
      </c>
      <c r="R163" s="95"/>
      <c r="S163" s="95"/>
      <c r="T163" s="95"/>
      <c r="U163" s="95" t="str">
        <f>SUBSTITUTE(F163,"hazr-","")&amp;"-nic"</f>
        <v>p-ga-oap02-nic</v>
      </c>
      <c r="V163" s="95" t="b">
        <v>1</v>
      </c>
      <c r="W163" s="95" t="b">
        <v>1</v>
      </c>
      <c r="X163" s="95" t="s">
        <v>317</v>
      </c>
      <c r="Y163" s="95" t="s">
        <v>338</v>
      </c>
      <c r="Z163" s="95" t="s">
        <v>1180</v>
      </c>
      <c r="AA163" s="95" t="b">
        <v>1</v>
      </c>
      <c r="AB163" s="95" t="s">
        <v>317</v>
      </c>
      <c r="AC163" s="95" t="s">
        <v>318</v>
      </c>
      <c r="AD163" s="112">
        <v>2</v>
      </c>
      <c r="AE163" s="95"/>
      <c r="AF163" s="95"/>
    </row>
    <row r="164" spans="1:32" x14ac:dyDescent="0.3">
      <c r="A164" s="90"/>
      <c r="B164" s="95" t="s">
        <v>23</v>
      </c>
      <c r="C164" s="95" t="str" cm="1">
        <f t="array" ref="C164">UPPER(INDEX(_xlfn.TEXTSPLIT($F164, "-"), 3))</f>
        <v>BSU</v>
      </c>
      <c r="D164" s="95" t="s">
        <v>1165</v>
      </c>
      <c r="E164" s="74" t="s">
        <v>24</v>
      </c>
      <c r="F164" s="95" t="s">
        <v>1168</v>
      </c>
      <c r="G164" s="95" t="s">
        <v>1175</v>
      </c>
      <c r="H164" s="95" t="s">
        <v>1021</v>
      </c>
      <c r="I164" s="95">
        <v>8</v>
      </c>
      <c r="J164" s="95">
        <v>32</v>
      </c>
      <c r="K164" s="95" t="s">
        <v>180</v>
      </c>
      <c r="L164" s="111" t="s">
        <v>224</v>
      </c>
      <c r="M164" s="95" t="s">
        <v>1176</v>
      </c>
      <c r="N164" s="121" t="s">
        <v>1178</v>
      </c>
      <c r="O164" s="120" t="str">
        <f>SUBSTITUTE(F164,"hazr-","")&amp;"-osdisk"</f>
        <v>p-bsu-accweb01-osdisk</v>
      </c>
      <c r="P164" s="112">
        <v>128</v>
      </c>
      <c r="Q164" s="113" t="s">
        <v>179</v>
      </c>
      <c r="R164" s="95"/>
      <c r="S164" s="95"/>
      <c r="T164" s="95"/>
      <c r="U164" s="95" t="str">
        <f>SUBSTITUTE(F164,"hazr-","")&amp;"-nic"</f>
        <v>p-bsu-accweb01-nic</v>
      </c>
      <c r="V164" s="95" t="b">
        <v>1</v>
      </c>
      <c r="W164" s="95" t="b">
        <v>1</v>
      </c>
      <c r="X164" s="95" t="s">
        <v>317</v>
      </c>
      <c r="Y164" s="95" t="s">
        <v>338</v>
      </c>
      <c r="Z164" s="95" t="s">
        <v>1181</v>
      </c>
      <c r="AA164" s="74" t="b">
        <v>1</v>
      </c>
      <c r="AB164" s="95" t="s">
        <v>317</v>
      </c>
      <c r="AC164" s="95" t="s">
        <v>318</v>
      </c>
      <c r="AD164" s="112">
        <v>1</v>
      </c>
      <c r="AE164" s="95"/>
      <c r="AF164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3"/>
  <sheetViews>
    <sheetView workbookViewId="0">
      <pane xSplit="6" ySplit="1" topLeftCell="K116" activePane="bottomRight" state="frozen"/>
      <selection activeCell="B148" sqref="B148"/>
      <selection pane="topRight" activeCell="B148" sqref="B148"/>
      <selection pane="bottomLeft" activeCell="B148" sqref="B148"/>
      <selection pane="bottomRight" activeCell="A169" sqref="A169:A172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1026</v>
      </c>
      <c r="E142" s="86" t="s">
        <v>24</v>
      </c>
      <c r="F142" s="74" t="s">
        <v>1017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1026</v>
      </c>
      <c r="E143" s="85" t="s">
        <v>24</v>
      </c>
      <c r="F143" s="73" t="s">
        <v>1022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924</v>
      </c>
      <c r="E144" s="86" t="s">
        <v>24</v>
      </c>
      <c r="F144" s="74" t="s">
        <v>1029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1033</v>
      </c>
      <c r="E145" s="78" t="s">
        <v>24</v>
      </c>
      <c r="F145" s="78" t="s">
        <v>1034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1033</v>
      </c>
      <c r="E146" s="80" t="s">
        <v>24</v>
      </c>
      <c r="F146" s="80" t="s">
        <v>1035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1033</v>
      </c>
      <c r="E147" s="78" t="s">
        <v>24</v>
      </c>
      <c r="F147" s="78" t="s">
        <v>1036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1033</v>
      </c>
      <c r="E148" s="80" t="s">
        <v>24</v>
      </c>
      <c r="F148" s="80" t="s">
        <v>1037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923</v>
      </c>
      <c r="E149" s="78" t="s">
        <v>24</v>
      </c>
      <c r="F149" s="114" t="s">
        <v>1068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923</v>
      </c>
      <c r="E150" s="80" t="s">
        <v>24</v>
      </c>
      <c r="F150" s="115" t="s">
        <v>1069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923</v>
      </c>
      <c r="E151" s="78" t="s">
        <v>24</v>
      </c>
      <c r="F151" s="73" t="s">
        <v>1070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923</v>
      </c>
      <c r="E152" s="80" t="s">
        <v>24</v>
      </c>
      <c r="F152" s="74" t="s">
        <v>1071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923</v>
      </c>
      <c r="E153" s="78" t="s">
        <v>24</v>
      </c>
      <c r="F153" s="73" t="s">
        <v>1072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924</v>
      </c>
      <c r="E154" s="80" t="s">
        <v>24</v>
      </c>
      <c r="F154" s="115" t="s">
        <v>1091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1107</v>
      </c>
      <c r="E155" s="78" t="s">
        <v>24</v>
      </c>
      <c r="F155" s="114" t="s">
        <v>1101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1107</v>
      </c>
      <c r="E156" s="80" t="s">
        <v>24</v>
      </c>
      <c r="F156" s="115" t="s">
        <v>1102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1122</v>
      </c>
      <c r="E157" s="78" t="s">
        <v>24</v>
      </c>
      <c r="F157" s="82" t="s">
        <v>1123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1122</v>
      </c>
      <c r="E158" s="80" t="s">
        <v>24</v>
      </c>
      <c r="F158" s="74" t="s">
        <v>1124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1122</v>
      </c>
      <c r="E159" s="78" t="s">
        <v>24</v>
      </c>
      <c r="F159" s="82" t="s">
        <v>1125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1122</v>
      </c>
      <c r="E160" s="80" t="s">
        <v>24</v>
      </c>
      <c r="F160" s="74" t="s">
        <v>1126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1122</v>
      </c>
      <c r="E161" s="78" t="s">
        <v>24</v>
      </c>
      <c r="F161" s="82" t="s">
        <v>1127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1122</v>
      </c>
      <c r="E162" s="80" t="s">
        <v>24</v>
      </c>
      <c r="F162" s="74" t="s">
        <v>1128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1122</v>
      </c>
      <c r="E163" s="78" t="s">
        <v>24</v>
      </c>
      <c r="F163" s="82" t="s">
        <v>1129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1122</v>
      </c>
      <c r="E164" s="80" t="s">
        <v>24</v>
      </c>
      <c r="F164" s="74" t="s">
        <v>1130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1122</v>
      </c>
      <c r="E165" s="78" t="s">
        <v>24</v>
      </c>
      <c r="F165" s="82" t="s">
        <v>1131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1122</v>
      </c>
      <c r="E166" s="80" t="s">
        <v>24</v>
      </c>
      <c r="F166" s="115" t="s">
        <v>1132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924</v>
      </c>
      <c r="E167" s="78" t="s">
        <v>24</v>
      </c>
      <c r="F167" s="73" t="s">
        <v>1133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924</v>
      </c>
      <c r="E168" s="80" t="s">
        <v>24</v>
      </c>
      <c r="F168" s="74" t="s">
        <v>1157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1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str" cm="1">
        <f t="array" ref="C169">UPPER(INDEX(_xlfn.TEXTSPLIT($D169, "-"), 3))</f>
        <v>GA</v>
      </c>
      <c r="D169" s="78" t="s">
        <v>1164</v>
      </c>
      <c r="E169" s="78" t="s">
        <v>24</v>
      </c>
      <c r="F169" s="73" t="s">
        <v>1166</v>
      </c>
      <c r="G169" s="73" t="str">
        <f t="shared" si="7"/>
        <v>p-ga-oweb01-disk01</v>
      </c>
      <c r="H169" s="73" t="s">
        <v>179</v>
      </c>
      <c r="I169" s="73">
        <v>128</v>
      </c>
      <c r="J169" s="73" t="str">
        <f t="shared" si="8"/>
        <v>p-ga-oweb01-disk02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str" cm="1">
        <f t="array" ref="C170">UPPER(INDEX(_xlfn.TEXTSPLIT($D170, "-"), 3))</f>
        <v>GA</v>
      </c>
      <c r="D170" s="80" t="s">
        <v>1164</v>
      </c>
      <c r="E170" s="80" t="s">
        <v>24</v>
      </c>
      <c r="F170" s="115" t="s">
        <v>1169</v>
      </c>
      <c r="G170" s="74" t="str">
        <f t="shared" si="7"/>
        <v>p-ga-oweb02-disk01</v>
      </c>
      <c r="H170" s="74" t="s">
        <v>179</v>
      </c>
      <c r="I170" s="74">
        <v>128</v>
      </c>
      <c r="J170" s="74" t="str">
        <f t="shared" si="8"/>
        <v>p-ga-oweb02-disk02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  <row r="171" spans="1:18" x14ac:dyDescent="0.3">
      <c r="A171" s="99"/>
      <c r="B171" s="78" t="s">
        <v>23</v>
      </c>
      <c r="C171" s="82" t="str" cm="1">
        <f t="array" ref="C171">UPPER(INDEX(_xlfn.TEXTSPLIT($D171, "-"), 3))</f>
        <v>GA</v>
      </c>
      <c r="D171" s="78" t="s">
        <v>1164</v>
      </c>
      <c r="E171" s="78" t="s">
        <v>24</v>
      </c>
      <c r="F171" s="114" t="s">
        <v>1167</v>
      </c>
      <c r="G171" s="73" t="str">
        <f t="shared" ref="G171:G173" si="9">SUBSTITUTE(F171,"hazr-","")&amp;"-disk01"</f>
        <v>p-ga-oap01-disk01</v>
      </c>
      <c r="H171" s="73" t="s">
        <v>179</v>
      </c>
      <c r="I171" s="73">
        <v>128</v>
      </c>
      <c r="J171" s="73" t="str">
        <f t="shared" ref="J171:J173" si="10">SUBSTITUTE(F171,"hazr-","")&amp;"-disk02"</f>
        <v>p-ga-oap01-disk02</v>
      </c>
      <c r="K171" s="73" t="s">
        <v>179</v>
      </c>
      <c r="L171" s="73">
        <v>128</v>
      </c>
      <c r="M171" s="78">
        <v>1</v>
      </c>
      <c r="N171" s="78" t="s">
        <v>191</v>
      </c>
      <c r="O171" s="78" t="s">
        <v>317</v>
      </c>
      <c r="P171" s="78" t="s">
        <v>318</v>
      </c>
      <c r="Q171" s="78" t="b">
        <v>1</v>
      </c>
      <c r="R171" s="78"/>
    </row>
    <row r="172" spans="1:18" x14ac:dyDescent="0.3">
      <c r="A172" s="99"/>
      <c r="B172" s="80" t="s">
        <v>23</v>
      </c>
      <c r="C172" s="115" t="str" cm="1">
        <f t="array" ref="C172">UPPER(INDEX(_xlfn.TEXTSPLIT($D172, "-"), 3))</f>
        <v>GA</v>
      </c>
      <c r="D172" s="80" t="s">
        <v>1164</v>
      </c>
      <c r="E172" s="80" t="s">
        <v>24</v>
      </c>
      <c r="F172" s="115" t="s">
        <v>1170</v>
      </c>
      <c r="G172" s="74" t="str">
        <f t="shared" si="9"/>
        <v>p-ga-oap02-disk01</v>
      </c>
      <c r="H172" s="74" t="s">
        <v>179</v>
      </c>
      <c r="I172" s="74">
        <v>128</v>
      </c>
      <c r="J172" s="74" t="str">
        <f t="shared" si="10"/>
        <v>p-ga-oap02-disk02</v>
      </c>
      <c r="K172" s="74" t="s">
        <v>179</v>
      </c>
      <c r="L172" s="74">
        <v>128</v>
      </c>
      <c r="M172" s="80">
        <v>2</v>
      </c>
      <c r="N172" s="80" t="s">
        <v>191</v>
      </c>
      <c r="O172" s="80" t="s">
        <v>317</v>
      </c>
      <c r="P172" s="80" t="s">
        <v>318</v>
      </c>
      <c r="Q172" s="80" t="b">
        <v>1</v>
      </c>
      <c r="R172" s="80"/>
    </row>
    <row r="173" spans="1:18" x14ac:dyDescent="0.3">
      <c r="A173" s="99"/>
      <c r="B173" s="78" t="s">
        <v>23</v>
      </c>
      <c r="C173" s="82" t="str" cm="1">
        <f t="array" ref="C173">UPPER(INDEX(_xlfn.TEXTSPLIT($D173, "-"), 3))</f>
        <v>BSU</v>
      </c>
      <c r="D173" s="78" t="s">
        <v>1165</v>
      </c>
      <c r="E173" s="78" t="s">
        <v>24</v>
      </c>
      <c r="F173" s="114" t="s">
        <v>1168</v>
      </c>
      <c r="G173" s="73" t="str">
        <f t="shared" si="9"/>
        <v>p-bsu-accweb01-disk01</v>
      </c>
      <c r="H173" s="73" t="s">
        <v>179</v>
      </c>
      <c r="I173" s="73">
        <v>128</v>
      </c>
      <c r="J173" s="73" t="str">
        <f t="shared" si="10"/>
        <v>p-bsu-accweb01-disk02</v>
      </c>
      <c r="K173" s="73" t="s">
        <v>179</v>
      </c>
      <c r="L173" s="73">
        <v>128</v>
      </c>
      <c r="M173" s="78">
        <v>1</v>
      </c>
      <c r="N173" s="78" t="s">
        <v>191</v>
      </c>
      <c r="O173" s="78" t="s">
        <v>317</v>
      </c>
      <c r="P173" s="78" t="s">
        <v>318</v>
      </c>
      <c r="Q173" s="78" t="b">
        <v>1</v>
      </c>
      <c r="R173" s="78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86"/>
  <sheetViews>
    <sheetView topLeftCell="A128" workbookViewId="0">
      <selection activeCell="E154" sqref="E15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961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961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961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961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961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961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961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961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961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961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961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961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961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961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961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961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961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961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961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961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961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962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962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962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962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962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962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962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962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962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961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961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961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961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961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987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987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987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987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962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962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961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961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961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961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961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961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961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961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961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961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961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961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961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961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961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961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961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961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961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961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961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961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961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961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961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961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962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962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961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961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963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963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963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963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963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963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964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964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964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964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964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964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964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964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965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965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966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966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965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965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967</v>
      </c>
      <c r="I122" s="73" t="s">
        <v>462</v>
      </c>
      <c r="J122" s="78" t="s">
        <v>315</v>
      </c>
      <c r="K122" s="73" t="str">
        <f t="shared" ref="K122:K161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50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967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963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963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963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963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963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BSU</v>
      </c>
      <c r="D131" s="74" t="s">
        <v>317</v>
      </c>
      <c r="E131" s="80" t="str">
        <f t="shared" si="5"/>
        <v>p-bsu-db-nsg</v>
      </c>
      <c r="F131" s="74" t="s">
        <v>317</v>
      </c>
      <c r="G131" s="80" t="s">
        <v>233</v>
      </c>
      <c r="H131" s="74" t="s">
        <v>1186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BSU</v>
      </c>
      <c r="D132" s="73" t="s">
        <v>317</v>
      </c>
      <c r="E132" s="78" t="str">
        <f t="shared" si="5"/>
        <v>p-bsu-pe-nsg</v>
      </c>
      <c r="F132" s="73" t="s">
        <v>317</v>
      </c>
      <c r="G132" s="78" t="s">
        <v>233</v>
      </c>
      <c r="H132" s="73" t="s">
        <v>1187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1150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1151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TM</v>
      </c>
      <c r="D147" s="74" t="s">
        <v>317</v>
      </c>
      <c r="E147" s="80" t="str">
        <f t="shared" si="5"/>
        <v>p-tm-db-nsg</v>
      </c>
      <c r="F147" s="74" t="s">
        <v>317</v>
      </c>
      <c r="G147" s="80" t="s">
        <v>338</v>
      </c>
      <c r="H147" s="74" t="s">
        <v>1182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TM</v>
      </c>
      <c r="D148" s="73" t="s">
        <v>317</v>
      </c>
      <c r="E148" s="78" t="str">
        <f t="shared" si="5"/>
        <v>p-tm-pe-nsg</v>
      </c>
      <c r="F148" s="73" t="s">
        <v>317</v>
      </c>
      <c r="G148" s="78" t="s">
        <v>233</v>
      </c>
      <c r="H148" s="73" t="s">
        <v>1183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GA</v>
      </c>
      <c r="D149" s="74" t="s">
        <v>317</v>
      </c>
      <c r="E149" s="80" t="str">
        <f t="shared" si="5"/>
        <v>p-ga-db-nsg</v>
      </c>
      <c r="F149" s="74" t="s">
        <v>317</v>
      </c>
      <c r="G149" s="80" t="s">
        <v>338</v>
      </c>
      <c r="H149" s="74" t="s">
        <v>1184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GA</v>
      </c>
      <c r="D150" s="73" t="s">
        <v>317</v>
      </c>
      <c r="E150" s="78" t="str">
        <f t="shared" si="5"/>
        <v>p-ga-pe-nsg</v>
      </c>
      <c r="F150" s="73" t="s">
        <v>317</v>
      </c>
      <c r="G150" s="78" t="s">
        <v>233</v>
      </c>
      <c r="H150" s="73" t="s">
        <v>1185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DTG</v>
      </c>
      <c r="D151" s="74" t="s">
        <v>317</v>
      </c>
      <c r="E151" s="80" t="str">
        <f>IF(OR(L151="X", L151=""), SUBSTITUTE(H151,"-sbn","")&amp;"-nsg", IF(L151="O", SUBSTITUTE(I151,"hazr-","")&amp;"-nsg", ""))</f>
        <v>p-dtg-bbigeoap01-nsg</v>
      </c>
      <c r="F151" s="74" t="s">
        <v>317</v>
      </c>
      <c r="G151" s="80" t="s">
        <v>338</v>
      </c>
      <c r="H151" s="74" t="s">
        <v>961</v>
      </c>
      <c r="I151" s="74" t="s">
        <v>1017</v>
      </c>
      <c r="J151" s="74" t="s">
        <v>922</v>
      </c>
      <c r="K151" s="74" t="str">
        <f t="shared" si="4"/>
        <v>p-dtg-bbigeoap01-nic</v>
      </c>
      <c r="L151" s="74" t="s">
        <v>226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DTG</v>
      </c>
      <c r="D152" s="73" t="s">
        <v>317</v>
      </c>
      <c r="E152" s="78" t="str">
        <f t="shared" ref="E152:E161" si="6">IF(OR(L152="X", L152=""), SUBSTITUTE(H152,"-sbn","")&amp;"-nsg", IF(L152="O", SUBSTITUTE(I152,"hazr-","")&amp;"-nsg", ""))</f>
        <v>p-dtg-bbigeoap02-nsg</v>
      </c>
      <c r="F152" s="73" t="s">
        <v>317</v>
      </c>
      <c r="G152" s="78" t="s">
        <v>338</v>
      </c>
      <c r="H152" s="73" t="s">
        <v>961</v>
      </c>
      <c r="I152" s="73" t="s">
        <v>1018</v>
      </c>
      <c r="J152" s="73" t="s">
        <v>922</v>
      </c>
      <c r="K152" s="73" t="str">
        <f t="shared" si="4"/>
        <v>p-dtg-bbigeoap02-nic</v>
      </c>
      <c r="L152" s="73" t="s">
        <v>226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IF</v>
      </c>
      <c r="D153" s="74" t="s">
        <v>317</v>
      </c>
      <c r="E153" s="80" t="str">
        <f t="shared" si="6"/>
        <v>p-if-hipsap01-nsg</v>
      </c>
      <c r="F153" s="74" t="s">
        <v>317</v>
      </c>
      <c r="G153" s="80" t="s">
        <v>338</v>
      </c>
      <c r="H153" s="74" t="s">
        <v>964</v>
      </c>
      <c r="I153" s="74" t="s">
        <v>1029</v>
      </c>
      <c r="J153" s="74" t="s">
        <v>924</v>
      </c>
      <c r="K153" s="74" t="str">
        <f t="shared" si="4"/>
        <v>p-if-hipsap01-nic</v>
      </c>
      <c r="L153" s="74" t="s">
        <v>226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3" t="s">
        <v>317</v>
      </c>
      <c r="E154" s="78" t="str">
        <f t="shared" si="6"/>
        <v>p-com-esnweb01-nsg</v>
      </c>
      <c r="F154" s="73" t="s">
        <v>317</v>
      </c>
      <c r="G154" s="78" t="s">
        <v>345</v>
      </c>
      <c r="H154" s="73" t="s">
        <v>1043</v>
      </c>
      <c r="I154" s="73" t="s">
        <v>1034</v>
      </c>
      <c r="J154" s="73" t="s">
        <v>1033</v>
      </c>
      <c r="K154" s="73" t="str">
        <f t="shared" si="4"/>
        <v>p-com-esnweb01-nic</v>
      </c>
      <c r="L154" s="73" t="s">
        <v>226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COM</v>
      </c>
      <c r="D155" s="74" t="s">
        <v>317</v>
      </c>
      <c r="E155" s="80" t="str">
        <f t="shared" si="6"/>
        <v>p-com-esnweb02-nsg</v>
      </c>
      <c r="F155" s="74" t="s">
        <v>317</v>
      </c>
      <c r="G155" s="80" t="s">
        <v>345</v>
      </c>
      <c r="H155" s="74" t="s">
        <v>240</v>
      </c>
      <c r="I155" s="74" t="s">
        <v>1035</v>
      </c>
      <c r="J155" s="74" t="s">
        <v>1033</v>
      </c>
      <c r="K155" s="74" t="str">
        <f t="shared" si="4"/>
        <v>p-com-esnweb02-nic</v>
      </c>
      <c r="L155" s="74" t="s">
        <v>226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COM</v>
      </c>
      <c r="D156" s="73" t="s">
        <v>317</v>
      </c>
      <c r="E156" s="78" t="str">
        <f t="shared" si="6"/>
        <v>p-com-esnap01-nsg</v>
      </c>
      <c r="F156" s="73" t="s">
        <v>317</v>
      </c>
      <c r="G156" s="78" t="s">
        <v>338</v>
      </c>
      <c r="H156" s="73" t="s">
        <v>1052</v>
      </c>
      <c r="I156" s="73" t="s">
        <v>1036</v>
      </c>
      <c r="J156" s="73" t="s">
        <v>1033</v>
      </c>
      <c r="K156" s="73" t="str">
        <f t="shared" si="4"/>
        <v>p-com-esnap01-nic</v>
      </c>
      <c r="L156" s="73" t="s">
        <v>226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COM</v>
      </c>
      <c r="D157" s="74" t="s">
        <v>317</v>
      </c>
      <c r="E157" s="80" t="str">
        <f t="shared" si="6"/>
        <v>p-com-esnap02-nsg</v>
      </c>
      <c r="F157" s="74" t="s">
        <v>317</v>
      </c>
      <c r="G157" s="80" t="s">
        <v>338</v>
      </c>
      <c r="H157" s="74" t="s">
        <v>1052</v>
      </c>
      <c r="I157" s="74" t="s">
        <v>1037</v>
      </c>
      <c r="J157" s="74" t="s">
        <v>1033</v>
      </c>
      <c r="K157" s="74" t="str">
        <f t="shared" si="4"/>
        <v>p-com-esnap02-nic</v>
      </c>
      <c r="L157" s="74" t="s">
        <v>226</v>
      </c>
      <c r="M157" s="74"/>
    </row>
    <row r="158" spans="1:13" x14ac:dyDescent="0.3">
      <c r="A158" s="90"/>
      <c r="B158" s="78" t="s">
        <v>23</v>
      </c>
      <c r="C158" s="78" t="s">
        <v>1053</v>
      </c>
      <c r="D158" s="73" t="s">
        <v>317</v>
      </c>
      <c r="E158" s="78" t="str">
        <f t="shared" si="6"/>
        <v>az-p-int-host1-nsg</v>
      </c>
      <c r="F158" s="73" t="s">
        <v>317</v>
      </c>
      <c r="G158" s="78" t="s">
        <v>338</v>
      </c>
      <c r="H158" s="73" t="s">
        <v>1061</v>
      </c>
      <c r="I158" s="73" t="s">
        <v>1055</v>
      </c>
      <c r="J158" s="73" t="s">
        <v>1054</v>
      </c>
      <c r="K158" s="73" t="str">
        <f t="shared" si="4"/>
        <v>az-p-int-host1-nic</v>
      </c>
      <c r="L158" s="73" t="s">
        <v>226</v>
      </c>
      <c r="M158" s="73"/>
    </row>
    <row r="159" spans="1:13" x14ac:dyDescent="0.3">
      <c r="A159" s="90"/>
      <c r="B159" s="80" t="s">
        <v>23</v>
      </c>
      <c r="C159" s="80" t="s">
        <v>1053</v>
      </c>
      <c r="D159" s="74" t="s">
        <v>317</v>
      </c>
      <c r="E159" s="80" t="str">
        <f t="shared" si="6"/>
        <v>az-p-int-host2-nsg</v>
      </c>
      <c r="F159" s="74" t="s">
        <v>317</v>
      </c>
      <c r="G159" s="80" t="s">
        <v>338</v>
      </c>
      <c r="H159" s="74" t="s">
        <v>1061</v>
      </c>
      <c r="I159" s="74" t="s">
        <v>1056</v>
      </c>
      <c r="J159" s="74" t="s">
        <v>1054</v>
      </c>
      <c r="K159" s="74" t="str">
        <f t="shared" si="4"/>
        <v>az-p-int-host2-nic</v>
      </c>
      <c r="L159" s="74" t="s">
        <v>226</v>
      </c>
      <c r="M159" s="74"/>
    </row>
    <row r="160" spans="1:13" x14ac:dyDescent="0.3">
      <c r="A160" s="90"/>
      <c r="B160" s="78" t="s">
        <v>23</v>
      </c>
      <c r="C160" s="78" t="s">
        <v>1053</v>
      </c>
      <c r="D160" s="73" t="s">
        <v>317</v>
      </c>
      <c r="E160" s="78" t="str">
        <f t="shared" si="6"/>
        <v>az-p-int-host3-nsg</v>
      </c>
      <c r="F160" s="73" t="s">
        <v>317</v>
      </c>
      <c r="G160" s="78" t="s">
        <v>338</v>
      </c>
      <c r="H160" s="73" t="s">
        <v>1061</v>
      </c>
      <c r="I160" s="73" t="s">
        <v>1062</v>
      </c>
      <c r="J160" s="73" t="s">
        <v>1054</v>
      </c>
      <c r="K160" s="73" t="str">
        <f t="shared" si="4"/>
        <v>az-p-int-host3-nic</v>
      </c>
      <c r="L160" s="73" t="s">
        <v>226</v>
      </c>
      <c r="M160" s="73"/>
    </row>
    <row r="161" spans="1:13" x14ac:dyDescent="0.3">
      <c r="A161" s="90"/>
      <c r="B161" s="80" t="s">
        <v>23</v>
      </c>
      <c r="C161" s="80" t="s">
        <v>1053</v>
      </c>
      <c r="D161" s="74" t="s">
        <v>317</v>
      </c>
      <c r="E161" s="80" t="str">
        <f t="shared" si="6"/>
        <v>az-p-int-host4-nsg</v>
      </c>
      <c r="F161" s="74" t="s">
        <v>317</v>
      </c>
      <c r="G161" s="80" t="s">
        <v>338</v>
      </c>
      <c r="H161" s="74" t="s">
        <v>1061</v>
      </c>
      <c r="I161" s="74" t="s">
        <v>1063</v>
      </c>
      <c r="J161" s="74" t="s">
        <v>1054</v>
      </c>
      <c r="K161" s="74" t="str">
        <f t="shared" si="4"/>
        <v>az-p-int-host4-nic</v>
      </c>
      <c r="L161" s="74" t="s">
        <v>226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BDP</v>
      </c>
      <c r="D162" s="73" t="s">
        <v>317</v>
      </c>
      <c r="E162" s="78" t="str">
        <f t="shared" ref="E162:E186" si="7">IF(OR(L162="X", L162=""), SUBSTITUTE(H162,"-sbn","")&amp;"-nsg", IF(L162="O", SUBSTITUTE(I162,"hazr-","")&amp;"-nsg", ""))</f>
        <v>p-bdp-rlgcweb01-nsg</v>
      </c>
      <c r="F162" s="73" t="s">
        <v>317</v>
      </c>
      <c r="G162" s="78" t="s">
        <v>345</v>
      </c>
      <c r="H162" s="73" t="s">
        <v>1081</v>
      </c>
      <c r="I162" s="73" t="s">
        <v>1068</v>
      </c>
      <c r="J162" s="73" t="s">
        <v>1066</v>
      </c>
      <c r="K162" s="73" t="str">
        <f t="shared" ref="K162:K166" si="8">SUBSTITUTE(I162,"hazr-","")&amp;"-nic"</f>
        <v>p-bdp-rlgcweb01-nic</v>
      </c>
      <c r="L162" s="73" t="s">
        <v>226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BDP</v>
      </c>
      <c r="D163" s="74" t="s">
        <v>317</v>
      </c>
      <c r="E163" s="80" t="str">
        <f t="shared" si="7"/>
        <v>p-bdp-rlgcweb02-nsg</v>
      </c>
      <c r="F163" s="74" t="s">
        <v>317</v>
      </c>
      <c r="G163" s="80" t="s">
        <v>345</v>
      </c>
      <c r="H163" s="74" t="s">
        <v>1081</v>
      </c>
      <c r="I163" s="74" t="s">
        <v>1069</v>
      </c>
      <c r="J163" s="74" t="s">
        <v>1066</v>
      </c>
      <c r="K163" s="74" t="str">
        <f t="shared" si="8"/>
        <v>p-bdp-rlgcweb02-nic</v>
      </c>
      <c r="L163" s="74" t="s">
        <v>226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BDP</v>
      </c>
      <c r="D164" s="73" t="s">
        <v>317</v>
      </c>
      <c r="E164" s="78" t="str">
        <f t="shared" si="7"/>
        <v>p-bdp-rlgcap01-nsg</v>
      </c>
      <c r="F164" s="73" t="s">
        <v>317</v>
      </c>
      <c r="G164" s="78" t="s">
        <v>338</v>
      </c>
      <c r="H164" s="73" t="s">
        <v>1061</v>
      </c>
      <c r="I164" s="73" t="s">
        <v>1070</v>
      </c>
      <c r="J164" s="73" t="s">
        <v>1066</v>
      </c>
      <c r="K164" s="73" t="str">
        <f t="shared" si="8"/>
        <v>p-bdp-rlgcap01-nic</v>
      </c>
      <c r="L164" s="73" t="s">
        <v>226</v>
      </c>
      <c r="M164" s="73"/>
    </row>
    <row r="165" spans="1:13" x14ac:dyDescent="0.3">
      <c r="A165" s="90"/>
      <c r="B165" s="80" t="s">
        <v>23</v>
      </c>
      <c r="C165" s="80" t="str" cm="1">
        <f t="array" ref="C165">UPPER(INDEX(_xlfn.TEXTSPLIT($E165, "-"), 2))</f>
        <v>BDP</v>
      </c>
      <c r="D165" s="74" t="s">
        <v>317</v>
      </c>
      <c r="E165" s="80" t="str">
        <f t="shared" si="7"/>
        <v>p-bdp-rlgcap02-nsg</v>
      </c>
      <c r="F165" s="74" t="s">
        <v>317</v>
      </c>
      <c r="G165" s="80" t="s">
        <v>338</v>
      </c>
      <c r="H165" s="74" t="s">
        <v>1061</v>
      </c>
      <c r="I165" s="74" t="s">
        <v>1071</v>
      </c>
      <c r="J165" s="74" t="s">
        <v>1066</v>
      </c>
      <c r="K165" s="74" t="str">
        <f t="shared" si="8"/>
        <v>p-bdp-rlgcap02-nic</v>
      </c>
      <c r="L165" s="74" t="s">
        <v>226</v>
      </c>
      <c r="M165" s="74"/>
    </row>
    <row r="166" spans="1:13" x14ac:dyDescent="0.3">
      <c r="A166" s="90"/>
      <c r="B166" s="78" t="s">
        <v>23</v>
      </c>
      <c r="C166" s="78" t="str" cm="1">
        <f t="array" ref="C166">UPPER(INDEX(_xlfn.TEXTSPLIT($E166, "-"), 2))</f>
        <v>BDP</v>
      </c>
      <c r="D166" s="73" t="s">
        <v>317</v>
      </c>
      <c r="E166" s="78" t="str">
        <f t="shared" si="7"/>
        <v>p-bdp-rlgcap03-nsg</v>
      </c>
      <c r="F166" s="73" t="s">
        <v>317</v>
      </c>
      <c r="G166" s="78" t="s">
        <v>338</v>
      </c>
      <c r="H166" s="73" t="s">
        <v>1061</v>
      </c>
      <c r="I166" s="73" t="s">
        <v>1072</v>
      </c>
      <c r="J166" s="73" t="s">
        <v>1066</v>
      </c>
      <c r="K166" s="73" t="str">
        <f t="shared" si="8"/>
        <v>p-bdp-rlgcap03-nic</v>
      </c>
      <c r="L166" s="73" t="s">
        <v>226</v>
      </c>
      <c r="M166" s="73"/>
    </row>
    <row r="167" spans="1:13" x14ac:dyDescent="0.3">
      <c r="A167" s="90"/>
      <c r="B167" s="80" t="s">
        <v>23</v>
      </c>
      <c r="C167" s="80" t="str" cm="1">
        <f t="array" ref="C167">UPPER(INDEX(_xlfn.TEXTSPLIT($E167, "-"), 2))</f>
        <v>IF</v>
      </c>
      <c r="D167" s="74" t="s">
        <v>317</v>
      </c>
      <c r="E167" s="80" t="str">
        <f t="shared" si="7"/>
        <v>p-if-sastweb01-nsg</v>
      </c>
      <c r="F167" s="74" t="s">
        <v>317</v>
      </c>
      <c r="G167" s="80" t="s">
        <v>1104</v>
      </c>
      <c r="H167" s="74" t="s">
        <v>964</v>
      </c>
      <c r="I167" s="74" t="s">
        <v>1091</v>
      </c>
      <c r="J167" s="74" t="s">
        <v>924</v>
      </c>
      <c r="K167" s="74" t="str">
        <f t="shared" ref="K167:K169" si="9">SUBSTITUTE(I167,"hazr-","")&amp;"-nic"</f>
        <v>p-if-sastweb01-nic</v>
      </c>
      <c r="L167" s="74" t="s">
        <v>226</v>
      </c>
      <c r="M167" s="74"/>
    </row>
    <row r="168" spans="1:13" x14ac:dyDescent="0.3">
      <c r="A168" s="90"/>
      <c r="B168" s="78" t="s">
        <v>23</v>
      </c>
      <c r="C168" s="78" t="str" cm="1">
        <f t="array" ref="C168">UPPER(INDEX(_xlfn.TEXTSPLIT($E168, "-"), 2))</f>
        <v>SEC</v>
      </c>
      <c r="D168" s="73" t="s">
        <v>317</v>
      </c>
      <c r="E168" s="78" t="str">
        <f t="shared" si="7"/>
        <v>p-sec-mevrsol01-nsg</v>
      </c>
      <c r="F168" s="73" t="s">
        <v>317</v>
      </c>
      <c r="G168" s="78" t="s">
        <v>345</v>
      </c>
      <c r="H168" s="73" t="s">
        <v>1105</v>
      </c>
      <c r="I168" s="73" t="s">
        <v>1101</v>
      </c>
      <c r="J168" s="73" t="s">
        <v>1107</v>
      </c>
      <c r="K168" s="73" t="str">
        <f t="shared" si="9"/>
        <v>p-sec-mevrsol01-nic</v>
      </c>
      <c r="L168" s="73" t="s">
        <v>226</v>
      </c>
      <c r="M168" s="73"/>
    </row>
    <row r="169" spans="1:13" x14ac:dyDescent="0.3">
      <c r="A169" s="90"/>
      <c r="B169" s="80" t="s">
        <v>23</v>
      </c>
      <c r="C169" s="80" t="str" cm="1">
        <f t="array" ref="C169">UPPER(INDEX(_xlfn.TEXTSPLIT($E169, "-"), 2))</f>
        <v>SEC</v>
      </c>
      <c r="D169" s="74" t="s">
        <v>317</v>
      </c>
      <c r="E169" s="80" t="str">
        <f t="shared" si="7"/>
        <v>p-sec-mevrsol02-nsg</v>
      </c>
      <c r="F169" s="74" t="s">
        <v>317</v>
      </c>
      <c r="G169" s="80" t="s">
        <v>345</v>
      </c>
      <c r="H169" s="74" t="s">
        <v>1105</v>
      </c>
      <c r="I169" s="74" t="s">
        <v>1102</v>
      </c>
      <c r="J169" s="74" t="s">
        <v>1107</v>
      </c>
      <c r="K169" s="74" t="str">
        <f t="shared" si="9"/>
        <v>p-sec-mevrsol02-nic</v>
      </c>
      <c r="L169" s="74" t="s">
        <v>226</v>
      </c>
      <c r="M169" s="74"/>
    </row>
    <row r="170" spans="1:13" x14ac:dyDescent="0.3">
      <c r="A170" s="90"/>
      <c r="B170" s="78" t="s">
        <v>23</v>
      </c>
      <c r="C170" s="78" t="str" cm="1">
        <f t="array" ref="C170">UPPER(INDEX(_xlfn.TEXTSPLIT($E170, "-"), 2))</f>
        <v>CLV</v>
      </c>
      <c r="D170" s="73" t="s">
        <v>317</v>
      </c>
      <c r="E170" s="78" t="str">
        <f t="shared" si="7"/>
        <v>p-clv-web01-nsg</v>
      </c>
      <c r="F170" s="73" t="s">
        <v>317</v>
      </c>
      <c r="G170" s="78" t="s">
        <v>338</v>
      </c>
      <c r="H170" s="73" t="s">
        <v>1135</v>
      </c>
      <c r="I170" s="73" t="s">
        <v>1123</v>
      </c>
      <c r="J170" s="73" t="s">
        <v>1122</v>
      </c>
      <c r="K170" s="73" t="str">
        <f t="shared" ref="K170:K179" si="10">SUBSTITUTE(I170,"hazr-","")&amp;"-nic"</f>
        <v>p-clv-web01-nic</v>
      </c>
      <c r="L170" s="73" t="s">
        <v>226</v>
      </c>
      <c r="M170" s="73"/>
    </row>
    <row r="171" spans="1:13" x14ac:dyDescent="0.3">
      <c r="A171" s="90"/>
      <c r="B171" s="80" t="s">
        <v>23</v>
      </c>
      <c r="C171" s="80" t="str" cm="1">
        <f t="array" ref="C171">UPPER(INDEX(_xlfn.TEXTSPLIT($E171, "-"), 2))</f>
        <v>CLV</v>
      </c>
      <c r="D171" s="74" t="s">
        <v>317</v>
      </c>
      <c r="E171" s="80" t="str">
        <f t="shared" si="7"/>
        <v>p-clv-web02-nsg</v>
      </c>
      <c r="F171" s="74" t="s">
        <v>317</v>
      </c>
      <c r="G171" s="80" t="s">
        <v>338</v>
      </c>
      <c r="H171" s="74" t="s">
        <v>1135</v>
      </c>
      <c r="I171" s="74" t="s">
        <v>1124</v>
      </c>
      <c r="J171" s="74" t="s">
        <v>1122</v>
      </c>
      <c r="K171" s="74" t="str">
        <f t="shared" si="10"/>
        <v>p-clv-web02-nic</v>
      </c>
      <c r="L171" s="74" t="s">
        <v>226</v>
      </c>
      <c r="M171" s="74"/>
    </row>
    <row r="172" spans="1:13" x14ac:dyDescent="0.3">
      <c r="A172" s="90"/>
      <c r="B172" s="78" t="s">
        <v>23</v>
      </c>
      <c r="C172" s="78" t="str" cm="1">
        <f t="array" ref="C172">UPPER(INDEX(_xlfn.TEXTSPLIT($E172, "-"), 2))</f>
        <v>CLV</v>
      </c>
      <c r="D172" s="73" t="s">
        <v>317</v>
      </c>
      <c r="E172" s="78" t="str">
        <f t="shared" si="7"/>
        <v>p-clv-ap01-nsg</v>
      </c>
      <c r="F172" s="73" t="s">
        <v>317</v>
      </c>
      <c r="G172" s="78" t="s">
        <v>338</v>
      </c>
      <c r="H172" s="73" t="s">
        <v>1136</v>
      </c>
      <c r="I172" s="73" t="s">
        <v>1125</v>
      </c>
      <c r="J172" s="73" t="s">
        <v>1122</v>
      </c>
      <c r="K172" s="73" t="str">
        <f t="shared" si="10"/>
        <v>p-clv-ap01-nic</v>
      </c>
      <c r="L172" s="73" t="s">
        <v>226</v>
      </c>
      <c r="M172" s="73"/>
    </row>
    <row r="173" spans="1:13" x14ac:dyDescent="0.3">
      <c r="A173" s="90"/>
      <c r="B173" s="80" t="s">
        <v>23</v>
      </c>
      <c r="C173" s="80" t="str" cm="1">
        <f t="array" ref="C173">UPPER(INDEX(_xlfn.TEXTSPLIT($E173, "-"), 2))</f>
        <v>CLV</v>
      </c>
      <c r="D173" s="74" t="s">
        <v>317</v>
      </c>
      <c r="E173" s="80" t="str">
        <f t="shared" si="7"/>
        <v>p-clv-ap02-nsg</v>
      </c>
      <c r="F173" s="74" t="s">
        <v>317</v>
      </c>
      <c r="G173" s="80" t="s">
        <v>338</v>
      </c>
      <c r="H173" s="74" t="s">
        <v>1136</v>
      </c>
      <c r="I173" s="74" t="s">
        <v>1126</v>
      </c>
      <c r="J173" s="74" t="s">
        <v>1122</v>
      </c>
      <c r="K173" s="74" t="str">
        <f t="shared" si="10"/>
        <v>p-clv-ap02-nic</v>
      </c>
      <c r="L173" s="74" t="s">
        <v>226</v>
      </c>
      <c r="M173" s="74"/>
    </row>
    <row r="174" spans="1:13" x14ac:dyDescent="0.3">
      <c r="A174" s="90"/>
      <c r="B174" s="78" t="s">
        <v>23</v>
      </c>
      <c r="C174" s="78" t="str" cm="1">
        <f t="array" ref="C174">UPPER(INDEX(_xlfn.TEXTSPLIT($E174, "-"), 2))</f>
        <v>CLV</v>
      </c>
      <c r="D174" s="73" t="s">
        <v>317</v>
      </c>
      <c r="E174" s="78" t="str">
        <f t="shared" si="7"/>
        <v>p-clv-ssrap01-nsg</v>
      </c>
      <c r="F174" s="73" t="s">
        <v>317</v>
      </c>
      <c r="G174" s="78" t="s">
        <v>338</v>
      </c>
      <c r="H174" s="73" t="s">
        <v>1136</v>
      </c>
      <c r="I174" s="73" t="s">
        <v>1127</v>
      </c>
      <c r="J174" s="73" t="s">
        <v>1122</v>
      </c>
      <c r="K174" s="73" t="str">
        <f t="shared" si="10"/>
        <v>p-clv-ssrap01-nic</v>
      </c>
      <c r="L174" s="73" t="s">
        <v>226</v>
      </c>
      <c r="M174" s="73"/>
    </row>
    <row r="175" spans="1:13" x14ac:dyDescent="0.3">
      <c r="A175" s="90"/>
      <c r="B175" s="80" t="s">
        <v>23</v>
      </c>
      <c r="C175" s="80" t="str" cm="1">
        <f t="array" ref="C175">UPPER(INDEX(_xlfn.TEXTSPLIT($E175, "-"), 2))</f>
        <v>CLV</v>
      </c>
      <c r="D175" s="74" t="s">
        <v>317</v>
      </c>
      <c r="E175" s="80" t="str">
        <f t="shared" si="7"/>
        <v>p-clv-ssrap02-nsg</v>
      </c>
      <c r="F175" s="74" t="s">
        <v>317</v>
      </c>
      <c r="G175" s="80" t="s">
        <v>338</v>
      </c>
      <c r="H175" s="74" t="s">
        <v>1136</v>
      </c>
      <c r="I175" s="74" t="s">
        <v>1128</v>
      </c>
      <c r="J175" s="74" t="s">
        <v>1122</v>
      </c>
      <c r="K175" s="74" t="str">
        <f t="shared" si="10"/>
        <v>p-clv-ssrap02-nic</v>
      </c>
      <c r="L175" s="74" t="s">
        <v>226</v>
      </c>
      <c r="M175" s="74"/>
    </row>
    <row r="176" spans="1:13" x14ac:dyDescent="0.3">
      <c r="A176" s="90"/>
      <c r="B176" s="78" t="s">
        <v>23</v>
      </c>
      <c r="C176" s="78" t="str" cm="1">
        <f t="array" ref="C176">UPPER(INDEX(_xlfn.TEXTSPLIT($E176, "-"), 2))</f>
        <v>CLV</v>
      </c>
      <c r="D176" s="73" t="s">
        <v>317</v>
      </c>
      <c r="E176" s="78" t="str">
        <f t="shared" si="7"/>
        <v>p-clv-admweb01-nsg</v>
      </c>
      <c r="F176" s="73" t="s">
        <v>317</v>
      </c>
      <c r="G176" s="78" t="s">
        <v>338</v>
      </c>
      <c r="H176" s="73" t="s">
        <v>1136</v>
      </c>
      <c r="I176" s="73" t="s">
        <v>1129</v>
      </c>
      <c r="J176" s="73" t="s">
        <v>1122</v>
      </c>
      <c r="K176" s="73" t="str">
        <f t="shared" si="10"/>
        <v>p-clv-admweb01-nic</v>
      </c>
      <c r="L176" s="73" t="s">
        <v>226</v>
      </c>
      <c r="M176" s="73"/>
    </row>
    <row r="177" spans="1:13" x14ac:dyDescent="0.3">
      <c r="A177" s="90"/>
      <c r="B177" s="80" t="s">
        <v>23</v>
      </c>
      <c r="C177" s="80" t="str" cm="1">
        <f t="array" ref="C177">UPPER(INDEX(_xlfn.TEXTSPLIT($E177, "-"), 2))</f>
        <v>CLV</v>
      </c>
      <c r="D177" s="74" t="s">
        <v>317</v>
      </c>
      <c r="E177" s="80" t="str">
        <f t="shared" si="7"/>
        <v>p-clv-admweb02-nsg</v>
      </c>
      <c r="F177" s="74" t="s">
        <v>317</v>
      </c>
      <c r="G177" s="80" t="s">
        <v>338</v>
      </c>
      <c r="H177" s="74" t="s">
        <v>1136</v>
      </c>
      <c r="I177" s="74" t="s">
        <v>1130</v>
      </c>
      <c r="J177" s="74" t="s">
        <v>1122</v>
      </c>
      <c r="K177" s="74" t="str">
        <f t="shared" si="10"/>
        <v>p-clv-admweb02-nic</v>
      </c>
      <c r="L177" s="74" t="s">
        <v>226</v>
      </c>
      <c r="M177" s="74"/>
    </row>
    <row r="178" spans="1:13" x14ac:dyDescent="0.3">
      <c r="A178" s="90"/>
      <c r="B178" s="78" t="s">
        <v>23</v>
      </c>
      <c r="C178" s="78" t="str" cm="1">
        <f t="array" ref="C178">UPPER(INDEX(_xlfn.TEXTSPLIT($E178, "-"), 2))</f>
        <v>CLV</v>
      </c>
      <c r="D178" s="73" t="s">
        <v>317</v>
      </c>
      <c r="E178" s="78" t="str">
        <f t="shared" si="7"/>
        <v>p-clv-admap01-nsg</v>
      </c>
      <c r="F178" s="73" t="s">
        <v>317</v>
      </c>
      <c r="G178" s="78" t="s">
        <v>338</v>
      </c>
      <c r="H178" s="73" t="s">
        <v>1136</v>
      </c>
      <c r="I178" s="73" t="s">
        <v>1131</v>
      </c>
      <c r="J178" s="73" t="s">
        <v>1122</v>
      </c>
      <c r="K178" s="73" t="str">
        <f t="shared" si="10"/>
        <v>p-clv-admap01-nic</v>
      </c>
      <c r="L178" s="73" t="s">
        <v>226</v>
      </c>
      <c r="M178" s="73"/>
    </row>
    <row r="179" spans="1:13" x14ac:dyDescent="0.3">
      <c r="A179" s="90"/>
      <c r="B179" s="80" t="s">
        <v>23</v>
      </c>
      <c r="C179" s="80" t="str" cm="1">
        <f t="array" ref="C179">UPPER(INDEX(_xlfn.TEXTSPLIT($E179, "-"), 2))</f>
        <v>CLV</v>
      </c>
      <c r="D179" s="74" t="s">
        <v>317</v>
      </c>
      <c r="E179" s="80" t="str">
        <f t="shared" si="7"/>
        <v>p-clv-admap02-nsg</v>
      </c>
      <c r="F179" s="74" t="s">
        <v>317</v>
      </c>
      <c r="G179" s="80" t="s">
        <v>338</v>
      </c>
      <c r="H179" s="74" t="s">
        <v>1136</v>
      </c>
      <c r="I179" s="74" t="s">
        <v>1132</v>
      </c>
      <c r="J179" s="74" t="s">
        <v>1122</v>
      </c>
      <c r="K179" s="74" t="str">
        <f t="shared" si="10"/>
        <v>p-clv-admap02-nic</v>
      </c>
      <c r="L179" s="74" t="s">
        <v>226</v>
      </c>
      <c r="M179" s="74"/>
    </row>
    <row r="180" spans="1:13" x14ac:dyDescent="0.3">
      <c r="A180" s="90"/>
      <c r="B180" s="78" t="s">
        <v>23</v>
      </c>
      <c r="C180" s="78" t="str" cm="1">
        <f t="array" ref="C180">UPPER(INDEX(_xlfn.TEXTSPLIT($E180, "-"), 2))</f>
        <v>IF</v>
      </c>
      <c r="D180" s="73" t="s">
        <v>317</v>
      </c>
      <c r="E180" s="78" t="str">
        <f t="shared" si="7"/>
        <v>p-if-brpaap01-nsg</v>
      </c>
      <c r="F180" s="73" t="s">
        <v>317</v>
      </c>
      <c r="G180" s="78" t="s">
        <v>338</v>
      </c>
      <c r="H180" s="73" t="s">
        <v>964</v>
      </c>
      <c r="I180" s="73" t="s">
        <v>1133</v>
      </c>
      <c r="J180" s="73" t="s">
        <v>924</v>
      </c>
      <c r="K180" s="73" t="str">
        <f t="shared" ref="K180:K186" si="11">SUBSTITUTE(I180,"hazr-","")&amp;"-nic"</f>
        <v>p-if-brpaap01-nic</v>
      </c>
      <c r="L180" s="73" t="s">
        <v>226</v>
      </c>
      <c r="M180" s="73"/>
    </row>
    <row r="181" spans="1:13" x14ac:dyDescent="0.3">
      <c r="A181" s="90"/>
      <c r="B181" s="80" t="s">
        <v>23</v>
      </c>
      <c r="C181" s="80" t="str" cm="1">
        <f t="array" ref="C181">UPPER(INDEX(_xlfn.TEXTSPLIT($E181, "-"), 2))</f>
        <v>IF</v>
      </c>
      <c r="D181" s="74" t="s">
        <v>317</v>
      </c>
      <c r="E181" s="80" t="str">
        <f t="shared" si="7"/>
        <v>p-if-brpadb01-nsg</v>
      </c>
      <c r="F181" s="74" t="s">
        <v>317</v>
      </c>
      <c r="G181" s="80" t="s">
        <v>338</v>
      </c>
      <c r="H181" s="74" t="s">
        <v>1137</v>
      </c>
      <c r="I181" s="74" t="s">
        <v>1157</v>
      </c>
      <c r="J181" s="74" t="s">
        <v>924</v>
      </c>
      <c r="K181" s="74" t="str">
        <f t="shared" si="11"/>
        <v>p-if-brpadb01-nic</v>
      </c>
      <c r="L181" s="74" t="s">
        <v>226</v>
      </c>
      <c r="M181" s="74"/>
    </row>
    <row r="182" spans="1:13" x14ac:dyDescent="0.3">
      <c r="A182" s="90"/>
      <c r="B182" s="78" t="s">
        <v>23</v>
      </c>
      <c r="C182" s="78" t="str" cm="1">
        <f t="array" ref="C182">UPPER(INDEX(_xlfn.TEXTSPLIT($E182, "-"), 2))</f>
        <v>GA</v>
      </c>
      <c r="D182" s="73" t="s">
        <v>317</v>
      </c>
      <c r="E182" s="78" t="str">
        <f t="shared" si="7"/>
        <v>p-ga-oweb01-nsg</v>
      </c>
      <c r="F182" s="73" t="s">
        <v>317</v>
      </c>
      <c r="G182" s="78" t="s">
        <v>345</v>
      </c>
      <c r="H182" s="73" t="s">
        <v>1179</v>
      </c>
      <c r="I182" s="73" t="s">
        <v>1166</v>
      </c>
      <c r="J182" s="73" t="s">
        <v>1164</v>
      </c>
      <c r="K182" s="73" t="str">
        <f t="shared" si="11"/>
        <v>p-ga-oweb01-nic</v>
      </c>
      <c r="L182" s="73" t="s">
        <v>226</v>
      </c>
      <c r="M182" s="73"/>
    </row>
    <row r="183" spans="1:13" x14ac:dyDescent="0.3">
      <c r="A183" s="90"/>
      <c r="B183" s="80" t="s">
        <v>23</v>
      </c>
      <c r="C183" s="80" t="str" cm="1">
        <f t="array" ref="C183">UPPER(INDEX(_xlfn.TEXTSPLIT($E183, "-"), 2))</f>
        <v>GA</v>
      </c>
      <c r="D183" s="74" t="s">
        <v>317</v>
      </c>
      <c r="E183" s="80" t="str">
        <f t="shared" si="7"/>
        <v>p-ga-oweb02-nsg</v>
      </c>
      <c r="F183" s="74" t="s">
        <v>317</v>
      </c>
      <c r="G183" s="80" t="s">
        <v>345</v>
      </c>
      <c r="H183" s="74" t="s">
        <v>1179</v>
      </c>
      <c r="I183" s="74" t="s">
        <v>1169</v>
      </c>
      <c r="J183" s="74" t="s">
        <v>1163</v>
      </c>
      <c r="K183" s="74" t="str">
        <f t="shared" si="11"/>
        <v>p-ga-oweb02-nic</v>
      </c>
      <c r="L183" s="74" t="s">
        <v>226</v>
      </c>
      <c r="M183" s="74"/>
    </row>
    <row r="184" spans="1:13" x14ac:dyDescent="0.3">
      <c r="A184" s="90"/>
      <c r="B184" s="78" t="s">
        <v>23</v>
      </c>
      <c r="C184" s="78" t="str" cm="1">
        <f t="array" ref="C184">UPPER(INDEX(_xlfn.TEXTSPLIT($E184, "-"), 2))</f>
        <v>GA</v>
      </c>
      <c r="D184" s="73" t="s">
        <v>317</v>
      </c>
      <c r="E184" s="78" t="str">
        <f t="shared" si="7"/>
        <v>p-ga-oap01-nsg</v>
      </c>
      <c r="F184" s="73" t="s">
        <v>317</v>
      </c>
      <c r="G184" s="78" t="s">
        <v>338</v>
      </c>
      <c r="H184" s="73" t="s">
        <v>1180</v>
      </c>
      <c r="I184" s="73" t="s">
        <v>1167</v>
      </c>
      <c r="J184" s="73" t="s">
        <v>1164</v>
      </c>
      <c r="K184" s="73" t="str">
        <f t="shared" si="11"/>
        <v>p-ga-oap01-nic</v>
      </c>
      <c r="L184" s="73" t="s">
        <v>226</v>
      </c>
      <c r="M184" s="73"/>
    </row>
    <row r="185" spans="1:13" x14ac:dyDescent="0.3">
      <c r="A185" s="90"/>
      <c r="B185" s="80" t="s">
        <v>23</v>
      </c>
      <c r="C185" s="80" t="str" cm="1">
        <f t="array" ref="C185">UPPER(INDEX(_xlfn.TEXTSPLIT($E185, "-"), 2))</f>
        <v>GA</v>
      </c>
      <c r="D185" s="74" t="s">
        <v>317</v>
      </c>
      <c r="E185" s="80" t="str">
        <f t="shared" si="7"/>
        <v>p-ga-oap02-nsg</v>
      </c>
      <c r="F185" s="74" t="s">
        <v>317</v>
      </c>
      <c r="G185" s="80" t="s">
        <v>338</v>
      </c>
      <c r="H185" s="74" t="s">
        <v>1180</v>
      </c>
      <c r="I185" s="74" t="s">
        <v>1170</v>
      </c>
      <c r="J185" s="74" t="s">
        <v>1164</v>
      </c>
      <c r="K185" s="74" t="str">
        <f t="shared" si="11"/>
        <v>p-ga-oap02-nic</v>
      </c>
      <c r="L185" s="74" t="s">
        <v>226</v>
      </c>
      <c r="M185" s="74"/>
    </row>
    <row r="186" spans="1:13" x14ac:dyDescent="0.3">
      <c r="A186" s="90"/>
      <c r="B186" s="78" t="s">
        <v>23</v>
      </c>
      <c r="C186" s="78" t="str" cm="1">
        <f t="array" ref="C186">UPPER(INDEX(_xlfn.TEXTSPLIT($E186, "-"), 2))</f>
        <v>BSU</v>
      </c>
      <c r="D186" s="73" t="s">
        <v>317</v>
      </c>
      <c r="E186" s="78" t="str">
        <f t="shared" si="7"/>
        <v>p-bsu-accweb01-nsg</v>
      </c>
      <c r="F186" s="73" t="s">
        <v>317</v>
      </c>
      <c r="G186" s="78" t="s">
        <v>338</v>
      </c>
      <c r="H186" s="73" t="s">
        <v>1181</v>
      </c>
      <c r="I186" s="73" t="s">
        <v>1168</v>
      </c>
      <c r="J186" s="73" t="s">
        <v>1165</v>
      </c>
      <c r="K186" s="73" t="str">
        <f t="shared" si="11"/>
        <v>p-bsu-accweb01-nic</v>
      </c>
      <c r="L186" s="73" t="s">
        <v>226</v>
      </c>
      <c r="M186" s="73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1011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1013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1013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1012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1012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1012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994</v>
      </c>
      <c r="I8" s="74" t="s">
        <v>221</v>
      </c>
      <c r="J8" s="74" t="s">
        <v>1012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1012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1012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1012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1012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1012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1012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1012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1012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1012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1012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1012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1012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1012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1013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1013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1012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1012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1012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1012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994</v>
      </c>
      <c r="I29" s="82" t="s">
        <v>221</v>
      </c>
      <c r="J29" s="82" t="s">
        <v>1012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1012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1012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1012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1012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1012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1012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1012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1012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1012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1012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tabSelected="1" workbookViewId="0">
      <pane xSplit="6" ySplit="1" topLeftCell="G26" activePane="bottomRight" state="frozen"/>
      <selection pane="topRight" activeCell="G1" sqref="G1"/>
      <selection pane="bottomLeft" activeCell="A2" sqref="A2"/>
      <selection pane="bottomRight" activeCell="F46" sqref="F46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921</v>
      </c>
      <c r="E2" s="82" t="s">
        <v>24</v>
      </c>
      <c r="F2" s="82" t="s">
        <v>886</v>
      </c>
      <c r="G2" s="82" t="s">
        <v>111</v>
      </c>
      <c r="H2" s="82" t="s">
        <v>1015</v>
      </c>
      <c r="I2" s="82" t="s">
        <v>1014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920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921</v>
      </c>
      <c r="E3" s="74" t="s">
        <v>24</v>
      </c>
      <c r="F3" s="74" t="s">
        <v>887</v>
      </c>
      <c r="G3" s="74" t="s">
        <v>111</v>
      </c>
      <c r="H3" s="74" t="s">
        <v>1015</v>
      </c>
      <c r="I3" s="74" t="s">
        <v>1014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926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921</v>
      </c>
      <c r="E4" s="82" t="s">
        <v>24</v>
      </c>
      <c r="F4" s="82" t="s">
        <v>888</v>
      </c>
      <c r="G4" s="82" t="s">
        <v>111</v>
      </c>
      <c r="H4" s="82" t="s">
        <v>1015</v>
      </c>
      <c r="I4" s="82" t="s">
        <v>1014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927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921</v>
      </c>
      <c r="E5" s="74" t="s">
        <v>24</v>
      </c>
      <c r="F5" s="74" t="s">
        <v>889</v>
      </c>
      <c r="G5" s="74" t="s">
        <v>111</v>
      </c>
      <c r="H5" s="74" t="s">
        <v>1015</v>
      </c>
      <c r="I5" s="74" t="s">
        <v>1014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928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921</v>
      </c>
      <c r="E6" s="82" t="s">
        <v>24</v>
      </c>
      <c r="F6" s="82" t="s">
        <v>890</v>
      </c>
      <c r="G6" s="82" t="s">
        <v>111</v>
      </c>
      <c r="H6" s="82" t="s">
        <v>1015</v>
      </c>
      <c r="I6" s="82" t="s">
        <v>1014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929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921</v>
      </c>
      <c r="E7" s="82" t="s">
        <v>24</v>
      </c>
      <c r="F7" s="82" t="s">
        <v>1016</v>
      </c>
      <c r="G7" s="82" t="s">
        <v>111</v>
      </c>
      <c r="H7" s="82" t="s">
        <v>1015</v>
      </c>
      <c r="I7" s="82" t="s">
        <v>1014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930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921</v>
      </c>
      <c r="E8" s="82" t="s">
        <v>24</v>
      </c>
      <c r="F8" s="82" t="s">
        <v>891</v>
      </c>
      <c r="G8" s="82" t="s">
        <v>111</v>
      </c>
      <c r="H8" s="82" t="s">
        <v>1015</v>
      </c>
      <c r="I8" s="82" t="s">
        <v>1014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931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921</v>
      </c>
      <c r="E9" s="74" t="s">
        <v>24</v>
      </c>
      <c r="F9" s="74" t="s">
        <v>892</v>
      </c>
      <c r="G9" s="74" t="s">
        <v>111</v>
      </c>
      <c r="H9" s="74" t="s">
        <v>1015</v>
      </c>
      <c r="I9" s="74" t="s">
        <v>1014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932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921</v>
      </c>
      <c r="E10" s="82" t="s">
        <v>24</v>
      </c>
      <c r="F10" s="82" t="s">
        <v>893</v>
      </c>
      <c r="G10" s="82" t="s">
        <v>111</v>
      </c>
      <c r="H10" s="82" t="s">
        <v>1015</v>
      </c>
      <c r="I10" s="82" t="s">
        <v>1014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933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921</v>
      </c>
      <c r="E11" s="74" t="s">
        <v>24</v>
      </c>
      <c r="F11" s="74" t="s">
        <v>894</v>
      </c>
      <c r="G11" s="74" t="s">
        <v>111</v>
      </c>
      <c r="H11" s="74" t="s">
        <v>1015</v>
      </c>
      <c r="I11" s="74" t="s">
        <v>1014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934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921</v>
      </c>
      <c r="E12" s="82" t="s">
        <v>24</v>
      </c>
      <c r="F12" s="82" t="s">
        <v>895</v>
      </c>
      <c r="G12" s="82" t="s">
        <v>111</v>
      </c>
      <c r="H12" s="82" t="s">
        <v>1015</v>
      </c>
      <c r="I12" s="82" t="s">
        <v>1014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935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921</v>
      </c>
      <c r="E13" s="74" t="s">
        <v>24</v>
      </c>
      <c r="F13" s="74" t="s">
        <v>896</v>
      </c>
      <c r="G13" s="74" t="s">
        <v>111</v>
      </c>
      <c r="H13" s="74" t="s">
        <v>1015</v>
      </c>
      <c r="I13" s="74" t="s">
        <v>1014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936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922</v>
      </c>
      <c r="E14" s="82" t="s">
        <v>24</v>
      </c>
      <c r="F14" s="82" t="s">
        <v>897</v>
      </c>
      <c r="G14" s="82" t="s">
        <v>111</v>
      </c>
      <c r="H14" s="82" t="s">
        <v>1015</v>
      </c>
      <c r="I14" s="82" t="s">
        <v>1014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961</v>
      </c>
      <c r="O14" s="82" t="s">
        <v>108</v>
      </c>
      <c r="P14" s="82" t="s">
        <v>937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922</v>
      </c>
      <c r="E15" s="74" t="s">
        <v>24</v>
      </c>
      <c r="F15" s="74" t="s">
        <v>898</v>
      </c>
      <c r="G15" s="74" t="s">
        <v>111</v>
      </c>
      <c r="H15" s="74" t="s">
        <v>1015</v>
      </c>
      <c r="I15" s="74" t="s">
        <v>1014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961</v>
      </c>
      <c r="O15" s="74" t="s">
        <v>108</v>
      </c>
      <c r="P15" s="74" t="s">
        <v>938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922</v>
      </c>
      <c r="E16" s="82" t="s">
        <v>24</v>
      </c>
      <c r="F16" s="82" t="s">
        <v>974</v>
      </c>
      <c r="G16" s="82" t="s">
        <v>111</v>
      </c>
      <c r="H16" s="82" t="s">
        <v>1015</v>
      </c>
      <c r="I16" s="82" t="s">
        <v>1014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961</v>
      </c>
      <c r="O16" s="82" t="s">
        <v>108</v>
      </c>
      <c r="P16" s="82" t="s">
        <v>939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922</v>
      </c>
      <c r="E17" s="74" t="s">
        <v>24</v>
      </c>
      <c r="F17" s="74" t="s">
        <v>899</v>
      </c>
      <c r="G17" s="74" t="s">
        <v>111</v>
      </c>
      <c r="H17" s="74" t="s">
        <v>1015</v>
      </c>
      <c r="I17" s="74" t="s">
        <v>1014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961</v>
      </c>
      <c r="O17" s="74" t="s">
        <v>108</v>
      </c>
      <c r="P17" s="74" t="s">
        <v>940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922</v>
      </c>
      <c r="E18" s="82" t="s">
        <v>24</v>
      </c>
      <c r="F18" s="82" t="s">
        <v>998</v>
      </c>
      <c r="G18" s="82" t="s">
        <v>111</v>
      </c>
      <c r="H18" s="82" t="s">
        <v>1015</v>
      </c>
      <c r="I18" s="82" t="s">
        <v>1014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962</v>
      </c>
      <c r="O18" s="82" t="s">
        <v>108</v>
      </c>
      <c r="P18" s="82" t="s">
        <v>941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922</v>
      </c>
      <c r="E19" s="74" t="s">
        <v>24</v>
      </c>
      <c r="F19" s="74" t="s">
        <v>999</v>
      </c>
      <c r="G19" s="74" t="s">
        <v>111</v>
      </c>
      <c r="H19" s="74" t="s">
        <v>1015</v>
      </c>
      <c r="I19" s="74" t="s">
        <v>1014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962</v>
      </c>
      <c r="O19" s="74" t="s">
        <v>108</v>
      </c>
      <c r="P19" s="74" t="s">
        <v>1001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922</v>
      </c>
      <c r="E20" s="82" t="s">
        <v>24</v>
      </c>
      <c r="F20" s="82" t="s">
        <v>1000</v>
      </c>
      <c r="G20" s="82" t="s">
        <v>111</v>
      </c>
      <c r="H20" s="82" t="s">
        <v>1015</v>
      </c>
      <c r="I20" s="82" t="s">
        <v>1014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962</v>
      </c>
      <c r="O20" s="82" t="s">
        <v>108</v>
      </c>
      <c r="P20" s="82" t="s">
        <v>1002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922</v>
      </c>
      <c r="E21" s="74" t="s">
        <v>24</v>
      </c>
      <c r="F21" s="74" t="s">
        <v>900</v>
      </c>
      <c r="G21" s="74" t="s">
        <v>111</v>
      </c>
      <c r="H21" s="74" t="s">
        <v>1015</v>
      </c>
      <c r="I21" s="74" t="s">
        <v>1014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961</v>
      </c>
      <c r="O21" s="74" t="s">
        <v>108</v>
      </c>
      <c r="P21" s="74" t="s">
        <v>942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922</v>
      </c>
      <c r="E22" s="82" t="s">
        <v>24</v>
      </c>
      <c r="F22" s="82" t="s">
        <v>901</v>
      </c>
      <c r="G22" s="82" t="s">
        <v>111</v>
      </c>
      <c r="H22" s="82" t="s">
        <v>1015</v>
      </c>
      <c r="I22" s="82" t="s">
        <v>1014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961</v>
      </c>
      <c r="O22" s="82" t="s">
        <v>108</v>
      </c>
      <c r="P22" s="82" t="s">
        <v>943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922</v>
      </c>
      <c r="E23" s="74" t="s">
        <v>24</v>
      </c>
      <c r="F23" s="74" t="s">
        <v>902</v>
      </c>
      <c r="G23" s="74" t="s">
        <v>111</v>
      </c>
      <c r="H23" s="74" t="s">
        <v>1015</v>
      </c>
      <c r="I23" s="74" t="s">
        <v>1014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962</v>
      </c>
      <c r="O23" s="74" t="s">
        <v>108</v>
      </c>
      <c r="P23" s="74" t="s">
        <v>944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922</v>
      </c>
      <c r="E24" s="82" t="s">
        <v>24</v>
      </c>
      <c r="F24" s="82" t="s">
        <v>903</v>
      </c>
      <c r="G24" s="82" t="s">
        <v>111</v>
      </c>
      <c r="H24" s="82" t="s">
        <v>1015</v>
      </c>
      <c r="I24" s="82" t="s">
        <v>1014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961</v>
      </c>
      <c r="O24" s="82" t="s">
        <v>108</v>
      </c>
      <c r="P24" s="82" t="s">
        <v>945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922</v>
      </c>
      <c r="E25" s="74" t="s">
        <v>24</v>
      </c>
      <c r="F25" s="74" t="s">
        <v>904</v>
      </c>
      <c r="G25" s="74" t="s">
        <v>111</v>
      </c>
      <c r="H25" s="74" t="s">
        <v>1015</v>
      </c>
      <c r="I25" s="74" t="s">
        <v>1014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961</v>
      </c>
      <c r="O25" s="74" t="s">
        <v>108</v>
      </c>
      <c r="P25" s="74" t="s">
        <v>946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922</v>
      </c>
      <c r="E26" s="82" t="s">
        <v>24</v>
      </c>
      <c r="F26" s="82" t="s">
        <v>905</v>
      </c>
      <c r="G26" s="82" t="s">
        <v>111</v>
      </c>
      <c r="H26" s="82" t="s">
        <v>1015</v>
      </c>
      <c r="I26" s="82" t="s">
        <v>1014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961</v>
      </c>
      <c r="O26" s="82" t="s">
        <v>108</v>
      </c>
      <c r="P26" s="82" t="s">
        <v>947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922</v>
      </c>
      <c r="E27" s="74" t="s">
        <v>24</v>
      </c>
      <c r="F27" s="74" t="s">
        <v>906</v>
      </c>
      <c r="G27" s="74" t="s">
        <v>111</v>
      </c>
      <c r="H27" s="74" t="s">
        <v>1015</v>
      </c>
      <c r="I27" s="74" t="s">
        <v>1014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961</v>
      </c>
      <c r="O27" s="74" t="s">
        <v>108</v>
      </c>
      <c r="P27" s="74" t="s">
        <v>948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922</v>
      </c>
      <c r="E28" s="82" t="s">
        <v>24</v>
      </c>
      <c r="F28" s="82" t="s">
        <v>907</v>
      </c>
      <c r="G28" s="82" t="s">
        <v>111</v>
      </c>
      <c r="H28" s="82" t="s">
        <v>1015</v>
      </c>
      <c r="I28" s="82" t="s">
        <v>1014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961</v>
      </c>
      <c r="O28" s="82" t="s">
        <v>108</v>
      </c>
      <c r="P28" s="82" t="s">
        <v>949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922</v>
      </c>
      <c r="E29" s="74" t="s">
        <v>24</v>
      </c>
      <c r="F29" s="74" t="s">
        <v>908</v>
      </c>
      <c r="G29" s="74" t="s">
        <v>111</v>
      </c>
      <c r="H29" s="74" t="s">
        <v>1015</v>
      </c>
      <c r="I29" s="74" t="s">
        <v>1014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962</v>
      </c>
      <c r="O29" s="74" t="s">
        <v>108</v>
      </c>
      <c r="P29" s="74" t="s">
        <v>950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922</v>
      </c>
      <c r="E30" s="82" t="s">
        <v>24</v>
      </c>
      <c r="F30" s="82" t="s">
        <v>909</v>
      </c>
      <c r="G30" s="82" t="s">
        <v>111</v>
      </c>
      <c r="H30" s="82" t="s">
        <v>1015</v>
      </c>
      <c r="I30" s="82" t="s">
        <v>1014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961</v>
      </c>
      <c r="O30" s="82" t="s">
        <v>108</v>
      </c>
      <c r="P30" s="82" t="s">
        <v>951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923</v>
      </c>
      <c r="E31" s="74" t="s">
        <v>24</v>
      </c>
      <c r="F31" s="74" t="s">
        <v>910</v>
      </c>
      <c r="G31" s="74" t="s">
        <v>111</v>
      </c>
      <c r="H31" s="74" t="s">
        <v>1015</v>
      </c>
      <c r="I31" s="74" t="s">
        <v>1014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963</v>
      </c>
      <c r="O31" s="74" t="s">
        <v>108</v>
      </c>
      <c r="P31" s="74" t="s">
        <v>952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923</v>
      </c>
      <c r="E32" s="82" t="s">
        <v>24</v>
      </c>
      <c r="F32" s="82" t="s">
        <v>911</v>
      </c>
      <c r="G32" s="82" t="s">
        <v>111</v>
      </c>
      <c r="H32" s="82" t="s">
        <v>1015</v>
      </c>
      <c r="I32" s="82" t="s">
        <v>1014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963</v>
      </c>
      <c r="O32" s="82" t="s">
        <v>108</v>
      </c>
      <c r="P32" s="82" t="s">
        <v>953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924</v>
      </c>
      <c r="E33" s="74" t="s">
        <v>24</v>
      </c>
      <c r="F33" s="74" t="s">
        <v>912</v>
      </c>
      <c r="G33" s="74" t="s">
        <v>111</v>
      </c>
      <c r="H33" s="74" t="s">
        <v>1015</v>
      </c>
      <c r="I33" s="74" t="s">
        <v>1014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964</v>
      </c>
      <c r="O33" s="74" t="s">
        <v>108</v>
      </c>
      <c r="P33" s="74" t="s">
        <v>954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925</v>
      </c>
      <c r="E34" s="74" t="s">
        <v>24</v>
      </c>
      <c r="F34" s="74" t="s">
        <v>913</v>
      </c>
      <c r="G34" s="74" t="s">
        <v>111</v>
      </c>
      <c r="H34" s="74" t="s">
        <v>1015</v>
      </c>
      <c r="I34" s="74" t="s">
        <v>1014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965</v>
      </c>
      <c r="O34" s="74" t="s">
        <v>108</v>
      </c>
      <c r="P34" s="74" t="s">
        <v>955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925</v>
      </c>
      <c r="E35" s="82" t="s">
        <v>24</v>
      </c>
      <c r="F35" s="82" t="s">
        <v>914</v>
      </c>
      <c r="G35" s="82" t="s">
        <v>111</v>
      </c>
      <c r="H35" s="82" t="s">
        <v>1015</v>
      </c>
      <c r="I35" s="82" t="s">
        <v>1014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966</v>
      </c>
      <c r="O35" s="82" t="s">
        <v>108</v>
      </c>
      <c r="P35" s="82" t="s">
        <v>956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925</v>
      </c>
      <c r="E36" s="74" t="s">
        <v>24</v>
      </c>
      <c r="F36" s="74" t="s">
        <v>915</v>
      </c>
      <c r="G36" s="74" t="s">
        <v>111</v>
      </c>
      <c r="H36" s="74" t="s">
        <v>1015</v>
      </c>
      <c r="I36" s="74" t="s">
        <v>1014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965</v>
      </c>
      <c r="O36" s="74" t="s">
        <v>108</v>
      </c>
      <c r="P36" s="74" t="s">
        <v>957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923</v>
      </c>
      <c r="E37" s="74" t="s">
        <v>24</v>
      </c>
      <c r="F37" s="74" t="s">
        <v>916</v>
      </c>
      <c r="G37" s="74" t="s">
        <v>111</v>
      </c>
      <c r="H37" s="74" t="s">
        <v>1015</v>
      </c>
      <c r="I37" s="74" t="s">
        <v>1014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967</v>
      </c>
      <c r="O37" s="74" t="s">
        <v>108</v>
      </c>
      <c r="P37" s="74" t="s">
        <v>958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923</v>
      </c>
      <c r="E38" s="82" t="s">
        <v>24</v>
      </c>
      <c r="F38" s="82" t="s">
        <v>917</v>
      </c>
      <c r="G38" s="82" t="s">
        <v>111</v>
      </c>
      <c r="H38" s="82" t="s">
        <v>1015</v>
      </c>
      <c r="I38" s="82" t="s">
        <v>1014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963</v>
      </c>
      <c r="O38" s="82" t="s">
        <v>108</v>
      </c>
      <c r="P38" s="82" t="s">
        <v>959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923</v>
      </c>
      <c r="E39" s="74" t="s">
        <v>24</v>
      </c>
      <c r="F39" s="74" t="s">
        <v>918</v>
      </c>
      <c r="G39" s="74" t="s">
        <v>111</v>
      </c>
      <c r="H39" s="74" t="s">
        <v>1015</v>
      </c>
      <c r="I39" s="74" t="s">
        <v>1014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963</v>
      </c>
      <c r="O39" s="74" t="s">
        <v>108</v>
      </c>
      <c r="P39" s="74" t="s">
        <v>960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922</v>
      </c>
      <c r="E40" s="82" t="s">
        <v>24</v>
      </c>
      <c r="F40" s="82" t="s">
        <v>1023</v>
      </c>
      <c r="G40" s="82" t="s">
        <v>111</v>
      </c>
      <c r="H40" s="82" t="s">
        <v>1015</v>
      </c>
      <c r="I40" s="82" t="s">
        <v>1014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961</v>
      </c>
      <c r="O40" s="82" t="s">
        <v>108</v>
      </c>
      <c r="P40" s="82" t="s">
        <v>1024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1033</v>
      </c>
      <c r="E41" s="74" t="s">
        <v>24</v>
      </c>
      <c r="F41" s="74" t="s">
        <v>1044</v>
      </c>
      <c r="G41" s="74" t="s">
        <v>111</v>
      </c>
      <c r="H41" s="74" t="s">
        <v>1015</v>
      </c>
      <c r="I41" s="74" t="s">
        <v>1014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1043</v>
      </c>
      <c r="O41" s="74" t="s">
        <v>108</v>
      </c>
      <c r="P41" s="74" t="s">
        <v>1047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1033</v>
      </c>
      <c r="E42" s="82" t="s">
        <v>24</v>
      </c>
      <c r="F42" s="82" t="s">
        <v>1045</v>
      </c>
      <c r="G42" s="82" t="s">
        <v>111</v>
      </c>
      <c r="H42" s="82" t="s">
        <v>1015</v>
      </c>
      <c r="I42" s="82" t="s">
        <v>1014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1046</v>
      </c>
      <c r="O42" s="82" t="s">
        <v>108</v>
      </c>
      <c r="P42" s="82" t="s">
        <v>1051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923</v>
      </c>
      <c r="E43" s="74" t="s">
        <v>24</v>
      </c>
      <c r="F43" s="74" t="s">
        <v>1082</v>
      </c>
      <c r="G43" s="74" t="s">
        <v>111</v>
      </c>
      <c r="H43" s="74" t="s">
        <v>1015</v>
      </c>
      <c r="I43" s="74" t="s">
        <v>1014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967</v>
      </c>
      <c r="O43" s="74" t="s">
        <v>108</v>
      </c>
      <c r="P43" s="74" t="s">
        <v>1084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923</v>
      </c>
      <c r="E44" s="82" t="s">
        <v>24</v>
      </c>
      <c r="F44" s="82" t="s">
        <v>1083</v>
      </c>
      <c r="G44" s="82" t="s">
        <v>111</v>
      </c>
      <c r="H44" s="82" t="s">
        <v>1015</v>
      </c>
      <c r="I44" s="82" t="s">
        <v>1014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963</v>
      </c>
      <c r="O44" s="82" t="s">
        <v>108</v>
      </c>
      <c r="P44" s="82" t="s">
        <v>1085</v>
      </c>
      <c r="Q44" s="82" t="str">
        <f t="shared" si="6"/>
        <v>p-bdp-rlgcap-lb-bp</v>
      </c>
    </row>
    <row r="45" spans="1:17" x14ac:dyDescent="0.3">
      <c r="A45" s="90"/>
      <c r="B45" s="74" t="s">
        <v>1093</v>
      </c>
      <c r="C45" s="74" t="str" cm="1">
        <f t="array" ref="C45">UPPER(INDEX(_xlfn.TEXTSPLIT($F45, "-"), 3))</f>
        <v>SEC</v>
      </c>
      <c r="D45" s="74" t="s">
        <v>1094</v>
      </c>
      <c r="E45" s="74" t="s">
        <v>24</v>
      </c>
      <c r="F45" s="74" t="s">
        <v>1109</v>
      </c>
      <c r="G45" s="74" t="s">
        <v>111</v>
      </c>
      <c r="H45" s="74" t="s">
        <v>1015</v>
      </c>
      <c r="I45" s="74" t="s">
        <v>1014</v>
      </c>
      <c r="J45" s="74" t="s">
        <v>102</v>
      </c>
      <c r="K45" s="74" t="str">
        <f t="shared" si="5"/>
        <v>p-sec-mevrsol-lb-fe</v>
      </c>
      <c r="L45" s="74" t="s">
        <v>1110</v>
      </c>
      <c r="M45" s="74" t="s">
        <v>1104</v>
      </c>
      <c r="N45" s="74" t="s">
        <v>1105</v>
      </c>
      <c r="O45" s="74" t="s">
        <v>108</v>
      </c>
      <c r="P45" s="74" t="s">
        <v>1112</v>
      </c>
      <c r="Q45" s="74" t="str">
        <f t="shared" si="6"/>
        <v>p-sec-mevrsol-lb-bp</v>
      </c>
    </row>
    <row r="46" spans="1:17" x14ac:dyDescent="0.3">
      <c r="A46" s="90"/>
      <c r="B46" s="82" t="s">
        <v>1113</v>
      </c>
      <c r="C46" s="82" t="str" cm="1">
        <f t="array" ref="C46">UPPER(INDEX(_xlfn.TEXTSPLIT($F46, "-"), 3))</f>
        <v>CLV</v>
      </c>
      <c r="D46" s="82" t="s">
        <v>1122</v>
      </c>
      <c r="E46" s="82" t="s">
        <v>24</v>
      </c>
      <c r="F46" s="82" t="s">
        <v>1152</v>
      </c>
      <c r="G46" s="82" t="s">
        <v>111</v>
      </c>
      <c r="H46" s="82" t="s">
        <v>1015</v>
      </c>
      <c r="I46" s="82" t="s">
        <v>1117</v>
      </c>
      <c r="J46" s="82" t="s">
        <v>102</v>
      </c>
      <c r="K46" s="82" t="str">
        <f t="shared" si="5"/>
        <v>p-clv-web-lb-fe</v>
      </c>
      <c r="L46" s="82" t="s">
        <v>1114</v>
      </c>
      <c r="M46" s="82" t="s">
        <v>1115</v>
      </c>
      <c r="N46" s="82" t="s">
        <v>1135</v>
      </c>
      <c r="O46" s="82" t="s">
        <v>108</v>
      </c>
      <c r="P46" s="82" t="s">
        <v>1158</v>
      </c>
      <c r="Q46" s="82" t="str">
        <f t="shared" si="6"/>
        <v>p-clv-web-lb-bp</v>
      </c>
    </row>
    <row r="47" spans="1:17" x14ac:dyDescent="0.3">
      <c r="A47" s="90"/>
      <c r="B47" s="74" t="s">
        <v>1113</v>
      </c>
      <c r="C47" s="74" t="str" cm="1">
        <f t="array" ref="C47">UPPER(INDEX(_xlfn.TEXTSPLIT($F47, "-"), 3))</f>
        <v>CLV</v>
      </c>
      <c r="D47" s="74" t="s">
        <v>1122</v>
      </c>
      <c r="E47" s="74" t="s">
        <v>24</v>
      </c>
      <c r="F47" s="74" t="s">
        <v>1153</v>
      </c>
      <c r="G47" s="74" t="s">
        <v>111</v>
      </c>
      <c r="H47" s="74" t="s">
        <v>1015</v>
      </c>
      <c r="I47" s="74" t="s">
        <v>1117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1116</v>
      </c>
      <c r="N47" s="74" t="s">
        <v>1136</v>
      </c>
      <c r="O47" s="74" t="s">
        <v>108</v>
      </c>
      <c r="P47" s="74" t="s">
        <v>1159</v>
      </c>
      <c r="Q47" s="74" t="str">
        <f t="shared" si="6"/>
        <v>p-clv-ap-lb-bp</v>
      </c>
    </row>
    <row r="48" spans="1:17" x14ac:dyDescent="0.3">
      <c r="A48" s="90"/>
      <c r="B48" s="82" t="s">
        <v>1113</v>
      </c>
      <c r="C48" s="82" t="str" cm="1">
        <f t="array" ref="C48">UPPER(INDEX(_xlfn.TEXTSPLIT($F48, "-"), 3))</f>
        <v>CLV</v>
      </c>
      <c r="D48" s="82" t="s">
        <v>1122</v>
      </c>
      <c r="E48" s="82" t="s">
        <v>24</v>
      </c>
      <c r="F48" s="82" t="s">
        <v>1154</v>
      </c>
      <c r="G48" s="82" t="s">
        <v>111</v>
      </c>
      <c r="H48" s="82" t="s">
        <v>1015</v>
      </c>
      <c r="I48" s="82" t="s">
        <v>1117</v>
      </c>
      <c r="J48" s="82" t="s">
        <v>102</v>
      </c>
      <c r="K48" s="82" t="str">
        <f t="shared" si="5"/>
        <v>p-clv-ssrap-lb-fe</v>
      </c>
      <c r="L48" s="82" t="s">
        <v>1114</v>
      </c>
      <c r="M48" s="82" t="s">
        <v>1116</v>
      </c>
      <c r="N48" s="82" t="s">
        <v>1136</v>
      </c>
      <c r="O48" s="82" t="s">
        <v>108</v>
      </c>
      <c r="P48" s="82" t="s">
        <v>1160</v>
      </c>
      <c r="Q48" s="82" t="str">
        <f t="shared" si="6"/>
        <v>p-clv-ssrap-lb-bp</v>
      </c>
    </row>
    <row r="49" spans="1:17" x14ac:dyDescent="0.3">
      <c r="A49" s="90"/>
      <c r="B49" s="74" t="s">
        <v>1113</v>
      </c>
      <c r="C49" s="74" t="str" cm="1">
        <f t="array" ref="C49">UPPER(INDEX(_xlfn.TEXTSPLIT($F49, "-"), 3))</f>
        <v>CLV</v>
      </c>
      <c r="D49" s="74" t="s">
        <v>1122</v>
      </c>
      <c r="E49" s="74" t="s">
        <v>24</v>
      </c>
      <c r="F49" s="74" t="s">
        <v>1155</v>
      </c>
      <c r="G49" s="74" t="s">
        <v>111</v>
      </c>
      <c r="H49" s="74" t="s">
        <v>1015</v>
      </c>
      <c r="I49" s="74" t="s">
        <v>1117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1116</v>
      </c>
      <c r="N49" s="74" t="s">
        <v>1136</v>
      </c>
      <c r="O49" s="74" t="s">
        <v>108</v>
      </c>
      <c r="P49" s="74" t="s">
        <v>1161</v>
      </c>
      <c r="Q49" s="74" t="str">
        <f t="shared" si="6"/>
        <v>p-clv-admweb-lb-bp</v>
      </c>
    </row>
    <row r="50" spans="1:17" x14ac:dyDescent="0.3">
      <c r="A50" s="90"/>
      <c r="B50" s="82" t="s">
        <v>1113</v>
      </c>
      <c r="C50" s="82" t="str" cm="1">
        <f t="array" ref="C50">UPPER(INDEX(_xlfn.TEXTSPLIT($F50, "-"), 3))</f>
        <v>CLV</v>
      </c>
      <c r="D50" s="82" t="s">
        <v>1122</v>
      </c>
      <c r="E50" s="82" t="s">
        <v>24</v>
      </c>
      <c r="F50" s="82" t="s">
        <v>1156</v>
      </c>
      <c r="G50" s="82" t="s">
        <v>111</v>
      </c>
      <c r="H50" s="82" t="s">
        <v>1015</v>
      </c>
      <c r="I50" s="82" t="s">
        <v>1117</v>
      </c>
      <c r="J50" s="82" t="s">
        <v>102</v>
      </c>
      <c r="K50" s="82" t="str">
        <f t="shared" si="5"/>
        <v>p-clv-admap-lb-fe</v>
      </c>
      <c r="L50" s="82" t="s">
        <v>1114</v>
      </c>
      <c r="M50" s="82" t="s">
        <v>1116</v>
      </c>
      <c r="N50" s="82" t="s">
        <v>1136</v>
      </c>
      <c r="O50" s="82" t="s">
        <v>108</v>
      </c>
      <c r="P50" s="82" t="s">
        <v>1162</v>
      </c>
      <c r="Q50" s="82" t="str">
        <f t="shared" si="6"/>
        <v>p-clv-admap-lb-bp</v>
      </c>
    </row>
    <row r="51" spans="1:17" x14ac:dyDescent="0.3">
      <c r="A51" s="90"/>
      <c r="B51" s="74" t="s">
        <v>23</v>
      </c>
      <c r="C51" s="74" t="str" cm="1">
        <f t="array" ref="C51">UPPER(INDEX(_xlfn.TEXTSPLIT($F51, "-"), 3))</f>
        <v>GA</v>
      </c>
      <c r="D51" s="74" t="s">
        <v>1164</v>
      </c>
      <c r="E51" s="74" t="s">
        <v>24</v>
      </c>
      <c r="F51" s="74" t="s">
        <v>1188</v>
      </c>
      <c r="G51" s="74" t="s">
        <v>111</v>
      </c>
      <c r="H51" s="74" t="s">
        <v>1015</v>
      </c>
      <c r="I51" s="74" t="s">
        <v>1117</v>
      </c>
      <c r="J51" s="74" t="s">
        <v>102</v>
      </c>
      <c r="K51" s="74" t="str">
        <f t="shared" si="5"/>
        <v>p-ga-oweb-lb-fe</v>
      </c>
      <c r="L51" s="74" t="s">
        <v>317</v>
      </c>
      <c r="M51" s="74" t="s">
        <v>345</v>
      </c>
      <c r="N51" s="74" t="s">
        <v>1179</v>
      </c>
      <c r="O51" s="74" t="s">
        <v>108</v>
      </c>
      <c r="P51" s="74" t="s">
        <v>1190</v>
      </c>
      <c r="Q51" s="74" t="str">
        <f t="shared" si="6"/>
        <v>p-ga-oweb-lb-bp</v>
      </c>
    </row>
    <row r="52" spans="1:17" x14ac:dyDescent="0.3">
      <c r="A52" s="90"/>
      <c r="B52" s="82" t="s">
        <v>23</v>
      </c>
      <c r="C52" s="82" t="str" cm="1">
        <f t="array" ref="C52">UPPER(INDEX(_xlfn.TEXTSPLIT($F52, "-"), 3))</f>
        <v>GA</v>
      </c>
      <c r="D52" s="82" t="s">
        <v>1164</v>
      </c>
      <c r="E52" s="82" t="s">
        <v>24</v>
      </c>
      <c r="F52" s="82" t="s">
        <v>1189</v>
      </c>
      <c r="G52" s="82" t="s">
        <v>111</v>
      </c>
      <c r="H52" s="82" t="s">
        <v>1015</v>
      </c>
      <c r="I52" s="82" t="s">
        <v>1117</v>
      </c>
      <c r="J52" s="82" t="s">
        <v>102</v>
      </c>
      <c r="K52" s="82" t="str">
        <f t="shared" si="5"/>
        <v>p-ga-oap-lb-fe</v>
      </c>
      <c r="L52" s="82" t="s">
        <v>317</v>
      </c>
      <c r="M52" s="82" t="s">
        <v>338</v>
      </c>
      <c r="N52" s="82" t="s">
        <v>1180</v>
      </c>
      <c r="O52" s="82" t="s">
        <v>108</v>
      </c>
      <c r="P52" s="82" t="s">
        <v>1191</v>
      </c>
      <c r="Q52" s="82" t="str">
        <f t="shared" si="6"/>
        <v>p-ga-oap-lb-bp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E74" sqref="E74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982</v>
      </c>
      <c r="I54" s="102"/>
      <c r="J54" s="102">
        <v>5</v>
      </c>
      <c r="K54" s="102">
        <v>2</v>
      </c>
    </row>
    <row r="55" spans="1:11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3"/>
        <v>p-cs-chtweb-lb-pb?</v>
      </c>
      <c r="G55" s="102" t="s">
        <v>57</v>
      </c>
      <c r="H55" s="102" t="s">
        <v>982</v>
      </c>
      <c r="I55" s="102"/>
      <c r="J55" s="102">
        <v>5</v>
      </c>
      <c r="K55" s="102">
        <v>2</v>
      </c>
    </row>
    <row r="56" spans="1:11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3"/>
        <v>p-cs-chtintweb-lb-pb?</v>
      </c>
      <c r="G56" s="102" t="s">
        <v>57</v>
      </c>
      <c r="H56" s="102" t="s">
        <v>982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1023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1023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1111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1111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1111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1111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1111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1111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1122</v>
      </c>
      <c r="E73" s="82" t="s">
        <v>1152</v>
      </c>
      <c r="F73" s="82" t="str">
        <f t="shared" si="15"/>
        <v>p-clv-web-lb-pb443</v>
      </c>
      <c r="G73" s="82" t="s">
        <v>1121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1122</v>
      </c>
      <c r="E74" s="74" t="s">
        <v>1153</v>
      </c>
      <c r="F74" s="74" t="str">
        <f t="shared" si="15"/>
        <v>p-clv-ap-lb-pb8080</v>
      </c>
      <c r="G74" s="74" t="s">
        <v>1121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1122</v>
      </c>
      <c r="E75" s="82" t="s">
        <v>1154</v>
      </c>
      <c r="F75" s="82" t="str">
        <f t="shared" si="15"/>
        <v>p-clv-ssrap-lb-pb8080</v>
      </c>
      <c r="G75" s="82" t="s">
        <v>1121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1122</v>
      </c>
      <c r="E76" s="74" t="s">
        <v>1155</v>
      </c>
      <c r="F76" s="74" t="str">
        <f t="shared" si="15"/>
        <v>p-clv-admweb-lb-pb443</v>
      </c>
      <c r="G76" s="74" t="s">
        <v>1121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1122</v>
      </c>
      <c r="E77" s="82" t="s">
        <v>1156</v>
      </c>
      <c r="F77" s="82" t="str">
        <f t="shared" si="15"/>
        <v>p-clv-admap-lb-pb8080</v>
      </c>
      <c r="G77" s="82" t="s">
        <v>1121</v>
      </c>
      <c r="H77" s="82">
        <v>8080</v>
      </c>
      <c r="I77" s="82"/>
      <c r="J77" s="82">
        <v>5</v>
      </c>
      <c r="K77" s="82">
        <v>2</v>
      </c>
    </row>
    <row r="78" spans="1:11" x14ac:dyDescent="0.3">
      <c r="A78" s="90"/>
      <c r="B78" s="74" t="s">
        <v>23</v>
      </c>
      <c r="C78" s="74" t="str" cm="1">
        <f t="array" ref="C78">UPPER(INDEX(_xlfn.TEXTSPLIT($D78, "-"), 3))</f>
        <v>GA</v>
      </c>
      <c r="D78" s="74" t="s">
        <v>1164</v>
      </c>
      <c r="E78" s="74" t="s">
        <v>1188</v>
      </c>
      <c r="F78" s="74" t="str">
        <f t="shared" si="15"/>
        <v>p-ga-oweb-lb-pb443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A79" s="90"/>
      <c r="B79" s="82" t="s">
        <v>23</v>
      </c>
      <c r="C79" s="82" t="str" cm="1">
        <f t="array" ref="C79">UPPER(INDEX(_xlfn.TEXTSPLIT($D79, "-"), 3))</f>
        <v>GA</v>
      </c>
      <c r="D79" s="82" t="s">
        <v>1164</v>
      </c>
      <c r="E79" s="82" t="s">
        <v>1189</v>
      </c>
      <c r="F79" s="82" t="str">
        <f t="shared" ref="F79:F87" si="16">SUBSTITUTE(E79, "hazr-", "")&amp;"-pb"&amp;H79</f>
        <v>p-ga-oap-lb-pb8080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1:11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1:11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1:11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1:11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1:11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1:11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B64" workbookViewId="0">
      <selection activeCell="E75" sqref="E75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982</v>
      </c>
      <c r="J54" s="102" t="b">
        <v>0</v>
      </c>
      <c r="K54" s="102" t="str">
        <f t="shared" si="17"/>
        <v>p-cs-chtap-lb-bp</v>
      </c>
      <c r="L54" s="102" t="s">
        <v>982</v>
      </c>
      <c r="M54" s="102" t="str">
        <f t="shared" si="11"/>
        <v>p-cs-chtap-lb-pb?</v>
      </c>
      <c r="N54" s="102" t="s">
        <v>57</v>
      </c>
      <c r="O54" s="102" t="s">
        <v>982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982</v>
      </c>
      <c r="J55" s="102" t="b">
        <v>0</v>
      </c>
      <c r="K55" s="102" t="str">
        <f t="shared" si="17"/>
        <v>p-cs-chtweb-lb-bp</v>
      </c>
      <c r="L55" s="102" t="s">
        <v>982</v>
      </c>
      <c r="M55" s="102" t="str">
        <f t="shared" si="11"/>
        <v>p-cs-chtweb-lb-pb?</v>
      </c>
      <c r="N55" s="102" t="s">
        <v>57</v>
      </c>
      <c r="O55" s="102" t="s">
        <v>982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982</v>
      </c>
      <c r="J56" s="102" t="b">
        <v>0</v>
      </c>
      <c r="K56" s="102" t="str">
        <f t="shared" si="17"/>
        <v>p-cs-chtintweb-lb-bp</v>
      </c>
      <c r="L56" s="102" t="s">
        <v>982</v>
      </c>
      <c r="M56" s="102" t="str">
        <f t="shared" si="11"/>
        <v>p-cs-chtintweb-lb-pb?</v>
      </c>
      <c r="N56" s="102" t="s">
        <v>57</v>
      </c>
      <c r="O56" s="102" t="s">
        <v>982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1025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1025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1108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1108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1108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1108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1108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1108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1122</v>
      </c>
      <c r="E73" s="82" t="s">
        <v>1152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1122</v>
      </c>
      <c r="E74" s="74" t="s">
        <v>1153</v>
      </c>
      <c r="F74" s="74" t="str">
        <f>SUBSTITUTE(E74, "hazr-", "")&amp;"-rule"&amp;O74</f>
        <v>p-clv-ap-lb-rule8080</v>
      </c>
      <c r="G74" s="74" t="str">
        <f t="shared" si="35"/>
        <v>p-clv-ap-lb-fe</v>
      </c>
      <c r="H74" s="74" t="s">
        <v>57</v>
      </c>
      <c r="I74" s="74">
        <v>8080</v>
      </c>
      <c r="J74" s="74" t="b">
        <v>0</v>
      </c>
      <c r="K74" s="74" t="str">
        <f t="shared" si="36"/>
        <v>p-clv-ap-lb-bp</v>
      </c>
      <c r="L74" s="74">
        <v>8080</v>
      </c>
      <c r="M74" s="74" t="str">
        <f t="shared" si="37"/>
        <v>p-clv-ap-lb-pb8080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1122</v>
      </c>
      <c r="E75" s="82" t="s">
        <v>1154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1122</v>
      </c>
      <c r="E76" s="74" t="s">
        <v>1155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1122</v>
      </c>
      <c r="E77" s="82" t="s">
        <v>1156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A78" s="90"/>
      <c r="B78" s="74" t="s">
        <v>23</v>
      </c>
      <c r="C78" s="74" t="str" cm="1">
        <f t="array" ref="C78">UPPER(INDEX(_xlfn.TEXTSPLIT($D78, "-"), 3))</f>
        <v>GA</v>
      </c>
      <c r="D78" s="74" t="s">
        <v>1164</v>
      </c>
      <c r="E78" s="74" t="s">
        <v>1188</v>
      </c>
      <c r="F78" s="74" t="str">
        <f t="shared" si="34"/>
        <v>p-ga-oweb-lb-rule443</v>
      </c>
      <c r="G78" s="74" t="str">
        <f t="shared" ref="G78:G87" si="38">SUBSTITUTE(E78, "hazr-", "")&amp;"-fe"</f>
        <v>p-ga-oweb-lb-fe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p-ga-oweb-lb-bp</v>
      </c>
      <c r="L78" s="74">
        <v>443</v>
      </c>
      <c r="M78" s="74" t="str">
        <f t="shared" ref="M78:M87" si="40">SUBSTITUTE(E78, "hazr-", "")&amp;"-pb"&amp;IF(O78="", "", O78)</f>
        <v>p-ga-oweb-lb-pb443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A79" s="90"/>
      <c r="B79" s="82" t="s">
        <v>23</v>
      </c>
      <c r="C79" s="82" t="str" cm="1">
        <f t="array" ref="C79">UPPER(INDEX(_xlfn.TEXTSPLIT($D79, "-"), 3))</f>
        <v>GA</v>
      </c>
      <c r="D79" s="82" t="s">
        <v>1164</v>
      </c>
      <c r="E79" s="82" t="s">
        <v>1189</v>
      </c>
      <c r="F79" s="82" t="str">
        <f t="shared" si="34"/>
        <v>p-ga-oap-lb-rule8080</v>
      </c>
      <c r="G79" s="82" t="str">
        <f t="shared" si="38"/>
        <v>p-ga-oap-lb-fe</v>
      </c>
      <c r="H79" s="82" t="s">
        <v>57</v>
      </c>
      <c r="I79" s="82">
        <v>8080</v>
      </c>
      <c r="J79" s="82" t="b">
        <v>0</v>
      </c>
      <c r="K79" s="82" t="str">
        <f t="shared" si="39"/>
        <v>p-ga-oap-lb-bp</v>
      </c>
      <c r="L79" s="82">
        <v>8080</v>
      </c>
      <c r="M79" s="82" t="str">
        <f t="shared" si="40"/>
        <v>p-ga-oap-lb-pb8080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1:19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1:19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1:19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1:19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1:19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1:19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1:19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2026-10-15T06:32:39Z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