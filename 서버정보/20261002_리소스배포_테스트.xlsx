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CA8F2944-80E3-4225-AFB0-FA7C25158BD9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LB_Probe!$B$1:$K$55</definedName>
    <definedName name="_xlnm._FilterDatabase" localSheetId="9" hidden="1">LB_Rule!$A$1:$R$55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2" l="1"/>
  <c r="C72" i="2" s="1" a="1"/>
  <c r="C72" i="2" s="1"/>
  <c r="E71" i="2"/>
  <c r="C71" i="2" s="1" a="1"/>
  <c r="C71" i="2" s="1"/>
  <c r="E70" i="2"/>
  <c r="C70" i="2" s="1" a="1"/>
  <c r="C70" i="2" s="1"/>
  <c r="E69" i="2"/>
  <c r="C69" i="2" s="1" a="1"/>
  <c r="C69" i="2" s="1"/>
  <c r="E85" i="2"/>
  <c r="E86" i="2"/>
  <c r="C86" i="2" s="1" a="1"/>
  <c r="C86" i="2" s="1"/>
  <c r="E87" i="2"/>
  <c r="C87" i="2" s="1" a="1"/>
  <c r="C87" i="2" s="1"/>
  <c r="E88" i="2"/>
  <c r="E89" i="2"/>
  <c r="C61" i="2" a="1"/>
  <c r="C61" i="2" s="1"/>
  <c r="E80" i="2"/>
  <c r="E81" i="2"/>
  <c r="E82" i="2"/>
  <c r="E83" i="2"/>
  <c r="E84" i="2"/>
  <c r="C85" i="2" a="1"/>
  <c r="C85" i="2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E71" i="11"/>
  <c r="F71" i="11"/>
  <c r="J71" i="11"/>
  <c r="L71" i="11"/>
  <c r="E72" i="11"/>
  <c r="F72" i="11"/>
  <c r="J72" i="11"/>
  <c r="L72" i="11"/>
  <c r="E73" i="11"/>
  <c r="F73" i="11"/>
  <c r="J73" i="11"/>
  <c r="L73" i="11"/>
  <c r="E74" i="11"/>
  <c r="F74" i="11"/>
  <c r="J74" i="11"/>
  <c r="L74" i="11"/>
  <c r="E75" i="11"/>
  <c r="F75" i="11"/>
  <c r="J75" i="11"/>
  <c r="L75" i="11"/>
  <c r="L60" i="11"/>
  <c r="L61" i="11"/>
  <c r="L62" i="11"/>
  <c r="L63" i="11"/>
  <c r="L64" i="11"/>
  <c r="L65" i="11"/>
  <c r="J60" i="11"/>
  <c r="J61" i="11"/>
  <c r="J62" i="11"/>
  <c r="J63" i="11"/>
  <c r="J64" i="11"/>
  <c r="J65" i="11"/>
  <c r="B60" i="11" a="1"/>
  <c r="B60" i="11" s="1"/>
  <c r="E60" i="11"/>
  <c r="F60" i="11"/>
  <c r="B61" i="11" a="1"/>
  <c r="B61" i="11" s="1"/>
  <c r="E61" i="11"/>
  <c r="F61" i="11"/>
  <c r="B62" i="11" a="1"/>
  <c r="B62" i="11" s="1"/>
  <c r="E62" i="11"/>
  <c r="F62" i="11"/>
  <c r="B63" i="11" a="1"/>
  <c r="B63" i="11" s="1"/>
  <c r="E63" i="11"/>
  <c r="F63" i="11"/>
  <c r="B64" i="11" a="1"/>
  <c r="B64" i="11" s="1"/>
  <c r="E64" i="11"/>
  <c r="F64" i="11"/>
  <c r="B65" i="11" a="1"/>
  <c r="B65" i="11" s="1"/>
  <c r="E65" i="11"/>
  <c r="F65" i="1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F75" i="10"/>
  <c r="F74" i="10"/>
  <c r="F73" i="10"/>
  <c r="F72" i="10"/>
  <c r="F71" i="10"/>
  <c r="C60" i="10" a="1"/>
  <c r="C60" i="10"/>
  <c r="F60" i="10"/>
  <c r="C61" i="10" a="1"/>
  <c r="C61" i="10" s="1"/>
  <c r="F61" i="10"/>
  <c r="C62" i="10" a="1"/>
  <c r="C62" i="10"/>
  <c r="F62" i="10"/>
  <c r="C63" i="10" a="1"/>
  <c r="C63" i="10" s="1"/>
  <c r="F63" i="10"/>
  <c r="C64" i="10" a="1"/>
  <c r="C64" i="10"/>
  <c r="F64" i="10"/>
  <c r="C65" i="10" a="1"/>
  <c r="C65" i="10" s="1"/>
  <c r="F65" i="10"/>
  <c r="F59" i="10"/>
  <c r="F58" i="10"/>
  <c r="Q47" i="6"/>
  <c r="Q48" i="6"/>
  <c r="Q49" i="6"/>
  <c r="Q50" i="6"/>
  <c r="C50" i="6" a="1"/>
  <c r="C50" i="6" s="1"/>
  <c r="K50" i="6"/>
  <c r="C49" i="6" a="1"/>
  <c r="C49" i="6" s="1"/>
  <c r="K49" i="6"/>
  <c r="C48" i="6" a="1"/>
  <c r="C48" i="6" s="1"/>
  <c r="K48" i="6"/>
  <c r="C47" i="6" a="1"/>
  <c r="C47" i="6" s="1"/>
  <c r="K47" i="6"/>
  <c r="C46" i="6" a="1"/>
  <c r="C46" i="6" s="1"/>
  <c r="K46" i="6"/>
  <c r="Q46" i="6"/>
  <c r="C89" i="2" a="1"/>
  <c r="C89" i="2" s="1"/>
  <c r="C88" i="2" a="1"/>
  <c r="C88" i="2" s="1"/>
  <c r="K85" i="2"/>
  <c r="K86" i="2"/>
  <c r="K87" i="2"/>
  <c r="K88" i="2"/>
  <c r="K89" i="2"/>
  <c r="J63" i="14"/>
  <c r="J64" i="14"/>
  <c r="J65" i="14"/>
  <c r="J66" i="14"/>
  <c r="J67" i="14"/>
  <c r="G63" i="14"/>
  <c r="G64" i="14"/>
  <c r="G65" i="14"/>
  <c r="G66" i="14"/>
  <c r="G67" i="14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3" i="1" l="1" a="1"/>
  <c r="C63" i="1" s="1"/>
  <c r="C64" i="1" a="1"/>
  <c r="C64" i="1" s="1"/>
  <c r="C65" i="1" a="1"/>
  <c r="C65" i="1" s="1"/>
  <c r="C66" i="1" a="1"/>
  <c r="C66" i="1" s="1"/>
  <c r="C67" i="1" a="1"/>
  <c r="C67" i="1" s="1"/>
  <c r="O63" i="1"/>
  <c r="O64" i="1"/>
  <c r="O65" i="1"/>
  <c r="O66" i="1"/>
  <c r="O67" i="1"/>
  <c r="U63" i="1"/>
  <c r="U64" i="1"/>
  <c r="U65" i="1"/>
  <c r="U66" i="1"/>
  <c r="U67" i="1"/>
  <c r="J66" i="11"/>
  <c r="L66" i="11"/>
  <c r="J67" i="11"/>
  <c r="L67" i="11"/>
  <c r="J68" i="11"/>
  <c r="L68" i="11"/>
  <c r="J69" i="11"/>
  <c r="L69" i="11"/>
  <c r="J70" i="11"/>
  <c r="L70" i="11"/>
  <c r="F66" i="11"/>
  <c r="F67" i="11"/>
  <c r="F68" i="11"/>
  <c r="F69" i="11"/>
  <c r="F70" i="11"/>
  <c r="E66" i="11"/>
  <c r="E67" i="11"/>
  <c r="E68" i="11"/>
  <c r="E69" i="11"/>
  <c r="E70" i="11"/>
  <c r="B69" i="11" a="1"/>
  <c r="B69" i="11" s="1"/>
  <c r="B70" i="11" a="1"/>
  <c r="B70" i="11" s="1"/>
  <c r="B68" i="11" a="1"/>
  <c r="B68" i="11" s="1"/>
  <c r="B67" i="11" a="1"/>
  <c r="B67" i="11" s="1"/>
  <c r="B66" i="11" a="1"/>
  <c r="B66" i="11" s="1"/>
  <c r="F66" i="10"/>
  <c r="F67" i="10"/>
  <c r="F68" i="10"/>
  <c r="F69" i="10"/>
  <c r="F70" i="10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Q42" i="6"/>
  <c r="Q43" i="6"/>
  <c r="Q44" i="6"/>
  <c r="Q45" i="6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K80" i="2"/>
  <c r="K81" i="2"/>
  <c r="K82" i="2"/>
  <c r="K83" i="2"/>
  <c r="K84" i="2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J58" i="14"/>
  <c r="J59" i="14"/>
  <c r="J60" i="14"/>
  <c r="J61" i="14"/>
  <c r="J62" i="14"/>
  <c r="G58" i="14"/>
  <c r="G59" i="14"/>
  <c r="G60" i="14"/>
  <c r="G61" i="14"/>
  <c r="G62" i="14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K45" i="6"/>
  <c r="K44" i="6"/>
  <c r="K43" i="6"/>
  <c r="K42" i="6"/>
  <c r="K41" i="6"/>
  <c r="Q41" i="6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O58" i="1"/>
  <c r="O59" i="1"/>
  <c r="O60" i="1"/>
  <c r="O61" i="1"/>
  <c r="O62" i="1"/>
  <c r="U58" i="1"/>
  <c r="U59" i="1"/>
  <c r="U60" i="1"/>
  <c r="U61" i="1"/>
  <c r="U62" i="1"/>
  <c r="L28" i="11" l="1"/>
  <c r="J28" i="11"/>
  <c r="F28" i="11"/>
  <c r="E28" i="11"/>
  <c r="B28" i="11" a="1"/>
  <c r="B28" i="11" s="1"/>
  <c r="F28" i="10"/>
  <c r="C28" i="10" a="1"/>
  <c r="C28" i="10" s="1"/>
  <c r="E58" i="11"/>
  <c r="F58" i="11"/>
  <c r="J58" i="11"/>
  <c r="L58" i="11"/>
  <c r="E59" i="11"/>
  <c r="F59" i="11"/>
  <c r="J59" i="11"/>
  <c r="L59" i="11"/>
  <c r="B58" i="11" a="1"/>
  <c r="B58" i="11" s="1"/>
  <c r="B59" i="11" a="1"/>
  <c r="B59" i="11" s="1"/>
  <c r="C59" i="10" a="1"/>
  <c r="C59" i="10" s="1"/>
  <c r="C58" i="10" a="1"/>
  <c r="C58" i="10" s="1"/>
  <c r="K39" i="6"/>
  <c r="Q39" i="6"/>
  <c r="K40" i="6"/>
  <c r="Q40" i="6"/>
  <c r="C40" i="6" a="1"/>
  <c r="C40" i="6" s="1"/>
  <c r="C39" i="6" a="1"/>
  <c r="C39" i="6" s="1"/>
  <c r="K78" i="2"/>
  <c r="K79" i="2"/>
  <c r="E78" i="2"/>
  <c r="C78" i="2" s="1" a="1"/>
  <c r="C78" i="2" s="1"/>
  <c r="E79" i="2"/>
  <c r="C79" i="2" s="1" a="1"/>
  <c r="C79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7" i="2"/>
  <c r="E77" i="2"/>
  <c r="C77" i="2" s="1" a="1"/>
  <c r="C77" i="2" s="1"/>
  <c r="C55" i="14" a="1"/>
  <c r="C55" i="14" s="1"/>
  <c r="C51" i="14" a="1"/>
  <c r="C51" i="14" s="1"/>
  <c r="G55" i="14"/>
  <c r="J55" i="14"/>
  <c r="O55" i="1" l="1"/>
  <c r="U55" i="1"/>
  <c r="L57" i="11"/>
  <c r="J57" i="11"/>
  <c r="F57" i="11"/>
  <c r="E57" i="11"/>
  <c r="B57" i="11" a="1"/>
  <c r="B57" i="11" s="1"/>
  <c r="L56" i="11"/>
  <c r="J56" i="11"/>
  <c r="F56" i="11"/>
  <c r="E56" i="11"/>
  <c r="B56" i="11" a="1"/>
  <c r="B56" i="11" s="1"/>
  <c r="F57" i="10"/>
  <c r="C57" i="10" a="1"/>
  <c r="C57" i="10" s="1"/>
  <c r="F56" i="10"/>
  <c r="C56" i="10" a="1"/>
  <c r="C56" i="10" s="1"/>
  <c r="Q38" i="6"/>
  <c r="K38" i="6"/>
  <c r="C38" i="6" a="1"/>
  <c r="C38" i="6" s="1"/>
  <c r="E76" i="2"/>
  <c r="C76" i="2" s="1" a="1"/>
  <c r="C76" i="2" s="1"/>
  <c r="K76" i="2"/>
  <c r="K75" i="2"/>
  <c r="G54" i="14"/>
  <c r="J54" i="14"/>
  <c r="O54" i="1"/>
  <c r="U54" i="1"/>
  <c r="K74" i="2"/>
  <c r="E74" i="2"/>
  <c r="C74" i="2" s="1" a="1"/>
  <c r="C74" i="2" s="1"/>
  <c r="E75" i="2"/>
  <c r="C75" i="2" s="1" a="1"/>
  <c r="C75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73" i="2"/>
  <c r="E73" i="2"/>
  <c r="C73" i="2" s="1" a="1"/>
  <c r="C73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8" i="11"/>
  <c r="E49" i="11"/>
  <c r="E50" i="11"/>
  <c r="E51" i="11"/>
  <c r="E52" i="11"/>
  <c r="E53" i="11"/>
  <c r="E54" i="11"/>
  <c r="E55" i="11"/>
  <c r="E2" i="1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8" i="11"/>
  <c r="L49" i="11"/>
  <c r="L50" i="11"/>
  <c r="L51" i="11"/>
  <c r="L52" i="11"/>
  <c r="L53" i="11"/>
  <c r="L54" i="11"/>
  <c r="L55" i="11"/>
  <c r="L2" i="11"/>
  <c r="F45" i="11"/>
  <c r="F46" i="11"/>
  <c r="F47" i="11"/>
  <c r="F48" i="11"/>
  <c r="F49" i="11"/>
  <c r="F50" i="11"/>
  <c r="F51" i="11"/>
  <c r="F52" i="11"/>
  <c r="F53" i="11"/>
  <c r="F54" i="11"/>
  <c r="F55" i="11"/>
  <c r="J45" i="11"/>
  <c r="J46" i="11"/>
  <c r="J47" i="11"/>
  <c r="J48" i="11"/>
  <c r="J49" i="11"/>
  <c r="J50" i="11"/>
  <c r="J51" i="11"/>
  <c r="J52" i="11"/>
  <c r="J53" i="11"/>
  <c r="J54" i="11"/>
  <c r="J55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C49" i="10" a="1"/>
  <c r="C49" i="10" s="1"/>
  <c r="F49" i="10"/>
  <c r="C50" i="10" a="1"/>
  <c r="C50" i="10" s="1"/>
  <c r="F50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4" i="10"/>
  <c r="C34" i="10" a="1"/>
  <c r="C34" i="10" s="1"/>
  <c r="F30" i="10"/>
  <c r="C30" i="10" a="1"/>
  <c r="C30" i="10" s="1"/>
  <c r="F48" i="10"/>
  <c r="F54" i="10"/>
  <c r="F55" i="10"/>
  <c r="F51" i="10"/>
  <c r="F52" i="10"/>
  <c r="F26" i="10"/>
  <c r="F25" i="10"/>
  <c r="F7" i="10"/>
  <c r="F9" i="10"/>
  <c r="F23" i="10"/>
  <c r="F12" i="10"/>
  <c r="F13" i="10"/>
  <c r="F14" i="10"/>
  <c r="F15" i="10"/>
  <c r="F20" i="10"/>
  <c r="F6" i="10"/>
  <c r="F31" i="10"/>
  <c r="F32" i="10"/>
  <c r="F39" i="10"/>
  <c r="F40" i="10"/>
  <c r="F41" i="10"/>
  <c r="F42" i="10"/>
  <c r="F44" i="10"/>
  <c r="F37" i="10"/>
  <c r="F35" i="10"/>
  <c r="F36" i="10"/>
  <c r="F43" i="10"/>
  <c r="F45" i="10"/>
  <c r="F53" i="10"/>
  <c r="F11" i="10"/>
  <c r="F2" i="10"/>
  <c r="F4" i="10"/>
  <c r="F33" i="10"/>
  <c r="F29" i="10"/>
  <c r="F38" i="10"/>
  <c r="F47" i="10"/>
  <c r="C42" i="10" a="1"/>
  <c r="C42" i="10" s="1"/>
  <c r="C41" i="10" a="1"/>
  <c r="C41" i="10" s="1"/>
  <c r="F46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C62" i="2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30" i="11" a="1"/>
  <c r="B30" i="11" s="1"/>
  <c r="B29" i="11" a="1"/>
  <c r="B29" i="11" s="1"/>
  <c r="B16" i="11" a="1"/>
  <c r="B16" i="11" s="1"/>
  <c r="B15" i="11" a="1"/>
  <c r="B15" i="11" s="1"/>
  <c r="B14" i="11" a="1"/>
  <c r="B14" i="11" s="1"/>
  <c r="B41" i="11" a="1"/>
  <c r="B41" i="11" s="1"/>
  <c r="B39" i="11" a="1"/>
  <c r="B39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4" i="11" a="1"/>
  <c r="B44" i="11" s="1"/>
  <c r="B43" i="11" a="1"/>
  <c r="B43" i="11" s="1"/>
  <c r="B42" i="11" a="1"/>
  <c r="B42" i="11" s="1"/>
  <c r="B36" i="11" a="1"/>
  <c r="B36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40" i="11" a="1"/>
  <c r="B40" i="11" s="1"/>
  <c r="B38" i="11" a="1"/>
  <c r="B38" i="11" s="1"/>
  <c r="B37" i="11" a="1"/>
  <c r="B37" i="11" s="1"/>
  <c r="C48" i="10" a="1"/>
  <c r="C48" i="10" s="1"/>
  <c r="C54" i="10" a="1"/>
  <c r="C54" i="10" s="1"/>
  <c r="C55" i="10" a="1"/>
  <c r="C55" i="10" s="1"/>
  <c r="C51" i="10" a="1"/>
  <c r="C51" i="10" s="1"/>
  <c r="C52" i="10" a="1"/>
  <c r="C52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1" i="10" a="1"/>
  <c r="C31" i="10" s="1"/>
  <c r="C32" i="10" a="1"/>
  <c r="C32" i="10" s="1"/>
  <c r="C39" i="10" a="1"/>
  <c r="C39" i="10" s="1"/>
  <c r="C40" i="10" a="1"/>
  <c r="C40" i="10" s="1"/>
  <c r="C44" i="10" a="1"/>
  <c r="C44" i="10" s="1"/>
  <c r="C37" i="10" a="1"/>
  <c r="C37" i="10" s="1"/>
  <c r="C35" i="10" a="1"/>
  <c r="C35" i="10" s="1"/>
  <c r="C36" i="10" a="1"/>
  <c r="C36" i="10" s="1"/>
  <c r="C43" i="10" a="1"/>
  <c r="C43" i="10" s="1"/>
  <c r="C53" i="10" a="1"/>
  <c r="C53" i="10" s="1"/>
  <c r="C11" i="10" a="1"/>
  <c r="C11" i="10" s="1"/>
  <c r="C2" i="10" a="1"/>
  <c r="C2" i="10" s="1"/>
  <c r="C4" i="10" a="1"/>
  <c r="C4" i="10" s="1"/>
  <c r="C33" i="10" a="1"/>
  <c r="C33" i="10" s="1"/>
  <c r="C29" i="10" a="1"/>
  <c r="C29" i="10" s="1"/>
  <c r="C38" i="10" a="1"/>
  <c r="C38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<sst xmlns="http://schemas.openxmlformats.org/spreadsheetml/2006/main" count="4570" uniqueCount="639">
  <si>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</si>
  <si>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</si>
  <si>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</si>
  <si>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</si>
  <si>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</si>
  <si>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</si>
  <si>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</si>
  <si>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</si>
  <si>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</si>
  <si>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</si>
  <si>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</si>
  <si>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</si>
  <si>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</si>
  <si>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</si>
  <si>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</si>
  <si>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</si>
  <si>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</si>
  <si>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</si>
  <si>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</si>
  <si>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</si>
  <si>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</si>
  <si>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</si>
  <si>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</si>
  <si>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</si>
  <si>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</si>
  <si>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</si>
  <si>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</si>
  <si>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</si>
  <si>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</si>
  <si>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</si>
  <si>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</si>
  <si>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</si>
  <si>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</si>
  <si>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</si>
  <si>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</si>
  <si>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</si>
  <si>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</si>
  <si>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</si>
  <si>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</si>
  <si>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</si>
  <si>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</si>
  <si>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</si>
  <si>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</si>
  <si>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</si>
  <si>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</si>
  <si>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</si>
  <si>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</si>
  <si>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</si>
  <si>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</si>
  <si>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</si>
  <si>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</si>
  <si>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</si>
  <si>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</si>
  <si>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</si>
  <si>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</si>
  <si>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</si>
  <si>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</si>
  <si>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</si>
  <si>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</si>
  <si>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</si>
  <si>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</si>
  <si>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</si>
  <si>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</si>
  <si>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</si>
  <si>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</si>
  <si>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</si>
  <si>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</si>
  <si>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</si>
  <si>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</si>
  <si>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</si>
  <si>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</si>
  <si>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</si>
  <si>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</si>
  <si>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</si>
  <si>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</si>
  <si>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</si>
  <si>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</si>
  <si>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</si>
  <si>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</si>
  <si>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</si>
  <si>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</si>
  <si>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</si>
  <si>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</si>
  <si>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</si>
  <si>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</si>
  <si>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</si>
  <si>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</si>
  <si>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</si>
  <si>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</si>
  <si>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</si>
  <si>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</si>
  <si>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</si>
  <si>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</si>
  <si>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</si>
  <si>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</si>
  <si>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</si>
  <si>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</si>
  <si>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</si>
  <si>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</si>
  <si>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</si>
  <si>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</si>
  <si>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</si>
  <si>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</si>
  <si>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</si>
  <si>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</si>
  <si>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</si>
  <si>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</si>
  <si>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</si>
  <si>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</si>
  <si>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</si>
  <si>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</si>
  <si>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</si>
  <si>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</si>
  <si>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</si>
  <si>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</si>
  <si>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</si>
  <si>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</si>
  <si>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</si>
  <si>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</si>
  <si>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</si>
  <si>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</si>
  <si>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</si>
  <si>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</si>
  <si>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</si>
  <si>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</si>
  <si>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</si>
  <si>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</si>
  <si>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</si>
  <si>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</si>
  <si>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</si>
  <si>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</si>
  <si>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</si>
  <si>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</si>
  <si>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</si>
  <si>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</si>
  <si>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</si>
  <si>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</si>
  <si>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</si>
  <si>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</si>
  <si>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</si>
  <si>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</si>
  <si>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</si>
  <si>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</si>
  <si>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</si>
  <si>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</si>
  <si>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</si>
  <si>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</si>
  <si>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</si>
  <si>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</si>
  <si>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</si>
  <si>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</si>
  <si>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</si>
  <si>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</si>
  <si>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</si>
  <si>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</si>
  <si>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</si>
  <si>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</si>
  <si>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</si>
  <si>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</si>
  <si>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</si>
  <si>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</si>
  <si>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</si>
  <si>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</si>
  <si>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</si>
  <si>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</si>
  <si>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</si>
  <si>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</si>
  <si>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</si>
  <si>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</si>
  <si>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</si>
  <si>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</si>
  <si>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</si>
  <si>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</si>
  <si>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</si>
  <si>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</si>
  <si>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</si>
  <si>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</si>
  <si>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</si>
  <si>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</si>
  <si>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</si>
  <si>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</si>
  <si>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</si>
  <si>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</si>
  <si>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</si>
  <si>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</si>
  <si>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</si>
  <si>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</si>
  <si>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</si>
  <si>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</si>
  <si>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</si>
  <si>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</si>
  <si>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</si>
  <si>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</si>
  <si>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</si>
  <si>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</si>
  <si>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</si>
  <si>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</si>
  <si>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</si>
  <si>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</si>
  <si>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</si>
  <si>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</si>
  <si>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</si>
  <si>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</si>
  <si>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</si>
  <si>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</si>
  <si>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</si>
  <si>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</si>
  <si>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</si>
  <si>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</si>
  <si>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</si>
  <si>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</si>
  <si>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</si>
  <si>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</si>
  <si>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</si>
  <si>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</si>
  <si>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</si>
  <si>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</si>
  <si>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</si>
  <si>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</si>
  <si>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</si>
  <si>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</si>
  <si>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</si>
  <si>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</si>
  <si>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</si>
  <si>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</si>
  <si>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</si>
  <si>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</si>
  <si>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</si>
  <si>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</si>
  <si>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</si>
  <si>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</si>
  <si>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</si>
  <si>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</si>
  <si>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</si>
  <si>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</si>
  <si>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</si>
  <si>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</si>
  <si>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</si>
  <si>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</si>
  <si>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</si>
  <si>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</si>
  <si>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</si>
  <si>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</si>
  <si>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</si>
  <si>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</si>
  <si>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</si>
  <si>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</si>
  <si>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</si>
  <si>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</si>
  <si>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</si>
  <si>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</si>
  <si>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</si>
  <si>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</si>
  <si>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</si>
  <si>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</si>
  <si>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</si>
  <si>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</si>
  <si>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</si>
  <si>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</si>
  <si>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</si>
  <si>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</si>
  <si>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</si>
  <si>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</si>
  <si>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</si>
  <si>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</si>
  <si>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</si>
  <si>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</si>
  <si>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</si>
  <si>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</si>
  <si>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</si>
  <si>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</si>
  <si>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</si>
  <si>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</si>
  <si>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</si>
  <si>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</si>
  <si>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</si>
  <si>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</si>
  <si>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</si>
  <si>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</si>
  <si>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</si>
  <si>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</si>
  <si>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</si>
  <si>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</si>
  <si>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</si>
  <si>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</si>
  <si>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</si>
  <si>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</si>
  <si>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</si>
  <si>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</si>
  <si>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</si>
  <si>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</si>
  <si>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</si>
  <si>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</si>
  <si>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</si>
  <si>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</si>
  <si>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</si>
  <si>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</si>
  <si>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</si>
  <si>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</si>
  <si>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</si>
  <si>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</si>
  <si>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</si>
  <si>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</si>
  <si>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</si>
  <si>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</si>
  <si>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</si>
  <si>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</si>
  <si>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</si>
  <si>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</si>
  <si>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</si>
  <si>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</si>
  <si>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</si>
  <si>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</si>
  <si>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</si>
  <si>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</si>
  <si>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</si>
  <si>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</si>
  <si>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</si>
  <si>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</si>
  <si>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</si>
  <si>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</si>
  <si>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</si>
  <si>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</si>
  <si>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</si>
  <si>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</si>
  <si>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</si>
  <si>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</si>
  <si>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</si>
  <si>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</si>
  <si>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</si>
  <si>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</si>
  <si>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</si>
  <si>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</si>
  <si>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</si>
  <si>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</si>
  <si>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</si>
  <si>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</si>
  <si>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</si>
  <si>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</si>
  <si>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</si>
  <si>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</si>
  <si>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</si>
  <si>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</si>
  <si>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</si>
  <si>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</si>
  <si>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</si>
  <si>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</si>
  <si>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</si>
  <si>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</si>
  <si>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</si>
  <si>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</si>
  <si>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</si>
  <si>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</si>
  <si>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</si>
  <si>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</si>
  <si>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</si>
  <si>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</si>
  <si>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</si>
  <si>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</si>
  <si>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</si>
  <si>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</si>
  <si>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</si>
  <si>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</si>
  <si>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</si>
  <si>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</si>
  <si>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</si>
  <si>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</si>
  <si>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</si>
  <si>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</si>
  <si>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</si>
  <si>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</si>
  <si>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</si>
  <si>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</si>
  <si>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</si>
  <si>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</si>
  <si>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</si>
  <si>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</si>
  <si>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</si>
  <si>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</si>
  <si>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</si>
  <si>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</si>
  <si>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</si>
  <si>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</si>
  <si>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</si>
  <si>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</si>
  <si>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</si>
  <si>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</si>
  <si>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</si>
  <si>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</si>
  <si>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</si>
  <si>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</si>
  <si>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</si>
  <si>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</si>
  <si>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</si>
  <si>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</si>
  <si>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</si>
  <si>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</si>
  <si>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</si>
  <si>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</si>
  <si>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</si>
  <si>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</si>
  <si>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</si>
  <si>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</si>
  <si>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</si>
  <si>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</si>
  <si>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</si>
  <si>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</si>
  <si>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</si>
  <si>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</si>
  <si>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</si>
  <si>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</si>
  <si>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</si>
  <si>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</si>
  <si>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</si>
  <si>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</si>
  <si>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</si>
  <si>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</si>
  <si>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</si>
  <si>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</si>
  <si>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</si>
  <si>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</si>
  <si>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</si>
  <si>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</si>
  <si>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</si>
  <si>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</si>
  <si>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</si>
  <si>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</si>
  <si>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</si>
  <si>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</si>
  <si>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</si>
  <si>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</si>
  <si>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</si>
  <si>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</si>
  <si>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</si>
  <si>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</si>
  <si>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</si>
  <si>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</si>
  <si>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</si>
  <si>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</si>
  <si>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</si>
  <si>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</si>
  <si>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</si>
  <si>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</si>
  <si>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</si>
  <si>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</si>
  <si>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</si>
  <si>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</si>
  <si>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</si>
  <si>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</si>
  <si>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</si>
  <si>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</si>
  <si>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</si>
  <si>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</si>
  <si>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</si>
  <si>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</si>
  <si>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</si>
  <si>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</si>
  <si>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</si>
  <si>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</si>
  <si>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</si>
  <si>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</si>
  <si>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</si>
  <si>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</si>
  <si>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</si>
  <si>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</si>
  <si>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</si>
  <si>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</si>
  <si>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</si>
  <si>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</si>
  <si>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</si>
  <si>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</si>
  <si>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</si>
  <si>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</si>
  <si>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</si>
  <si>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</si>
  <si>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</si>
  <si>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</si>
  <si>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</si>
  <si>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</si>
  <si>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</si>
  <si>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</si>
  <si>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</si>
  <si>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</si>
  <si>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</si>
  <si>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</si>
  <si>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</si>
  <si>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</si>
  <si>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</si>
  <si>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</si>
  <si>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</si>
  <si>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</si>
  <si>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</si>
  <si>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</si>
  <si>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</si>
  <si>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</si>
  <si>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</si>
  <si>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</si>
  <si>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</si>
  <si>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</si>
  <si>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</si>
  <si>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</si>
  <si>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</si>
  <si>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</si>
  <si>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</si>
  <si>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</si>
  <si>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</si>
  <si>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</si>
  <si>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</si>
  <si>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</si>
  <si>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</si>
  <si>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</si>
  <si>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</si>
  <si>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</si>
  <si>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</si>
  <si>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</si>
  <si>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</si>
  <si>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</si>
  <si>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</si>
  <si>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</si>
  <si>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</si>
  <si>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</si>
  <si>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</si>
  <si>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</si>
  <si>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</si>
  <si>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</si>
  <si>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</si>
  <si>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</si>
  <si>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</si>
  <si>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</si>
  <si>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</si>
  <si>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</si>
  <si>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</si>
  <si>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</si>
  <si>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</si>
  <si>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</si>
  <si>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</si>
  <si>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</si>
  <si>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</si>
  <si>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</si>
  <si>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</si>
  <si>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</si>
  <si>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</si>
  <si>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</si>
  <si>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</si>
  <si>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</si>
  <si>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</si>
  <si>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</si>
  <si>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</si>
  <si>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</si>
  <si>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</si>
  <si>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</si>
  <si>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</si>
  <si>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</si>
  <si>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</si>
  <si>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</si>
  <si>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</si>
  <si>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</si>
  <si>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</si>
  <si>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</si>
  <si>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</si>
  <si>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</si>
  <si>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</si>
  <si>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</si>
  <si>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</si>
  <si>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</si>
  <si>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</si>
  <si>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</si>
  <si>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</si>
  <si>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</si>
  <si>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</si>
  <si>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</si>
  <si>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</si>
  <si>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</si>
  <si>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</si>
  <si>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TEST</t>
    <phoneticPr fontId="1" type="noConversion"/>
  </si>
  <si>
    <t>TCP</t>
    <phoneticPr fontId="1" type="noConversion"/>
  </si>
  <si>
    <t>1,2,3</t>
  </si>
  <si>
    <t>TCP</t>
    <phoneticPr fontId="1" type="noConversion"/>
  </si>
  <si>
    <t>hazr-t-dch-ext-vnet</t>
    <phoneticPr fontId="1" type="noConversion"/>
  </si>
  <si>
    <t>hazr-t-clv-rg</t>
  </si>
  <si>
    <t>10.157.133.11</t>
    <phoneticPr fontId="1" type="noConversion"/>
  </si>
  <si>
    <t>10.157.159.11</t>
    <phoneticPr fontId="1" type="noConversion"/>
  </si>
  <si>
    <t>10.157.159.21</t>
    <phoneticPr fontId="1" type="noConversion"/>
  </si>
  <si>
    <t>10.157.159.31</t>
    <phoneticPr fontId="1" type="noConversion"/>
  </si>
  <si>
    <t>10.157.159.41</t>
    <phoneticPr fontId="1" type="noConversion"/>
  </si>
  <si>
    <t>hazr-t-clv-web01</t>
    <phoneticPr fontId="1" type="noConversion"/>
  </si>
  <si>
    <t>hazr-t-clv-ap01</t>
    <phoneticPr fontId="1" type="noConversion"/>
  </si>
  <si>
    <t>hazr-t-clv-ssrap01</t>
    <phoneticPr fontId="1" type="noConversion"/>
  </si>
  <si>
    <t>hazr-t-clv-admweb01</t>
    <phoneticPr fontId="1" type="noConversion"/>
  </si>
  <si>
    <t>hazr-t-clv-admap01</t>
    <phoneticPr fontId="1" type="noConversion"/>
  </si>
  <si>
    <t>/subscriptions/b73b1d70-b43f-41b5-bb3f-34b9236d2ed9/resourceGroups/hazr-l-mgmt-rg/providers/Microsoft.Compute/galleries/hazrlmgmtgal/images/RHEL_9.8_Base_Image/versions/0.0.6</t>
  </si>
  <si>
    <t>hazr-t-clv-rg</t>
    <phoneticPr fontId="1" type="noConversion"/>
  </si>
  <si>
    <t>t-clv-web-sbn</t>
    <phoneticPr fontId="1" type="noConversion"/>
  </si>
  <si>
    <t>t-clv-ap-sbn</t>
    <phoneticPr fontId="1" type="noConversion"/>
  </si>
  <si>
    <t>t-clv-db-nsg</t>
    <phoneticPr fontId="1" type="noConversion"/>
  </si>
  <si>
    <t>t-clv-pe-nsg</t>
    <phoneticPr fontId="1" type="noConversion"/>
  </si>
  <si>
    <t>hazr-t-clv-web-lb</t>
    <phoneticPr fontId="1" type="noConversion"/>
  </si>
  <si>
    <t>hazr-t-clv-ap-lb</t>
    <phoneticPr fontId="1" type="noConversion"/>
  </si>
  <si>
    <t>hazr-t-clv-ssrap-lb</t>
    <phoneticPr fontId="1" type="noConversion"/>
  </si>
  <si>
    <t>hazr-t-clv-admweb-lb</t>
    <phoneticPr fontId="1" type="noConversion"/>
  </si>
  <si>
    <t>hazr-t-clv-admap-lb</t>
    <phoneticPr fontId="1" type="noConversion"/>
  </si>
  <si>
    <t>10.157.133.10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</si>
  <si>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</si>
  <si>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</si>
  <si>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</si>
  <si>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</si>
  <si>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hazr-t-tm-rg</t>
  </si>
  <si>
    <t>hazr-t-tm-rg</t>
    <phoneticPr fontId="1" type="noConversion"/>
  </si>
  <si>
    <t>hazr-t-ga-rg</t>
    <phoneticPr fontId="1" type="noConversion"/>
  </si>
  <si>
    <t>hazr-t-tm-chweb01</t>
    <phoneticPr fontId="1" type="noConversion"/>
  </si>
  <si>
    <t>hazr-t-tm-chap01</t>
    <phoneticPr fontId="1" type="noConversion"/>
  </si>
  <si>
    <t>hazr-t-tm-chintweb01</t>
    <phoneticPr fontId="1" type="noConversion"/>
  </si>
  <si>
    <t>hazr-t-ga-oweb01</t>
    <phoneticPr fontId="1" type="noConversion"/>
  </si>
  <si>
    <t>hazr-t-ga-oap01</t>
    <phoneticPr fontId="1" type="noConversion"/>
  </si>
  <si>
    <t>10.157.138.11</t>
    <phoneticPr fontId="1" type="noConversion"/>
  </si>
  <si>
    <t>10.157.174.11</t>
    <phoneticPr fontId="1" type="noConversion"/>
  </si>
  <si>
    <t>10.157.174.21</t>
    <phoneticPr fontId="1" type="noConversion"/>
  </si>
  <si>
    <t>10.157.137.11</t>
    <phoneticPr fontId="1" type="noConversion"/>
  </si>
  <si>
    <t>10.157.171.11</t>
    <phoneticPr fontId="1" type="noConversion"/>
  </si>
  <si>
    <t>t-tm-web-sbn</t>
    <phoneticPr fontId="1" type="noConversion"/>
  </si>
  <si>
    <t>t-tm-ap-sbn</t>
    <phoneticPr fontId="1" type="noConversion"/>
  </si>
  <si>
    <t>t-ga-web-sbn</t>
    <phoneticPr fontId="1" type="noConversion"/>
  </si>
  <si>
    <t>t-ga-ap-sbn</t>
    <phoneticPr fontId="1" type="noConversion"/>
  </si>
  <si>
    <t>t-tm-db-nsg</t>
    <phoneticPr fontId="1" type="noConversion"/>
  </si>
  <si>
    <t>t-tm-pe-nsg</t>
    <phoneticPr fontId="1" type="noConversion"/>
  </si>
  <si>
    <t>t-ga-db-nsg</t>
    <phoneticPr fontId="1" type="noConversion"/>
  </si>
  <si>
    <t>t-ga-pe-nsg</t>
    <phoneticPr fontId="1" type="noConversion"/>
  </si>
  <si>
    <t>t-bsu-db-sbn</t>
    <phoneticPr fontId="1" type="noConversion"/>
  </si>
  <si>
    <t>t-bsu-pe-sbn</t>
    <phoneticPr fontId="1" type="noConversion"/>
  </si>
  <si>
    <t>hazr-t-tm-chweb-lb</t>
    <phoneticPr fontId="1" type="noConversion"/>
  </si>
  <si>
    <t>hazr-t-tm-chap-lb</t>
    <phoneticPr fontId="1" type="noConversion"/>
  </si>
  <si>
    <t>hazr-t-tm-chintweb-lb</t>
    <phoneticPr fontId="1" type="noConversion"/>
  </si>
  <si>
    <t>hazr-t-ga-oap-lb</t>
    <phoneticPr fontId="1" type="noConversion"/>
  </si>
  <si>
    <t>hazr-t-ga-oweb-lb</t>
    <phoneticPr fontId="1" type="noConversion"/>
  </si>
  <si>
    <t>10.157.138.10</t>
    <phoneticPr fontId="1" type="noConversion"/>
  </si>
  <si>
    <t>10.157.174.10</t>
    <phoneticPr fontId="1" type="noConversion"/>
  </si>
  <si>
    <t>10.157.174.20</t>
    <phoneticPr fontId="1" type="noConversion"/>
  </si>
  <si>
    <t>10.157.137.10</t>
    <phoneticPr fontId="1" type="noConversion"/>
  </si>
  <si>
    <t>10.157.171.10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</si>
</sst>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>
      <alignment vertical="center"/>
    </xf>
  </cellStyleXfs>
  <cellXfs count="120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15" xfId="0" quotePrefix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3" dataDxfId="32">
  <autoFilter ref="B1:AF6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I30" sqref="I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I30" sqref="I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zoomScaleNormal="100" zoomScaleSheetLayoutView="100" workbookViewId="0">
      <pane xSplit="6" ySplit="1" topLeftCell="T5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Z63" sqref="Z63:Z67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0.75" style="93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538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538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553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539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539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538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538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539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539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539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539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539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538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538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539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538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539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539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539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539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539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539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538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538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539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539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538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539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539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539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539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539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539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538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539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539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538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539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538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538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539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538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538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538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538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527</v>
      </c>
      <c r="G46" s="74" t="s">
        <v>529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538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539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538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539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539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523</v>
      </c>
      <c r="G51" s="107" t="s">
        <v>524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520</v>
      </c>
      <c r="N51" s="110" t="s">
        <v>545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540</v>
      </c>
      <c r="E52" s="107" t="s">
        <v>24</v>
      </c>
      <c r="F52" s="107" t="s">
        <v>541</v>
      </c>
      <c r="G52" s="107" t="s">
        <v>543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520</v>
      </c>
      <c r="N52" s="111" t="s">
        <v>545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540</v>
      </c>
      <c r="E53" s="107" t="s">
        <v>24</v>
      </c>
      <c r="F53" s="107" t="s">
        <v>559</v>
      </c>
      <c r="G53" s="107" t="s">
        <v>544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520</v>
      </c>
      <c r="N53" s="111" t="s">
        <v>545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549</v>
      </c>
      <c r="G54" s="107" t="s">
        <v>548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520</v>
      </c>
      <c r="N54" s="111" t="s">
        <v>545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554</v>
      </c>
      <c r="G55" s="107" t="s">
        <v>555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520</v>
      </c>
      <c r="N55" s="111" t="s">
        <v>556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558</v>
      </c>
      <c r="G56" s="107" t="s">
        <v>561</v>
      </c>
      <c r="H56" s="108" t="s">
        <v>553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520</v>
      </c>
      <c r="N56" s="111" t="s">
        <v>573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560</v>
      </c>
      <c r="G57" s="107" t="s">
        <v>562</v>
      </c>
      <c r="H57" s="108" t="s">
        <v>563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520</v>
      </c>
      <c r="N57" s="111" t="s">
        <v>573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b">
        <v>1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A58" s="97"/>
      <c r="B58" s="107" t="s">
        <v>574</v>
      </c>
      <c r="C58" s="107" t="str" cm="1">
        <f t="array" ref="C58">UPPER(INDEX(_xlfn.TEXTSPLIT($D58, "-"), 3))</f>
        <v>CLV</v>
      </c>
      <c r="D58" s="107" t="s">
        <v>579</v>
      </c>
      <c r="E58" s="107" t="s">
        <v>24</v>
      </c>
      <c r="F58" s="107" t="s">
        <v>585</v>
      </c>
      <c r="G58" s="107" t="s">
        <v>580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515</v>
      </c>
      <c r="M58" s="109" t="s">
        <v>520</v>
      </c>
      <c r="N58" s="110" t="s">
        <v>590</v>
      </c>
      <c r="O58" s="107" t="str">
        <f t="shared" ref="O58:O62" si="8">SUBSTITUTE(F58,"hazr-","")&amp;"-osdisk"</f>
        <v>t-clv-web01-osdisk</v>
      </c>
      <c r="P58" s="107">
        <v>64</v>
      </c>
      <c r="Q58" s="107" t="s">
        <v>181</v>
      </c>
      <c r="R58" s="107"/>
      <c r="S58" s="107"/>
      <c r="T58" s="107"/>
      <c r="U58" s="107" t="str">
        <f t="shared" ref="U58:U62" si="9">SUBSTITUTE(F58,"hazr-","")&amp;"-nic"</f>
        <v>t-clv-web01-nic</v>
      </c>
      <c r="V58" s="107" t="b">
        <v>1</v>
      </c>
      <c r="W58" s="107" t="b">
        <v>1</v>
      </c>
      <c r="X58" s="107" t="s">
        <v>198</v>
      </c>
      <c r="Y58" s="107" t="s">
        <v>451</v>
      </c>
      <c r="Z58" s="107" t="s">
        <v>592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A59" s="97"/>
      <c r="B59" s="113" t="s">
        <v>574</v>
      </c>
      <c r="C59" s="107" t="str" cm="1">
        <f t="array" ref="C59">UPPER(INDEX(_xlfn.TEXTSPLIT($D59, "-"), 3))</f>
        <v>CLV</v>
      </c>
      <c r="D59" s="113" t="s">
        <v>579</v>
      </c>
      <c r="E59" s="113" t="s">
        <v>24</v>
      </c>
      <c r="F59" s="113" t="s">
        <v>586</v>
      </c>
      <c r="G59" s="113" t="s">
        <v>581</v>
      </c>
      <c r="H59" s="114" t="s">
        <v>179</v>
      </c>
      <c r="I59" s="113">
        <v>2</v>
      </c>
      <c r="J59" s="113">
        <v>8</v>
      </c>
      <c r="K59" s="107" t="s">
        <v>183</v>
      </c>
      <c r="L59" s="109" t="s">
        <v>515</v>
      </c>
      <c r="M59" s="109" t="s">
        <v>520</v>
      </c>
      <c r="N59" s="110" t="s">
        <v>590</v>
      </c>
      <c r="O59" s="113" t="str">
        <f t="shared" si="8"/>
        <v>t-clv-ap01-osdisk</v>
      </c>
      <c r="P59" s="107">
        <v>64</v>
      </c>
      <c r="Q59" s="107" t="s">
        <v>181</v>
      </c>
      <c r="R59" s="113"/>
      <c r="S59" s="113"/>
      <c r="T59" s="113"/>
      <c r="U59" s="113" t="str">
        <f t="shared" si="9"/>
        <v>t-clv-ap01-nic</v>
      </c>
      <c r="V59" s="107" t="b">
        <v>1</v>
      </c>
      <c r="W59" s="107" t="b">
        <v>1</v>
      </c>
      <c r="X59" s="107" t="s">
        <v>198</v>
      </c>
      <c r="Y59" s="113" t="s">
        <v>450</v>
      </c>
      <c r="Z59" s="113" t="s">
        <v>593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13"/>
      <c r="AF59" s="113"/>
    </row>
    <row r="60" spans="1:32" x14ac:dyDescent="0.3">
      <c r="A60" s="97"/>
      <c r="B60" s="113" t="s">
        <v>574</v>
      </c>
      <c r="C60" s="107" t="str" cm="1">
        <f t="array" ref="C60">UPPER(INDEX(_xlfn.TEXTSPLIT($D60, "-"), 3))</f>
        <v>CLV</v>
      </c>
      <c r="D60" s="107" t="s">
        <v>579</v>
      </c>
      <c r="E60" s="113" t="s">
        <v>24</v>
      </c>
      <c r="F60" s="113" t="s">
        <v>587</v>
      </c>
      <c r="G60" s="113" t="s">
        <v>582</v>
      </c>
      <c r="H60" s="114" t="s">
        <v>179</v>
      </c>
      <c r="I60" s="107">
        <v>2</v>
      </c>
      <c r="J60" s="107">
        <v>8</v>
      </c>
      <c r="K60" s="107" t="s">
        <v>183</v>
      </c>
      <c r="L60" s="109" t="s">
        <v>515</v>
      </c>
      <c r="M60" s="109" t="s">
        <v>520</v>
      </c>
      <c r="N60" s="110" t="s">
        <v>590</v>
      </c>
      <c r="O60" s="113" t="str">
        <f t="shared" si="8"/>
        <v>t-clv-ssrap01-osdisk</v>
      </c>
      <c r="P60" s="107">
        <v>64</v>
      </c>
      <c r="Q60" s="107" t="s">
        <v>181</v>
      </c>
      <c r="R60" s="113"/>
      <c r="S60" s="113"/>
      <c r="T60" s="113"/>
      <c r="U60" s="113" t="str">
        <f t="shared" si="9"/>
        <v>t-clv-ssrap01-nic</v>
      </c>
      <c r="V60" s="107" t="b">
        <v>1</v>
      </c>
      <c r="W60" s="107" t="b">
        <v>1</v>
      </c>
      <c r="X60" s="107" t="s">
        <v>198</v>
      </c>
      <c r="Y60" s="113" t="s">
        <v>450</v>
      </c>
      <c r="Z60" s="113" t="s">
        <v>593</v>
      </c>
      <c r="AA60" s="107" t="b">
        <v>1</v>
      </c>
      <c r="AB60" s="107" t="s">
        <v>198</v>
      </c>
      <c r="AC60" s="107" t="s">
        <v>210</v>
      </c>
      <c r="AD60" s="107">
        <v>3</v>
      </c>
      <c r="AE60" s="113"/>
      <c r="AF60" s="113"/>
    </row>
    <row r="61" spans="1:32" x14ac:dyDescent="0.3">
      <c r="A61" s="97"/>
      <c r="B61" s="113" t="s">
        <v>574</v>
      </c>
      <c r="C61" s="107" t="str" cm="1">
        <f t="array" ref="C61">UPPER(INDEX(_xlfn.TEXTSPLIT($D61, "-"), 3))</f>
        <v>CLV</v>
      </c>
      <c r="D61" s="113" t="s">
        <v>579</v>
      </c>
      <c r="E61" s="113" t="s">
        <v>24</v>
      </c>
      <c r="F61" s="113" t="s">
        <v>588</v>
      </c>
      <c r="G61" s="113" t="s">
        <v>583</v>
      </c>
      <c r="H61" s="114" t="s">
        <v>179</v>
      </c>
      <c r="I61" s="113">
        <v>2</v>
      </c>
      <c r="J61" s="113">
        <v>8</v>
      </c>
      <c r="K61" s="107" t="s">
        <v>183</v>
      </c>
      <c r="L61" s="109" t="s">
        <v>515</v>
      </c>
      <c r="M61" s="109" t="s">
        <v>520</v>
      </c>
      <c r="N61" s="110" t="s">
        <v>590</v>
      </c>
      <c r="O61" s="113" t="str">
        <f t="shared" si="8"/>
        <v>t-clv-admweb01-osdisk</v>
      </c>
      <c r="P61" s="107">
        <v>64</v>
      </c>
      <c r="Q61" s="107" t="s">
        <v>181</v>
      </c>
      <c r="R61" s="113"/>
      <c r="S61" s="113"/>
      <c r="T61" s="113"/>
      <c r="U61" s="113" t="str">
        <f t="shared" si="9"/>
        <v>t-clv-admweb01-nic</v>
      </c>
      <c r="V61" s="107" t="b">
        <v>1</v>
      </c>
      <c r="W61" s="107" t="b">
        <v>1</v>
      </c>
      <c r="X61" s="107" t="s">
        <v>198</v>
      </c>
      <c r="Y61" s="113" t="s">
        <v>450</v>
      </c>
      <c r="Z61" s="113" t="s">
        <v>593</v>
      </c>
      <c r="AA61" s="107" t="b">
        <v>1</v>
      </c>
      <c r="AB61" s="107" t="s">
        <v>198</v>
      </c>
      <c r="AC61" s="107" t="s">
        <v>210</v>
      </c>
      <c r="AD61" s="107">
        <v>3</v>
      </c>
      <c r="AE61" s="113"/>
      <c r="AF61" s="113"/>
    </row>
    <row r="62" spans="1:32" x14ac:dyDescent="0.3">
      <c r="A62" s="97"/>
      <c r="B62" s="113" t="s">
        <v>574</v>
      </c>
      <c r="C62" s="107" t="str" cm="1">
        <f t="array" ref="C62">UPPER(INDEX(_xlfn.TEXTSPLIT($D62, "-"), 3))</f>
        <v>CLV</v>
      </c>
      <c r="D62" s="107" t="s">
        <v>579</v>
      </c>
      <c r="E62" s="113" t="s">
        <v>24</v>
      </c>
      <c r="F62" s="113" t="s">
        <v>589</v>
      </c>
      <c r="G62" s="113" t="s">
        <v>584</v>
      </c>
      <c r="H62" s="114" t="s">
        <v>179</v>
      </c>
      <c r="I62" s="107">
        <v>2</v>
      </c>
      <c r="J62" s="107">
        <v>8</v>
      </c>
      <c r="K62" s="107" t="s">
        <v>183</v>
      </c>
      <c r="L62" s="109" t="s">
        <v>515</v>
      </c>
      <c r="M62" s="109" t="s">
        <v>520</v>
      </c>
      <c r="N62" s="111" t="s">
        <v>590</v>
      </c>
      <c r="O62" s="113" t="str">
        <f t="shared" si="8"/>
        <v>t-clv-admap01-osdisk</v>
      </c>
      <c r="P62" s="107">
        <v>64</v>
      </c>
      <c r="Q62" s="107" t="s">
        <v>181</v>
      </c>
      <c r="R62" s="113"/>
      <c r="S62" s="113"/>
      <c r="T62" s="113"/>
      <c r="U62" s="113" t="str">
        <f t="shared" si="9"/>
        <v>t-clv-admap01-nic</v>
      </c>
      <c r="V62" s="107" t="b">
        <v>1</v>
      </c>
      <c r="W62" s="107" t="b">
        <v>1</v>
      </c>
      <c r="X62" s="107" t="s">
        <v>198</v>
      </c>
      <c r="Y62" s="113" t="s">
        <v>450</v>
      </c>
      <c r="Z62" s="113" t="s">
        <v>593</v>
      </c>
      <c r="AA62" s="107" t="b">
        <v>1</v>
      </c>
      <c r="AB62" s="107" t="s">
        <v>198</v>
      </c>
      <c r="AC62" s="107" t="s">
        <v>210</v>
      </c>
      <c r="AD62" s="107">
        <v>3</v>
      </c>
      <c r="AE62" s="113"/>
      <c r="AF62" s="113"/>
    </row>
    <row r="63" spans="1:32" x14ac:dyDescent="0.3">
      <c r="B63" s="107" t="s">
        <v>182</v>
      </c>
      <c r="C63" s="107" t="str" cm="1">
        <f t="array" ref="C63">UPPER(INDEX(_xlfn.TEXTSPLIT($D63, "-"), 3))</f>
        <v>TM</v>
      </c>
      <c r="D63" s="113" t="s">
        <v>607</v>
      </c>
      <c r="E63" s="107" t="s">
        <v>24</v>
      </c>
      <c r="F63" s="78" t="s">
        <v>609</v>
      </c>
      <c r="G63" s="107" t="s">
        <v>614</v>
      </c>
      <c r="H63" s="114" t="s">
        <v>513</v>
      </c>
      <c r="I63" s="113">
        <v>2</v>
      </c>
      <c r="J63" s="113">
        <v>8</v>
      </c>
      <c r="K63" s="107" t="s">
        <v>183</v>
      </c>
      <c r="L63" s="109" t="s">
        <v>515</v>
      </c>
      <c r="M63" s="109" t="s">
        <v>520</v>
      </c>
      <c r="N63" s="110" t="s">
        <v>590</v>
      </c>
      <c r="O63" s="107" t="str">
        <f t="shared" ref="O63:O67" si="10">SUBSTITUTE(F63,"hazr-","")&amp;"-osdisk"</f>
        <v>t-tm-chweb01-osdisk</v>
      </c>
      <c r="P63" s="107">
        <v>64</v>
      </c>
      <c r="Q63" s="107" t="s">
        <v>181</v>
      </c>
      <c r="R63" s="107"/>
      <c r="S63" s="107"/>
      <c r="T63" s="107"/>
      <c r="U63" s="107" t="str">
        <f t="shared" ref="U63:U67" si="11">SUBSTITUTE(F63,"hazr-","")&amp;"-nic"</f>
        <v>t-tm-chweb01-nic</v>
      </c>
      <c r="V63" s="107" t="b">
        <v>1</v>
      </c>
      <c r="W63" s="107" t="b">
        <v>1</v>
      </c>
      <c r="X63" s="107" t="s">
        <v>198</v>
      </c>
      <c r="Y63" s="113" t="s">
        <v>578</v>
      </c>
      <c r="Z63" s="113" t="s">
        <v>619</v>
      </c>
      <c r="AA63" s="107" t="b">
        <v>1</v>
      </c>
      <c r="AB63" s="107" t="s">
        <v>198</v>
      </c>
      <c r="AC63" s="107" t="s">
        <v>210</v>
      </c>
      <c r="AD63" s="107">
        <v>3</v>
      </c>
      <c r="AE63" s="107"/>
      <c r="AF63" s="107"/>
    </row>
    <row r="64" spans="1:32" x14ac:dyDescent="0.3">
      <c r="B64" s="113" t="s">
        <v>182</v>
      </c>
      <c r="C64" s="107" t="str" cm="1">
        <f t="array" ref="C64">UPPER(INDEX(_xlfn.TEXTSPLIT($D64, "-"), 3))</f>
        <v>TM</v>
      </c>
      <c r="D64" s="107" t="s">
        <v>606</v>
      </c>
      <c r="E64" s="113" t="s">
        <v>24</v>
      </c>
      <c r="F64" s="73" t="s">
        <v>610</v>
      </c>
      <c r="G64" s="113" t="s">
        <v>615</v>
      </c>
      <c r="H64" s="114" t="s">
        <v>513</v>
      </c>
      <c r="I64" s="107">
        <v>2</v>
      </c>
      <c r="J64" s="107">
        <v>8</v>
      </c>
      <c r="K64" s="107" t="s">
        <v>183</v>
      </c>
      <c r="L64" s="109" t="s">
        <v>515</v>
      </c>
      <c r="M64" s="109" t="s">
        <v>520</v>
      </c>
      <c r="N64" s="111" t="s">
        <v>590</v>
      </c>
      <c r="O64" s="113" t="str">
        <f t="shared" si="10"/>
        <v>t-tm-chap01-osdisk</v>
      </c>
      <c r="P64" s="107">
        <v>64</v>
      </c>
      <c r="Q64" s="107" t="s">
        <v>181</v>
      </c>
      <c r="R64" s="113"/>
      <c r="S64" s="113"/>
      <c r="T64" s="113"/>
      <c r="U64" s="113" t="str">
        <f t="shared" si="11"/>
        <v>t-tm-chap01-nic</v>
      </c>
      <c r="V64" s="107" t="b">
        <v>1</v>
      </c>
      <c r="W64" s="107" t="b">
        <v>1</v>
      </c>
      <c r="X64" s="107" t="s">
        <v>198</v>
      </c>
      <c r="Y64" s="113" t="s">
        <v>450</v>
      </c>
      <c r="Z64" s="113" t="s">
        <v>620</v>
      </c>
      <c r="AA64" s="107" t="b">
        <v>1</v>
      </c>
      <c r="AB64" s="107" t="s">
        <v>198</v>
      </c>
      <c r="AC64" s="107" t="s">
        <v>210</v>
      </c>
      <c r="AD64" s="107">
        <v>3</v>
      </c>
      <c r="AE64" s="113"/>
      <c r="AF64" s="113"/>
    </row>
    <row r="65" spans="2:32" x14ac:dyDescent="0.3">
      <c r="B65" s="113" t="s">
        <v>182</v>
      </c>
      <c r="C65" s="107" t="str" cm="1">
        <f t="array" ref="C65">UPPER(INDEX(_xlfn.TEXTSPLIT($D65, "-"), 3))</f>
        <v>TM</v>
      </c>
      <c r="D65" s="113" t="s">
        <v>606</v>
      </c>
      <c r="E65" s="113" t="s">
        <v>24</v>
      </c>
      <c r="F65" s="78" t="s">
        <v>611</v>
      </c>
      <c r="G65" s="113" t="s">
        <v>616</v>
      </c>
      <c r="H65" s="114" t="s">
        <v>513</v>
      </c>
      <c r="I65" s="113">
        <v>2</v>
      </c>
      <c r="J65" s="113">
        <v>8</v>
      </c>
      <c r="K65" s="107" t="s">
        <v>183</v>
      </c>
      <c r="L65" s="109" t="s">
        <v>515</v>
      </c>
      <c r="M65" s="109" t="s">
        <v>520</v>
      </c>
      <c r="N65" s="110" t="s">
        <v>590</v>
      </c>
      <c r="O65" s="113" t="str">
        <f t="shared" si="10"/>
        <v>t-tm-chintweb01-osdisk</v>
      </c>
      <c r="P65" s="107">
        <v>64</v>
      </c>
      <c r="Q65" s="107" t="s">
        <v>181</v>
      </c>
      <c r="R65" s="113"/>
      <c r="S65" s="113"/>
      <c r="T65" s="113"/>
      <c r="U65" s="113" t="str">
        <f t="shared" si="11"/>
        <v>t-tm-chintweb01-nic</v>
      </c>
      <c r="V65" s="107" t="b">
        <v>1</v>
      </c>
      <c r="W65" s="107" t="b">
        <v>1</v>
      </c>
      <c r="X65" s="107" t="s">
        <v>198</v>
      </c>
      <c r="Y65" s="113" t="s">
        <v>450</v>
      </c>
      <c r="Z65" s="113" t="s">
        <v>620</v>
      </c>
      <c r="AA65" s="107" t="b">
        <v>1</v>
      </c>
      <c r="AB65" s="107" t="s">
        <v>198</v>
      </c>
      <c r="AC65" s="107" t="s">
        <v>210</v>
      </c>
      <c r="AD65" s="107">
        <v>3</v>
      </c>
      <c r="AE65" s="113"/>
      <c r="AF65" s="113"/>
    </row>
    <row r="66" spans="2:32" x14ac:dyDescent="0.3">
      <c r="B66" s="113" t="s">
        <v>182</v>
      </c>
      <c r="C66" s="107" t="str" cm="1">
        <f t="array" ref="C66">UPPER(INDEX(_xlfn.TEXTSPLIT($D66, "-"), 3))</f>
        <v>GA</v>
      </c>
      <c r="D66" s="107" t="s">
        <v>608</v>
      </c>
      <c r="E66" s="113" t="s">
        <v>24</v>
      </c>
      <c r="F66" s="73" t="s">
        <v>612</v>
      </c>
      <c r="G66" s="113" t="s">
        <v>617</v>
      </c>
      <c r="H66" s="114" t="s">
        <v>513</v>
      </c>
      <c r="I66" s="107">
        <v>2</v>
      </c>
      <c r="J66" s="107">
        <v>8</v>
      </c>
      <c r="K66" s="107" t="s">
        <v>183</v>
      </c>
      <c r="L66" s="109" t="s">
        <v>515</v>
      </c>
      <c r="M66" s="109" t="s">
        <v>520</v>
      </c>
      <c r="N66" s="111" t="s">
        <v>590</v>
      </c>
      <c r="O66" s="113" t="str">
        <f t="shared" si="10"/>
        <v>t-ga-oweb01-osdisk</v>
      </c>
      <c r="P66" s="107">
        <v>64</v>
      </c>
      <c r="Q66" s="107" t="s">
        <v>181</v>
      </c>
      <c r="R66" s="113"/>
      <c r="S66" s="113"/>
      <c r="T66" s="113"/>
      <c r="U66" s="113" t="str">
        <f t="shared" si="11"/>
        <v>t-ga-oweb01-nic</v>
      </c>
      <c r="V66" s="107" t="b">
        <v>1</v>
      </c>
      <c r="W66" s="107" t="b">
        <v>1</v>
      </c>
      <c r="X66" s="107" t="s">
        <v>198</v>
      </c>
      <c r="Y66" s="113" t="s">
        <v>578</v>
      </c>
      <c r="Z66" s="113" t="s">
        <v>621</v>
      </c>
      <c r="AA66" s="107" t="b">
        <v>1</v>
      </c>
      <c r="AB66" s="107" t="s">
        <v>198</v>
      </c>
      <c r="AC66" s="107" t="s">
        <v>210</v>
      </c>
      <c r="AD66" s="107">
        <v>3</v>
      </c>
      <c r="AE66" s="113"/>
      <c r="AF66" s="113"/>
    </row>
    <row r="67" spans="2:32" x14ac:dyDescent="0.3">
      <c r="B67" s="113" t="s">
        <v>182</v>
      </c>
      <c r="C67" s="107" t="str" cm="1">
        <f t="array" ref="C67">UPPER(INDEX(_xlfn.TEXTSPLIT($D67, "-"), 3))</f>
        <v>GA</v>
      </c>
      <c r="D67" s="113" t="s">
        <v>608</v>
      </c>
      <c r="E67" s="113" t="s">
        <v>24</v>
      </c>
      <c r="F67" s="115" t="s">
        <v>613</v>
      </c>
      <c r="G67" s="113" t="s">
        <v>618</v>
      </c>
      <c r="H67" s="114" t="s">
        <v>513</v>
      </c>
      <c r="I67" s="113">
        <v>2</v>
      </c>
      <c r="J67" s="113">
        <v>8</v>
      </c>
      <c r="K67" s="107" t="s">
        <v>183</v>
      </c>
      <c r="L67" s="109" t="s">
        <v>515</v>
      </c>
      <c r="M67" s="109" t="s">
        <v>520</v>
      </c>
      <c r="N67" s="110" t="s">
        <v>590</v>
      </c>
      <c r="O67" s="113" t="str">
        <f t="shared" si="10"/>
        <v>t-ga-oap01-osdisk</v>
      </c>
      <c r="P67" s="107">
        <v>64</v>
      </c>
      <c r="Q67" s="107" t="s">
        <v>181</v>
      </c>
      <c r="R67" s="113"/>
      <c r="S67" s="113"/>
      <c r="T67" s="113"/>
      <c r="U67" s="113" t="str">
        <f t="shared" si="11"/>
        <v>t-ga-oap01-nic</v>
      </c>
      <c r="V67" s="107" t="b">
        <v>1</v>
      </c>
      <c r="W67" s="107" t="b">
        <v>1</v>
      </c>
      <c r="X67" s="107" t="s">
        <v>198</v>
      </c>
      <c r="Y67" s="113" t="s">
        <v>450</v>
      </c>
      <c r="Z67" s="113" t="s">
        <v>622</v>
      </c>
      <c r="AA67" s="107" t="b">
        <v>1</v>
      </c>
      <c r="AB67" s="107" t="s">
        <v>198</v>
      </c>
      <c r="AC67" s="107" t="s">
        <v>210</v>
      </c>
      <c r="AD67" s="107">
        <v>3</v>
      </c>
      <c r="AE67" s="113"/>
      <c r="AF67" s="113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D63" sqref="D63:D67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527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523</v>
      </c>
      <c r="G51" s="73" t="str">
        <f t="shared" ref="G51:G67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540</v>
      </c>
      <c r="E52" s="74" t="s">
        <v>24</v>
      </c>
      <c r="F52" s="74" t="s">
        <v>541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67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540</v>
      </c>
      <c r="E53" s="73" t="s">
        <v>24</v>
      </c>
      <c r="F53" s="73" t="s">
        <v>542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546</v>
      </c>
      <c r="D54" s="74" t="s">
        <v>374</v>
      </c>
      <c r="E54" s="74" t="s">
        <v>24</v>
      </c>
      <c r="F54" s="74" t="s">
        <v>549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554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558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560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A58" s="98"/>
      <c r="B58" s="74" t="s">
        <v>182</v>
      </c>
      <c r="C58" s="74" t="str" cm="1">
        <f t="array" ref="C58">UPPER(INDEX(_xlfn.TEXTSPLIT($D58, "-"), 3))</f>
        <v>CLV</v>
      </c>
      <c r="D58" s="74" t="s">
        <v>591</v>
      </c>
      <c r="E58" s="74" t="s">
        <v>24</v>
      </c>
      <c r="F58" s="74" t="s">
        <v>585</v>
      </c>
      <c r="G58" s="74" t="str">
        <f t="shared" si="4"/>
        <v>t-clv-web01-disk01</v>
      </c>
      <c r="H58" s="74" t="s">
        <v>181</v>
      </c>
      <c r="I58" s="74">
        <v>128</v>
      </c>
      <c r="J58" s="74" t="str">
        <f t="shared" si="5"/>
        <v>t-clv-web01-disk02</v>
      </c>
      <c r="K58" s="74" t="s">
        <v>181</v>
      </c>
      <c r="L58" s="74">
        <v>128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A59" s="98"/>
      <c r="B59" s="73" t="s">
        <v>182</v>
      </c>
      <c r="C59" s="73" t="str" cm="1">
        <f t="array" ref="C59">UPPER(INDEX(_xlfn.TEXTSPLIT($D59, "-"), 3))</f>
        <v>CLV</v>
      </c>
      <c r="D59" s="73" t="s">
        <v>591</v>
      </c>
      <c r="E59" s="73" t="s">
        <v>24</v>
      </c>
      <c r="F59" s="73" t="s">
        <v>586</v>
      </c>
      <c r="G59" s="73" t="str">
        <f t="shared" si="4"/>
        <v>t-clv-ap01-disk01</v>
      </c>
      <c r="H59" s="73" t="s">
        <v>181</v>
      </c>
      <c r="I59" s="73">
        <v>128</v>
      </c>
      <c r="J59" s="73" t="str">
        <f t="shared" si="5"/>
        <v>t-clv-ap01-disk02</v>
      </c>
      <c r="K59" s="73" t="s">
        <v>181</v>
      </c>
      <c r="L59" s="73">
        <v>128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  <row r="60" spans="1:18" x14ac:dyDescent="0.3">
      <c r="A60" s="98"/>
      <c r="B60" s="74" t="s">
        <v>182</v>
      </c>
      <c r="C60" s="74" t="str" cm="1">
        <f t="array" ref="C60">UPPER(INDEX(_xlfn.TEXTSPLIT($D60, "-"), 3))</f>
        <v>CLV</v>
      </c>
      <c r="D60" s="74" t="s">
        <v>591</v>
      </c>
      <c r="E60" s="74" t="s">
        <v>24</v>
      </c>
      <c r="F60" s="74" t="s">
        <v>587</v>
      </c>
      <c r="G60" s="74" t="str">
        <f t="shared" si="4"/>
        <v>t-clv-ssrap01-disk01</v>
      </c>
      <c r="H60" s="74" t="s">
        <v>181</v>
      </c>
      <c r="I60" s="74">
        <v>128</v>
      </c>
      <c r="J60" s="74" t="str">
        <f t="shared" si="5"/>
        <v>t-clv-ssrap01-disk02</v>
      </c>
      <c r="K60" s="74" t="s">
        <v>181</v>
      </c>
      <c r="L60" s="74">
        <v>128</v>
      </c>
      <c r="M60" s="74">
        <v>3</v>
      </c>
      <c r="N60" s="74" t="s">
        <v>194</v>
      </c>
      <c r="O60" s="74" t="s">
        <v>198</v>
      </c>
      <c r="P60" s="74" t="s">
        <v>210</v>
      </c>
      <c r="Q60" s="74" t="b">
        <v>1</v>
      </c>
      <c r="R60" s="74"/>
    </row>
    <row r="61" spans="1:18" x14ac:dyDescent="0.3">
      <c r="A61" s="98"/>
      <c r="B61" s="73" t="s">
        <v>182</v>
      </c>
      <c r="C61" s="73" t="str" cm="1">
        <f t="array" ref="C61">UPPER(INDEX(_xlfn.TEXTSPLIT($D61, "-"), 3))</f>
        <v>CLV</v>
      </c>
      <c r="D61" s="73" t="s">
        <v>591</v>
      </c>
      <c r="E61" s="73" t="s">
        <v>24</v>
      </c>
      <c r="F61" s="73" t="s">
        <v>588</v>
      </c>
      <c r="G61" s="73" t="str">
        <f t="shared" si="4"/>
        <v>t-clv-admweb01-disk01</v>
      </c>
      <c r="H61" s="73" t="s">
        <v>181</v>
      </c>
      <c r="I61" s="73">
        <v>128</v>
      </c>
      <c r="J61" s="73" t="str">
        <f t="shared" si="5"/>
        <v>t-clv-admweb01-disk02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A62" s="98"/>
      <c r="B62" s="74" t="s">
        <v>182</v>
      </c>
      <c r="C62" s="74" t="str" cm="1">
        <f t="array" ref="C62">UPPER(INDEX(_xlfn.TEXTSPLIT($D62, "-"), 3))</f>
        <v>CLV</v>
      </c>
      <c r="D62" s="74" t="s">
        <v>591</v>
      </c>
      <c r="E62" s="74" t="s">
        <v>24</v>
      </c>
      <c r="F62" s="74" t="s">
        <v>589</v>
      </c>
      <c r="G62" s="74" t="str">
        <f t="shared" si="4"/>
        <v>t-clv-admap01-disk01</v>
      </c>
      <c r="H62" s="74" t="s">
        <v>181</v>
      </c>
      <c r="I62" s="74">
        <v>128</v>
      </c>
      <c r="J62" s="74" t="str">
        <f t="shared" si="5"/>
        <v>t-clv-admap01-disk02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B63" s="73" t="s">
        <v>182</v>
      </c>
      <c r="C63" s="73" t="str" cm="1">
        <f t="array" ref="C63">UPPER(INDEX(_xlfn.TEXTSPLIT($D63, "-"), 3))</f>
        <v>TM</v>
      </c>
      <c r="D63" s="73" t="s">
        <v>607</v>
      </c>
      <c r="E63" s="73" t="s">
        <v>24</v>
      </c>
      <c r="F63" s="73" t="s">
        <v>609</v>
      </c>
      <c r="G63" s="73" t="str">
        <f t="shared" si="4"/>
        <v>t-tm-chweb01-disk01</v>
      </c>
      <c r="H63" s="73" t="s">
        <v>181</v>
      </c>
      <c r="I63" s="73">
        <v>128</v>
      </c>
      <c r="J63" s="73" t="str">
        <f t="shared" si="5"/>
        <v>t-tm-chweb01-disk02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B64" s="74" t="s">
        <v>182</v>
      </c>
      <c r="C64" s="74" t="str" cm="1">
        <f t="array" ref="C64">UPPER(INDEX(_xlfn.TEXTSPLIT($D64, "-"), 3))</f>
        <v>TM</v>
      </c>
      <c r="D64" s="74" t="s">
        <v>607</v>
      </c>
      <c r="E64" s="74" t="s">
        <v>24</v>
      </c>
      <c r="F64" s="74" t="s">
        <v>610</v>
      </c>
      <c r="G64" s="74" t="str">
        <f t="shared" si="4"/>
        <v>t-tm-chap01-disk01</v>
      </c>
      <c r="H64" s="74" t="s">
        <v>181</v>
      </c>
      <c r="I64" s="74">
        <v>128</v>
      </c>
      <c r="J64" s="74" t="str">
        <f t="shared" si="5"/>
        <v>t-tm-chap01-disk02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2:18" x14ac:dyDescent="0.3">
      <c r="B65" s="73" t="s">
        <v>182</v>
      </c>
      <c r="C65" s="73" t="str" cm="1">
        <f t="array" ref="C65">UPPER(INDEX(_xlfn.TEXTSPLIT($D65, "-"), 3))</f>
        <v>TM</v>
      </c>
      <c r="D65" s="73" t="s">
        <v>607</v>
      </c>
      <c r="E65" s="73" t="s">
        <v>24</v>
      </c>
      <c r="F65" s="73" t="s">
        <v>611</v>
      </c>
      <c r="G65" s="73" t="str">
        <f t="shared" si="4"/>
        <v>t-tm-chintweb01-disk01</v>
      </c>
      <c r="H65" s="73" t="s">
        <v>181</v>
      </c>
      <c r="I65" s="73">
        <v>128</v>
      </c>
      <c r="J65" s="73" t="str">
        <f t="shared" si="5"/>
        <v>t-tm-chintweb01-disk02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2:18" x14ac:dyDescent="0.3">
      <c r="B66" s="74" t="s">
        <v>182</v>
      </c>
      <c r="C66" s="74" t="str" cm="1">
        <f t="array" ref="C66">UPPER(INDEX(_xlfn.TEXTSPLIT($D66, "-"), 3))</f>
        <v>GA</v>
      </c>
      <c r="D66" s="74" t="s">
        <v>608</v>
      </c>
      <c r="E66" s="74" t="s">
        <v>24</v>
      </c>
      <c r="F66" s="74" t="s">
        <v>612</v>
      </c>
      <c r="G66" s="74" t="str">
        <f t="shared" si="4"/>
        <v>t-ga-oweb01-disk01</v>
      </c>
      <c r="H66" s="74" t="s">
        <v>181</v>
      </c>
      <c r="I66" s="74">
        <v>128</v>
      </c>
      <c r="J66" s="74" t="str">
        <f t="shared" si="5"/>
        <v>t-ga-oweb01-disk02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2:18" x14ac:dyDescent="0.3">
      <c r="B67" s="73" t="s">
        <v>182</v>
      </c>
      <c r="C67" s="73" t="str" cm="1">
        <f t="array" ref="C67">UPPER(INDEX(_xlfn.TEXTSPLIT($D67, "-"), 3))</f>
        <v>GA</v>
      </c>
      <c r="D67" s="73" t="s">
        <v>608</v>
      </c>
      <c r="E67" s="73" t="s">
        <v>24</v>
      </c>
      <c r="F67" s="73" t="s">
        <v>613</v>
      </c>
      <c r="G67" s="73" t="str">
        <f t="shared" si="4"/>
        <v>t-ga-oap01-disk01</v>
      </c>
      <c r="H67" s="73" t="s">
        <v>181</v>
      </c>
      <c r="I67" s="73">
        <v>128</v>
      </c>
      <c r="J67" s="73" t="str">
        <f t="shared" si="5"/>
        <v>t-ga-oap01-disk02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89"/>
  <sheetViews>
    <sheetView topLeftCell="A69" workbookViewId="0">
      <selection activeCell="H89" sqref="H85:H89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527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72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119"/>
      <c r="B53" s="82" t="s">
        <v>182</v>
      </c>
      <c r="C53" s="82" t="str" cm="1">
        <f t="array" ref="C53">UPPER(INDEX(_xlfn.TEXTSPLIT($E53, "-"), 2))</f>
        <v>BSU</v>
      </c>
      <c r="D53" s="82" t="s">
        <v>198</v>
      </c>
      <c r="E53" s="82" t="str">
        <f t="shared" si="4"/>
        <v>t-bsu-db-nsg</v>
      </c>
      <c r="F53" s="82" t="s">
        <v>198</v>
      </c>
      <c r="G53" s="74" t="s">
        <v>450</v>
      </c>
      <c r="H53" s="74" t="s">
        <v>627</v>
      </c>
      <c r="I53" s="74"/>
      <c r="J53" s="74"/>
      <c r="K53" s="74"/>
      <c r="L53" s="74" t="s">
        <v>519</v>
      </c>
      <c r="M53" s="74"/>
    </row>
    <row r="54" spans="1:13" x14ac:dyDescent="0.3">
      <c r="A54" s="119"/>
      <c r="B54" s="80" t="s">
        <v>182</v>
      </c>
      <c r="C54" s="80" t="str" cm="1">
        <f t="array" ref="C54">UPPER(INDEX(_xlfn.TEXTSPLIT($E54, "-"), 2))</f>
        <v>BSU</v>
      </c>
      <c r="D54" s="80" t="s">
        <v>198</v>
      </c>
      <c r="E54" s="80" t="str">
        <f t="shared" si="4"/>
        <v>t-bsu-pe-nsg</v>
      </c>
      <c r="F54" s="80" t="s">
        <v>198</v>
      </c>
      <c r="G54" s="73" t="s">
        <v>450</v>
      </c>
      <c r="H54" s="73" t="s">
        <v>628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CLV</v>
      </c>
      <c r="D61" s="82" t="s">
        <v>198</v>
      </c>
      <c r="E61" s="82" t="s">
        <v>594</v>
      </c>
      <c r="F61" s="82" t="s">
        <v>198</v>
      </c>
      <c r="G61" s="74" t="s">
        <v>450</v>
      </c>
      <c r="H61" s="74" t="s">
        <v>594</v>
      </c>
      <c r="I61" s="74"/>
      <c r="J61" s="74"/>
      <c r="K61" s="74"/>
      <c r="L61" s="74" t="s">
        <v>519</v>
      </c>
      <c r="M61" s="74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CLV</v>
      </c>
      <c r="D62" s="80" t="s">
        <v>198</v>
      </c>
      <c r="E62" s="80" t="s">
        <v>595</v>
      </c>
      <c r="F62" s="80" t="s">
        <v>198</v>
      </c>
      <c r="G62" s="73" t="s">
        <v>450</v>
      </c>
      <c r="H62" s="73" t="s">
        <v>595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119"/>
      <c r="B69" s="82" t="s">
        <v>182</v>
      </c>
      <c r="C69" s="82" t="str" cm="1">
        <f t="array" ref="C69">UPPER(INDEX(_xlfn.TEXTSPLIT($E69, "-"), 2))</f>
        <v>TM</v>
      </c>
      <c r="D69" s="82" t="s">
        <v>198</v>
      </c>
      <c r="E69" s="82" t="str">
        <f t="shared" si="4"/>
        <v>t-tm-db-nsg-nsg</v>
      </c>
      <c r="F69" s="82" t="s">
        <v>198</v>
      </c>
      <c r="G69" s="74" t="s">
        <v>200</v>
      </c>
      <c r="H69" s="74" t="s">
        <v>623</v>
      </c>
      <c r="I69" s="74"/>
      <c r="J69" s="74"/>
      <c r="K69" s="74"/>
      <c r="L69" s="74" t="s">
        <v>519</v>
      </c>
      <c r="M69" s="74"/>
    </row>
    <row r="70" spans="1:13" x14ac:dyDescent="0.3">
      <c r="A70" s="119"/>
      <c r="B70" s="80" t="s">
        <v>182</v>
      </c>
      <c r="C70" s="80" t="str" cm="1">
        <f t="array" ref="C70">UPPER(INDEX(_xlfn.TEXTSPLIT($E70, "-"), 2))</f>
        <v>TM</v>
      </c>
      <c r="D70" s="80" t="s">
        <v>198</v>
      </c>
      <c r="E70" s="80" t="str">
        <f t="shared" si="4"/>
        <v>t-tm-pe-nsg-nsg</v>
      </c>
      <c r="F70" s="80" t="s">
        <v>198</v>
      </c>
      <c r="G70" s="73" t="s">
        <v>450</v>
      </c>
      <c r="H70" s="73" t="s">
        <v>624</v>
      </c>
      <c r="I70" s="73"/>
      <c r="J70" s="73"/>
      <c r="K70" s="73"/>
      <c r="L70" s="73" t="s">
        <v>519</v>
      </c>
      <c r="M70" s="73"/>
    </row>
    <row r="71" spans="1:13" x14ac:dyDescent="0.3">
      <c r="A71" s="119"/>
      <c r="B71" s="82" t="s">
        <v>182</v>
      </c>
      <c r="C71" s="82" t="str" cm="1">
        <f t="array" ref="C71">UPPER(INDEX(_xlfn.TEXTSPLIT($E71, "-"), 2))</f>
        <v>GA</v>
      </c>
      <c r="D71" s="82" t="s">
        <v>198</v>
      </c>
      <c r="E71" s="82" t="str">
        <f t="shared" si="4"/>
        <v>t-ga-db-nsg-nsg</v>
      </c>
      <c r="F71" s="82" t="s">
        <v>198</v>
      </c>
      <c r="G71" s="74" t="s">
        <v>200</v>
      </c>
      <c r="H71" s="74" t="s">
        <v>625</v>
      </c>
      <c r="I71" s="74"/>
      <c r="J71" s="74"/>
      <c r="K71" s="74"/>
      <c r="L71" s="74" t="s">
        <v>519</v>
      </c>
      <c r="M71" s="74"/>
    </row>
    <row r="72" spans="1:13" x14ac:dyDescent="0.3">
      <c r="A72" s="119"/>
      <c r="B72" s="80" t="s">
        <v>182</v>
      </c>
      <c r="C72" s="80" t="str" cm="1">
        <f t="array" ref="C72">UPPER(INDEX(_xlfn.TEXTSPLIT($E72, "-"), 2))</f>
        <v>GA</v>
      </c>
      <c r="D72" s="80" t="s">
        <v>198</v>
      </c>
      <c r="E72" s="80" t="str">
        <f t="shared" si="4"/>
        <v>t-ga-pe-nsg-nsg</v>
      </c>
      <c r="F72" s="80" t="s">
        <v>198</v>
      </c>
      <c r="G72" s="73" t="s">
        <v>450</v>
      </c>
      <c r="H72" s="73" t="s">
        <v>626</v>
      </c>
      <c r="I72" s="73"/>
      <c r="J72" s="73"/>
      <c r="K72" s="73"/>
      <c r="L72" s="73" t="s">
        <v>519</v>
      </c>
      <c r="M72" s="73"/>
    </row>
    <row r="73" spans="1:13" x14ac:dyDescent="0.3">
      <c r="A73" s="97"/>
      <c r="B73" s="82" t="s">
        <v>182</v>
      </c>
      <c r="C73" s="82" t="str" cm="1">
        <f t="array" ref="C73">UPPER(INDEX(_xlfn.TEXTSPLIT($E73, "-"), 2))</f>
        <v>IF</v>
      </c>
      <c r="D73" s="82" t="s">
        <v>198</v>
      </c>
      <c r="E73" s="82" t="str">
        <f t="shared" ref="E73:E75" si="5">SUBSTITUTE(I73,"hazr-","")&amp;"-nsg"</f>
        <v>t-if-icsweb01-nsg</v>
      </c>
      <c r="F73" s="82" t="s">
        <v>198</v>
      </c>
      <c r="G73" s="74" t="s">
        <v>199</v>
      </c>
      <c r="H73" s="74" t="s">
        <v>338</v>
      </c>
      <c r="I73" s="74" t="s">
        <v>523</v>
      </c>
      <c r="J73" s="74" t="s">
        <v>448</v>
      </c>
      <c r="K73" s="74" t="str">
        <f>SUBSTITUTE(I73,"hazr-","")&amp;"-nic"</f>
        <v>t-if-icsweb01-nic</v>
      </c>
      <c r="L73" s="74" t="s">
        <v>516</v>
      </c>
      <c r="M73" s="74" t="s">
        <v>525</v>
      </c>
    </row>
    <row r="74" spans="1:13" x14ac:dyDescent="0.3">
      <c r="A74" s="97"/>
      <c r="B74" s="80" t="s">
        <v>182</v>
      </c>
      <c r="C74" s="80" t="str" cm="1">
        <f t="array" ref="C74">UPPER(INDEX(_xlfn.TEXTSPLIT($E74, "-"), 2))</f>
        <v>COM</v>
      </c>
      <c r="D74" s="80" t="s">
        <v>198</v>
      </c>
      <c r="E74" s="80" t="str">
        <f t="shared" si="5"/>
        <v>t-com-esnweb01-nsg</v>
      </c>
      <c r="F74" s="80" t="s">
        <v>198</v>
      </c>
      <c r="G74" s="73" t="s">
        <v>199</v>
      </c>
      <c r="H74" s="73" t="s">
        <v>336</v>
      </c>
      <c r="I74" s="73" t="s">
        <v>541</v>
      </c>
      <c r="J74" s="73" t="s">
        <v>540</v>
      </c>
      <c r="K74" s="73" t="str">
        <f>SUBSTITUTE(I74,"hazr-","")&amp;"-nic"</f>
        <v>t-com-esnweb01-nic</v>
      </c>
      <c r="L74" s="73" t="s">
        <v>516</v>
      </c>
      <c r="M74" s="73" t="s">
        <v>550</v>
      </c>
    </row>
    <row r="75" spans="1:13" x14ac:dyDescent="0.3">
      <c r="A75" s="97"/>
      <c r="B75" s="82" t="s">
        <v>182</v>
      </c>
      <c r="C75" s="82" t="str" cm="1">
        <f t="array" ref="C75">UPPER(INDEX(_xlfn.TEXTSPLIT($E75, "-"), 2))</f>
        <v>COM</v>
      </c>
      <c r="D75" s="82" t="s">
        <v>198</v>
      </c>
      <c r="E75" s="82" t="str">
        <f t="shared" si="5"/>
        <v>t-com-esnwas01-nsg</v>
      </c>
      <c r="F75" s="82" t="s">
        <v>198</v>
      </c>
      <c r="G75" s="74" t="s">
        <v>200</v>
      </c>
      <c r="H75" s="74" t="s">
        <v>318</v>
      </c>
      <c r="I75" s="74" t="s">
        <v>542</v>
      </c>
      <c r="J75" s="74" t="s">
        <v>540</v>
      </c>
      <c r="K75" s="74" t="str">
        <f t="shared" ref="K75" si="6">SUBSTITUTE(I75,"hazr-","")&amp;"-nic"</f>
        <v>t-com-esnwas01-nic</v>
      </c>
      <c r="L75" s="74" t="s">
        <v>516</v>
      </c>
      <c r="M75" s="74" t="s">
        <v>550</v>
      </c>
    </row>
    <row r="76" spans="1:13" x14ac:dyDescent="0.3">
      <c r="A76" s="97"/>
      <c r="B76" s="80" t="s">
        <v>182</v>
      </c>
      <c r="C76" s="80" t="str" cm="1">
        <f t="array" ref="C76">UPPER(INDEX(_xlfn.TEXTSPLIT($E76, "-"), 2))</f>
        <v>DTG</v>
      </c>
      <c r="D76" s="80" t="s">
        <v>198</v>
      </c>
      <c r="E76" s="80" t="str">
        <f t="shared" ref="E76:E89" si="7">SUBSTITUTE(I76,"hazr-","")&amp;"-nsg"</f>
        <v>t-dtg-bbigeoap01-nsg</v>
      </c>
      <c r="F76" s="80" t="s">
        <v>198</v>
      </c>
      <c r="G76" s="73" t="s">
        <v>200</v>
      </c>
      <c r="H76" s="73" t="s">
        <v>310</v>
      </c>
      <c r="I76" s="73" t="s">
        <v>549</v>
      </c>
      <c r="J76" s="73" t="s">
        <v>374</v>
      </c>
      <c r="K76" s="73" t="str">
        <f>SUBSTITUTE(I76,"hazr-","")&amp;"-nic"</f>
        <v>t-dtg-bbigeoap01-nic</v>
      </c>
      <c r="L76" s="73" t="s">
        <v>516</v>
      </c>
      <c r="M76" s="73" t="s">
        <v>551</v>
      </c>
    </row>
    <row r="77" spans="1:13" x14ac:dyDescent="0.3">
      <c r="A77" s="97"/>
      <c r="B77" s="82" t="s">
        <v>182</v>
      </c>
      <c r="C77" s="82" t="str" cm="1">
        <f t="array" ref="C77">UPPER(INDEX(_xlfn.TEXTSPLIT($E77, "-"), 2))</f>
        <v>IF</v>
      </c>
      <c r="D77" s="82" t="s">
        <v>198</v>
      </c>
      <c r="E77" s="82" t="str">
        <f t="shared" si="7"/>
        <v>t-if-hipsap01-nsg</v>
      </c>
      <c r="F77" s="82" t="s">
        <v>198</v>
      </c>
      <c r="G77" s="74" t="s">
        <v>200</v>
      </c>
      <c r="H77" s="74" t="s">
        <v>321</v>
      </c>
      <c r="I77" s="74" t="s">
        <v>554</v>
      </c>
      <c r="J77" s="74" t="s">
        <v>448</v>
      </c>
      <c r="K77" s="74" t="str">
        <f>SUBSTITUTE(I77,"hazr-","")&amp;"-nic"</f>
        <v>t-if-hipsap01-nic</v>
      </c>
      <c r="L77" s="74" t="s">
        <v>516</v>
      </c>
      <c r="M77" s="74" t="s">
        <v>557</v>
      </c>
    </row>
    <row r="78" spans="1:13" x14ac:dyDescent="0.3">
      <c r="A78" s="97"/>
      <c r="B78" s="80" t="s">
        <v>182</v>
      </c>
      <c r="C78" s="80" t="str" cm="1">
        <f t="array" ref="C78">UPPER(INDEX(_xlfn.TEXTSPLIT($E78, "-"), 2))</f>
        <v>BDP</v>
      </c>
      <c r="D78" s="80" t="s">
        <v>198</v>
      </c>
      <c r="E78" s="80" t="str">
        <f t="shared" si="7"/>
        <v>t-bdp-rlgcweb01-nsg</v>
      </c>
      <c r="F78" s="80" t="s">
        <v>198</v>
      </c>
      <c r="G78" s="73" t="s">
        <v>199</v>
      </c>
      <c r="H78" s="73" t="s">
        <v>332</v>
      </c>
      <c r="I78" s="73" t="s">
        <v>558</v>
      </c>
      <c r="J78" s="73" t="s">
        <v>375</v>
      </c>
      <c r="K78" s="73" t="str">
        <f>SUBSTITUTE(I78,"hazr-","")&amp;"-nic"</f>
        <v>t-bdp-rlgcweb01-nic</v>
      </c>
      <c r="L78" s="73" t="s">
        <v>516</v>
      </c>
      <c r="M78" s="73" t="s">
        <v>564</v>
      </c>
    </row>
    <row r="79" spans="1:13" x14ac:dyDescent="0.3">
      <c r="A79" s="97"/>
      <c r="B79" s="82" t="s">
        <v>182</v>
      </c>
      <c r="C79" s="82" t="str" cm="1">
        <f t="array" ref="C79">UPPER(INDEX(_xlfn.TEXTSPLIT($E79, "-"), 2))</f>
        <v>BDP</v>
      </c>
      <c r="D79" s="82" t="s">
        <v>198</v>
      </c>
      <c r="E79" s="82" t="str">
        <f t="shared" si="7"/>
        <v>t-bdp-rlgcap01-nsg</v>
      </c>
      <c r="F79" s="82" t="s">
        <v>198</v>
      </c>
      <c r="G79" s="74" t="s">
        <v>200</v>
      </c>
      <c r="H79" s="74" t="s">
        <v>313</v>
      </c>
      <c r="I79" s="74" t="s">
        <v>560</v>
      </c>
      <c r="J79" s="74" t="s">
        <v>375</v>
      </c>
      <c r="K79" s="74" t="str">
        <f>SUBSTITUTE(I79,"hazr-","")&amp;"-nic"</f>
        <v>t-bdp-rlgcap01-nic</v>
      </c>
      <c r="L79" s="74" t="s">
        <v>516</v>
      </c>
      <c r="M79" s="74" t="s">
        <v>564</v>
      </c>
    </row>
    <row r="80" spans="1:13" x14ac:dyDescent="0.3">
      <c r="A80" s="97"/>
      <c r="B80" s="80" t="s">
        <v>182</v>
      </c>
      <c r="C80" s="80" t="str" cm="1">
        <f t="array" ref="C80">UPPER(INDEX(_xlfn.TEXTSPLIT($E80, "-"), 2))</f>
        <v>CLV</v>
      </c>
      <c r="D80" s="80" t="s">
        <v>198</v>
      </c>
      <c r="E80" s="80" t="str">
        <f t="shared" si="7"/>
        <v>t-clv-web01-nsg</v>
      </c>
      <c r="F80" s="80" t="s">
        <v>198</v>
      </c>
      <c r="G80" s="73" t="s">
        <v>199</v>
      </c>
      <c r="H80" s="73" t="s">
        <v>592</v>
      </c>
      <c r="I80" s="73" t="s">
        <v>585</v>
      </c>
      <c r="J80" s="73" t="s">
        <v>591</v>
      </c>
      <c r="K80" s="73" t="str">
        <f t="shared" ref="K80:K84" si="8">SUBSTITUTE(I80,"hazr-","")&amp;"-nic"</f>
        <v>t-clv-web01-nic</v>
      </c>
      <c r="L80" s="73" t="s">
        <v>516</v>
      </c>
      <c r="M80" s="73"/>
    </row>
    <row r="81" spans="1:13" x14ac:dyDescent="0.3">
      <c r="A81" s="97"/>
      <c r="B81" s="82" t="s">
        <v>182</v>
      </c>
      <c r="C81" s="82" t="str" cm="1">
        <f t="array" ref="C81">UPPER(INDEX(_xlfn.TEXTSPLIT($E81, "-"), 2))</f>
        <v>CLV</v>
      </c>
      <c r="D81" s="82" t="s">
        <v>198</v>
      </c>
      <c r="E81" s="82" t="str">
        <f t="shared" si="7"/>
        <v>t-clv-ap01-nsg</v>
      </c>
      <c r="F81" s="82" t="s">
        <v>198</v>
      </c>
      <c r="G81" s="74" t="s">
        <v>200</v>
      </c>
      <c r="H81" s="74" t="s">
        <v>593</v>
      </c>
      <c r="I81" s="74" t="s">
        <v>586</v>
      </c>
      <c r="J81" s="74" t="s">
        <v>591</v>
      </c>
      <c r="K81" s="74" t="str">
        <f t="shared" si="8"/>
        <v>t-clv-ap01-nic</v>
      </c>
      <c r="L81" s="74" t="s">
        <v>516</v>
      </c>
      <c r="M81" s="74"/>
    </row>
    <row r="82" spans="1:13" x14ac:dyDescent="0.3">
      <c r="A82" s="97"/>
      <c r="B82" s="80" t="s">
        <v>182</v>
      </c>
      <c r="C82" s="80" t="str" cm="1">
        <f t="array" ref="C82">UPPER(INDEX(_xlfn.TEXTSPLIT($E82, "-"), 2))</f>
        <v>CLV</v>
      </c>
      <c r="D82" s="80" t="s">
        <v>198</v>
      </c>
      <c r="E82" s="80" t="str">
        <f t="shared" si="7"/>
        <v>t-clv-ssrap01-nsg</v>
      </c>
      <c r="F82" s="80" t="s">
        <v>198</v>
      </c>
      <c r="G82" s="73" t="s">
        <v>200</v>
      </c>
      <c r="H82" s="73" t="s">
        <v>593</v>
      </c>
      <c r="I82" s="73" t="s">
        <v>587</v>
      </c>
      <c r="J82" s="73" t="s">
        <v>591</v>
      </c>
      <c r="K82" s="73" t="str">
        <f t="shared" si="8"/>
        <v>t-clv-ssrap01-nic</v>
      </c>
      <c r="L82" s="73" t="s">
        <v>516</v>
      </c>
      <c r="M82" s="73"/>
    </row>
    <row r="83" spans="1:13" x14ac:dyDescent="0.3">
      <c r="A83" s="97"/>
      <c r="B83" s="82" t="s">
        <v>182</v>
      </c>
      <c r="C83" s="82" t="str" cm="1">
        <f t="array" ref="C83">UPPER(INDEX(_xlfn.TEXTSPLIT($E83, "-"), 2))</f>
        <v>CLV</v>
      </c>
      <c r="D83" s="82" t="s">
        <v>198</v>
      </c>
      <c r="E83" s="82" t="str">
        <f t="shared" si="7"/>
        <v>t-clv-admweb01-nsg</v>
      </c>
      <c r="F83" s="82" t="s">
        <v>198</v>
      </c>
      <c r="G83" s="74" t="s">
        <v>200</v>
      </c>
      <c r="H83" s="74" t="s">
        <v>593</v>
      </c>
      <c r="I83" s="74" t="s">
        <v>588</v>
      </c>
      <c r="J83" s="74" t="s">
        <v>591</v>
      </c>
      <c r="K83" s="74" t="str">
        <f t="shared" si="8"/>
        <v>t-clv-admweb01-nic</v>
      </c>
      <c r="L83" s="74" t="s">
        <v>516</v>
      </c>
      <c r="M83" s="74"/>
    </row>
    <row r="84" spans="1:13" x14ac:dyDescent="0.3">
      <c r="A84" s="97"/>
      <c r="B84" s="80" t="s">
        <v>182</v>
      </c>
      <c r="C84" s="80" t="str" cm="1">
        <f t="array" ref="C84">UPPER(INDEX(_xlfn.TEXTSPLIT($E84, "-"), 2))</f>
        <v>CLV</v>
      </c>
      <c r="D84" s="80" t="s">
        <v>198</v>
      </c>
      <c r="E84" s="80" t="str">
        <f t="shared" si="7"/>
        <v>t-clv-admap01-nsg</v>
      </c>
      <c r="F84" s="80" t="s">
        <v>198</v>
      </c>
      <c r="G84" s="73" t="s">
        <v>200</v>
      </c>
      <c r="H84" s="73" t="s">
        <v>593</v>
      </c>
      <c r="I84" s="73" t="s">
        <v>589</v>
      </c>
      <c r="J84" s="73" t="s">
        <v>591</v>
      </c>
      <c r="K84" s="73" t="str">
        <f t="shared" si="8"/>
        <v>t-clv-admap01-nic</v>
      </c>
      <c r="L84" s="73" t="s">
        <v>516</v>
      </c>
      <c r="M84" s="73"/>
    </row>
    <row r="85" spans="1:13" x14ac:dyDescent="0.3">
      <c r="B85" s="82" t="s">
        <v>182</v>
      </c>
      <c r="C85" s="82" t="str" cm="1">
        <f t="array" ref="C85">UPPER(INDEX(_xlfn.TEXTSPLIT($E85, "-"), 2))</f>
        <v>TM</v>
      </c>
      <c r="D85" s="82" t="s">
        <v>198</v>
      </c>
      <c r="E85" s="82" t="str">
        <f t="shared" si="7"/>
        <v>t-tm-chweb01-nsg</v>
      </c>
      <c r="F85" s="82" t="s">
        <v>198</v>
      </c>
      <c r="G85" s="74" t="s">
        <v>199</v>
      </c>
      <c r="H85" s="117" t="s">
        <v>619</v>
      </c>
      <c r="I85" s="74" t="s">
        <v>609</v>
      </c>
      <c r="J85" s="74" t="s">
        <v>607</v>
      </c>
      <c r="K85" s="74" t="str">
        <f t="shared" ref="K85:K89" si="9">SUBSTITUTE(I85,"hazr-","")&amp;"-nic"</f>
        <v>t-tm-chweb01-nic</v>
      </c>
      <c r="L85" s="74" t="s">
        <v>516</v>
      </c>
      <c r="M85" s="74"/>
    </row>
    <row r="86" spans="1:13" x14ac:dyDescent="0.3">
      <c r="B86" s="80" t="s">
        <v>182</v>
      </c>
      <c r="C86" s="80" t="str" cm="1">
        <f t="array" ref="C86">UPPER(INDEX(_xlfn.TEXTSPLIT($E86, "-"), 2))</f>
        <v>TM</v>
      </c>
      <c r="D86" s="80" t="s">
        <v>198</v>
      </c>
      <c r="E86" s="80" t="str">
        <f t="shared" si="7"/>
        <v>t-tm-chap01-nsg</v>
      </c>
      <c r="F86" s="80" t="s">
        <v>198</v>
      </c>
      <c r="G86" s="73" t="s">
        <v>200</v>
      </c>
      <c r="H86" s="118" t="s">
        <v>620</v>
      </c>
      <c r="I86" s="73" t="s">
        <v>610</v>
      </c>
      <c r="J86" s="73" t="s">
        <v>607</v>
      </c>
      <c r="K86" s="73" t="str">
        <f t="shared" si="9"/>
        <v>t-tm-chap01-nic</v>
      </c>
      <c r="L86" s="73" t="s">
        <v>516</v>
      </c>
      <c r="M86" s="73"/>
    </row>
    <row r="87" spans="1:13" x14ac:dyDescent="0.3">
      <c r="B87" s="82" t="s">
        <v>182</v>
      </c>
      <c r="C87" s="82" t="str" cm="1">
        <f t="array" ref="C87">UPPER(INDEX(_xlfn.TEXTSPLIT($E87, "-"), 2))</f>
        <v>TM</v>
      </c>
      <c r="D87" s="82" t="s">
        <v>198</v>
      </c>
      <c r="E87" s="82" t="str">
        <f t="shared" si="7"/>
        <v>t-tm-chintweb01-nsg</v>
      </c>
      <c r="F87" s="82" t="s">
        <v>198</v>
      </c>
      <c r="G87" s="74" t="s">
        <v>200</v>
      </c>
      <c r="H87" s="117" t="s">
        <v>620</v>
      </c>
      <c r="I87" s="74" t="s">
        <v>611</v>
      </c>
      <c r="J87" s="74" t="s">
        <v>607</v>
      </c>
      <c r="K87" s="74" t="str">
        <f t="shared" si="9"/>
        <v>t-tm-chintweb01-nic</v>
      </c>
      <c r="L87" s="74" t="s">
        <v>516</v>
      </c>
      <c r="M87" s="74"/>
    </row>
    <row r="88" spans="1:13" x14ac:dyDescent="0.3">
      <c r="B88" s="80" t="s">
        <v>182</v>
      </c>
      <c r="C88" s="80" t="str" cm="1">
        <f t="array" ref="C88">UPPER(INDEX(_xlfn.TEXTSPLIT($E88, "-"), 2))</f>
        <v>GA</v>
      </c>
      <c r="D88" s="80" t="s">
        <v>198</v>
      </c>
      <c r="E88" s="80" t="str">
        <f t="shared" si="7"/>
        <v>t-ga-oweb01-nsg</v>
      </c>
      <c r="F88" s="80" t="s">
        <v>198</v>
      </c>
      <c r="G88" s="73" t="s">
        <v>199</v>
      </c>
      <c r="H88" s="118" t="s">
        <v>621</v>
      </c>
      <c r="I88" s="73" t="s">
        <v>612</v>
      </c>
      <c r="J88" s="73" t="s">
        <v>608</v>
      </c>
      <c r="K88" s="73" t="str">
        <f t="shared" si="9"/>
        <v>t-ga-oweb01-nic</v>
      </c>
      <c r="L88" s="73" t="s">
        <v>516</v>
      </c>
      <c r="M88" s="73"/>
    </row>
    <row r="89" spans="1:13" x14ac:dyDescent="0.3">
      <c r="B89" s="82" t="s">
        <v>182</v>
      </c>
      <c r="C89" s="82" t="str" cm="1">
        <f t="array" ref="C89">UPPER(INDEX(_xlfn.TEXTSPLIT($E89, "-"), 2))</f>
        <v>GA</v>
      </c>
      <c r="D89" s="82" t="s">
        <v>198</v>
      </c>
      <c r="E89" s="82" t="str">
        <f t="shared" si="7"/>
        <v>t-ga-oap01-nsg</v>
      </c>
      <c r="F89" s="82" t="s">
        <v>198</v>
      </c>
      <c r="G89" s="74" t="s">
        <v>200</v>
      </c>
      <c r="H89" s="117" t="s">
        <v>622</v>
      </c>
      <c r="I89" s="74" t="s">
        <v>613</v>
      </c>
      <c r="J89" s="74" t="s">
        <v>608</v>
      </c>
      <c r="K89" s="74" t="str">
        <f t="shared" si="9"/>
        <v>t-ga-oap01-nic</v>
      </c>
      <c r="L89" s="74" t="s">
        <v>516</v>
      </c>
      <c r="M89" s="74"/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10" workbookViewId="0">
      <selection activeCell="F48" sqref="F48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535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534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0"/>
  <sheetViews>
    <sheetView topLeftCell="A22" workbookViewId="0">
      <selection activeCell="N49" sqref="N49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537</v>
      </c>
      <c r="I2" s="74" t="s">
        <v>536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537</v>
      </c>
      <c r="I3" s="84" t="s">
        <v>536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537</v>
      </c>
      <c r="I4" s="74" t="s">
        <v>536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537</v>
      </c>
      <c r="I5" s="84" t="s">
        <v>536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537</v>
      </c>
      <c r="I6" s="74" t="s">
        <v>536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537</v>
      </c>
      <c r="I7" s="84" t="s">
        <v>536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537</v>
      </c>
      <c r="I8" s="74" t="s">
        <v>536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537</v>
      </c>
      <c r="I9" s="84" t="s">
        <v>536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537</v>
      </c>
      <c r="I10" s="84" t="s">
        <v>536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537</v>
      </c>
      <c r="I11" s="74" t="s">
        <v>536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537</v>
      </c>
      <c r="I12" s="74" t="s">
        <v>536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537</v>
      </c>
      <c r="I13" s="84" t="s">
        <v>536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537</v>
      </c>
      <c r="I14" s="74" t="s">
        <v>536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537</v>
      </c>
      <c r="I15" s="84" t="s">
        <v>536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537</v>
      </c>
      <c r="I16" s="74" t="s">
        <v>536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537</v>
      </c>
      <c r="I17" s="84" t="s">
        <v>536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537</v>
      </c>
      <c r="I18" s="74" t="s">
        <v>536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537</v>
      </c>
      <c r="I19" s="84" t="s">
        <v>536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537</v>
      </c>
      <c r="I20" s="74" t="s">
        <v>536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537</v>
      </c>
      <c r="I21" s="74" t="s">
        <v>536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537</v>
      </c>
      <c r="I22" s="74" t="s">
        <v>536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537</v>
      </c>
      <c r="I23" s="84" t="s">
        <v>536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537</v>
      </c>
      <c r="I24" s="74" t="s">
        <v>536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537</v>
      </c>
      <c r="I25" s="84" t="s">
        <v>536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537</v>
      </c>
      <c r="I26" s="74" t="s">
        <v>536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537</v>
      </c>
      <c r="I27" s="84" t="s">
        <v>536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537</v>
      </c>
      <c r="I28" s="74" t="s">
        <v>536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537</v>
      </c>
      <c r="I29" s="84" t="s">
        <v>536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537</v>
      </c>
      <c r="I30" s="74" t="s">
        <v>536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537</v>
      </c>
      <c r="I31" s="84" t="s">
        <v>536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537</v>
      </c>
      <c r="I32" s="74" t="s">
        <v>536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537</v>
      </c>
      <c r="I33" s="84" t="s">
        <v>536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537</v>
      </c>
      <c r="I34" s="74" t="s">
        <v>536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537</v>
      </c>
      <c r="I35" s="84" t="s">
        <v>536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537</v>
      </c>
      <c r="I36" s="74" t="s">
        <v>536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528</v>
      </c>
      <c r="G37" s="84" t="s">
        <v>111</v>
      </c>
      <c r="H37" s="84" t="s">
        <v>537</v>
      </c>
      <c r="I37" s="84" t="s">
        <v>536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530</v>
      </c>
      <c r="O37" s="84" t="s">
        <v>108</v>
      </c>
      <c r="P37" s="84" t="s">
        <v>531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552</v>
      </c>
      <c r="G38" s="74" t="s">
        <v>111</v>
      </c>
      <c r="H38" s="74" t="s">
        <v>537</v>
      </c>
      <c r="I38" s="74" t="s">
        <v>536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547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565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566</v>
      </c>
      <c r="G39" s="84" t="s">
        <v>111</v>
      </c>
      <c r="H39" s="84" t="s">
        <v>537</v>
      </c>
      <c r="I39" s="84" t="s">
        <v>536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568</v>
      </c>
      <c r="Q39" s="85" t="str">
        <f t="shared" si="3"/>
        <v>t-bdp-rlgcweb-lb-bp</v>
      </c>
    </row>
    <row r="40" spans="1:17" x14ac:dyDescent="0.3">
      <c r="A40" s="97"/>
      <c r="B40" s="74" t="s">
        <v>565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567</v>
      </c>
      <c r="G40" s="74" t="s">
        <v>111</v>
      </c>
      <c r="H40" s="74" t="s">
        <v>537</v>
      </c>
      <c r="I40" s="74" t="s">
        <v>536</v>
      </c>
      <c r="J40" s="74" t="s">
        <v>102</v>
      </c>
      <c r="K40" s="74" t="str">
        <f t="shared" ref="K40:K50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569</v>
      </c>
      <c r="Q40" s="87" t="str">
        <f t="shared" ref="Q40:Q50" si="5">SUBSTITUTE(F40, "hazr-", "")&amp;"-bp"</f>
        <v>t-bdp-rlgcap-lb-bp</v>
      </c>
    </row>
    <row r="41" spans="1:17" x14ac:dyDescent="0.3">
      <c r="A41" s="97"/>
      <c r="B41" s="84" t="s">
        <v>182</v>
      </c>
      <c r="C41" s="84" t="str" cm="1">
        <f t="array" ref="C41">UPPER(INDEX(_xlfn.TEXTSPLIT($F41, "-"), 3))</f>
        <v>CLV</v>
      </c>
      <c r="D41" s="84" t="s">
        <v>591</v>
      </c>
      <c r="E41" s="84" t="s">
        <v>24</v>
      </c>
      <c r="F41" s="84" t="s">
        <v>596</v>
      </c>
      <c r="G41" s="84" t="s">
        <v>111</v>
      </c>
      <c r="H41" s="84" t="s">
        <v>537</v>
      </c>
      <c r="I41" s="84" t="s">
        <v>536</v>
      </c>
      <c r="J41" s="84" t="s">
        <v>102</v>
      </c>
      <c r="K41" s="84" t="str">
        <f t="shared" si="4"/>
        <v>t-clv-web-lb-fe</v>
      </c>
      <c r="L41" s="84" t="s">
        <v>198</v>
      </c>
      <c r="M41" s="84" t="s">
        <v>199</v>
      </c>
      <c r="N41" s="84" t="s">
        <v>592</v>
      </c>
      <c r="O41" s="84" t="s">
        <v>108</v>
      </c>
      <c r="P41" s="84" t="s">
        <v>601</v>
      </c>
      <c r="Q41" s="85" t="str">
        <f t="shared" si="5"/>
        <v>t-clv-web-lb-bp</v>
      </c>
    </row>
    <row r="42" spans="1:17" x14ac:dyDescent="0.3">
      <c r="A42" s="97"/>
      <c r="B42" s="74" t="s">
        <v>182</v>
      </c>
      <c r="C42" s="74" t="str" cm="1">
        <f t="array" ref="C42">UPPER(INDEX(_xlfn.TEXTSPLIT($F42, "-"), 3))</f>
        <v>CLV</v>
      </c>
      <c r="D42" s="74" t="s">
        <v>591</v>
      </c>
      <c r="E42" s="74" t="s">
        <v>24</v>
      </c>
      <c r="F42" s="74" t="s">
        <v>597</v>
      </c>
      <c r="G42" s="74" t="s">
        <v>111</v>
      </c>
      <c r="H42" s="74" t="s">
        <v>537</v>
      </c>
      <c r="I42" s="74" t="s">
        <v>536</v>
      </c>
      <c r="J42" s="74" t="s">
        <v>102</v>
      </c>
      <c r="K42" s="74" t="str">
        <f t="shared" si="4"/>
        <v>t-clv-ap-lb-fe</v>
      </c>
      <c r="L42" s="74" t="s">
        <v>198</v>
      </c>
      <c r="M42" s="74" t="s">
        <v>200</v>
      </c>
      <c r="N42" s="74" t="s">
        <v>593</v>
      </c>
      <c r="O42" s="74" t="s">
        <v>108</v>
      </c>
      <c r="P42" s="74" t="s">
        <v>602</v>
      </c>
      <c r="Q42" s="87" t="str">
        <f t="shared" si="5"/>
        <v>t-clv-ap-lb-bp</v>
      </c>
    </row>
    <row r="43" spans="1:17" x14ac:dyDescent="0.3">
      <c r="A43" s="97"/>
      <c r="B43" s="84" t="s">
        <v>182</v>
      </c>
      <c r="C43" s="84" t="str" cm="1">
        <f t="array" ref="C43">UPPER(INDEX(_xlfn.TEXTSPLIT($F43, "-"), 3))</f>
        <v>CLV</v>
      </c>
      <c r="D43" s="84" t="s">
        <v>591</v>
      </c>
      <c r="E43" s="84" t="s">
        <v>24</v>
      </c>
      <c r="F43" s="84" t="s">
        <v>598</v>
      </c>
      <c r="G43" s="84" t="s">
        <v>111</v>
      </c>
      <c r="H43" s="84" t="s">
        <v>537</v>
      </c>
      <c r="I43" s="84" t="s">
        <v>536</v>
      </c>
      <c r="J43" s="84" t="s">
        <v>102</v>
      </c>
      <c r="K43" s="84" t="str">
        <f t="shared" si="4"/>
        <v>t-clv-ssrap-lb-fe</v>
      </c>
      <c r="L43" s="84" t="s">
        <v>198</v>
      </c>
      <c r="M43" s="84" t="s">
        <v>200</v>
      </c>
      <c r="N43" s="84" t="s">
        <v>593</v>
      </c>
      <c r="O43" s="84" t="s">
        <v>108</v>
      </c>
      <c r="P43" s="84" t="s">
        <v>603</v>
      </c>
      <c r="Q43" s="85" t="str">
        <f t="shared" si="5"/>
        <v>t-clv-ssrap-lb-bp</v>
      </c>
    </row>
    <row r="44" spans="1:17" x14ac:dyDescent="0.3">
      <c r="A44" s="97"/>
      <c r="B44" s="107" t="s">
        <v>182</v>
      </c>
      <c r="C44" s="107" t="str" cm="1">
        <f t="array" ref="C44">UPPER(INDEX(_xlfn.TEXTSPLIT($F44, "-"), 3))</f>
        <v>CLV</v>
      </c>
      <c r="D44" s="74" t="s">
        <v>591</v>
      </c>
      <c r="E44" s="107" t="s">
        <v>24</v>
      </c>
      <c r="F44" s="107" t="s">
        <v>599</v>
      </c>
      <c r="G44" s="107" t="s">
        <v>111</v>
      </c>
      <c r="H44" s="107" t="s">
        <v>537</v>
      </c>
      <c r="I44" s="107" t="s">
        <v>536</v>
      </c>
      <c r="J44" s="107" t="s">
        <v>102</v>
      </c>
      <c r="K44" s="107" t="str">
        <f t="shared" si="4"/>
        <v>t-clv-admweb-lb-fe</v>
      </c>
      <c r="L44" s="107" t="s">
        <v>198</v>
      </c>
      <c r="M44" s="107" t="s">
        <v>200</v>
      </c>
      <c r="N44" s="107" t="s">
        <v>593</v>
      </c>
      <c r="O44" s="107" t="s">
        <v>108</v>
      </c>
      <c r="P44" s="107" t="s">
        <v>604</v>
      </c>
      <c r="Q44" s="116" t="str">
        <f t="shared" si="5"/>
        <v>t-clv-admweb-lb-bp</v>
      </c>
    </row>
    <row r="45" spans="1:17" x14ac:dyDescent="0.3">
      <c r="A45" s="69"/>
      <c r="B45" s="84" t="s">
        <v>182</v>
      </c>
      <c r="C45" s="84" t="str" cm="1">
        <f t="array" ref="C45">UPPER(INDEX(_xlfn.TEXTSPLIT($F45, "-"), 3))</f>
        <v>CLV</v>
      </c>
      <c r="D45" s="84" t="s">
        <v>591</v>
      </c>
      <c r="E45" s="84" t="s">
        <v>24</v>
      </c>
      <c r="F45" s="84" t="s">
        <v>600</v>
      </c>
      <c r="G45" s="84" t="s">
        <v>111</v>
      </c>
      <c r="H45" s="84" t="s">
        <v>537</v>
      </c>
      <c r="I45" s="84" t="s">
        <v>536</v>
      </c>
      <c r="J45" s="84" t="s">
        <v>102</v>
      </c>
      <c r="K45" s="84" t="str">
        <f t="shared" si="4"/>
        <v>t-clv-admap-lb-fe</v>
      </c>
      <c r="L45" s="84" t="s">
        <v>198</v>
      </c>
      <c r="M45" s="84" t="s">
        <v>200</v>
      </c>
      <c r="N45" s="84" t="s">
        <v>593</v>
      </c>
      <c r="O45" s="84" t="s">
        <v>108</v>
      </c>
      <c r="P45" s="84" t="s">
        <v>605</v>
      </c>
      <c r="Q45" s="85" t="str">
        <f t="shared" si="5"/>
        <v>t-clv-admap-lb-bp</v>
      </c>
    </row>
    <row r="46" spans="1:17" x14ac:dyDescent="0.3">
      <c r="A46" s="48"/>
      <c r="B46" s="74" t="s">
        <v>182</v>
      </c>
      <c r="C46" s="74" t="str" cm="1">
        <f t="array" ref="C46">UPPER(INDEX(_xlfn.TEXTSPLIT($F46, "-"), 3))</f>
        <v>TM</v>
      </c>
      <c r="D46" s="74" t="s">
        <v>607</v>
      </c>
      <c r="E46" s="74" t="s">
        <v>24</v>
      </c>
      <c r="F46" s="74" t="s">
        <v>629</v>
      </c>
      <c r="G46" s="74" t="s">
        <v>111</v>
      </c>
      <c r="H46" s="74" t="s">
        <v>537</v>
      </c>
      <c r="I46" s="74" t="s">
        <v>576</v>
      </c>
      <c r="J46" s="74" t="s">
        <v>102</v>
      </c>
      <c r="K46" s="74" t="str">
        <f t="shared" si="4"/>
        <v>t-tm-chweb-lb-fe</v>
      </c>
      <c r="L46" s="74" t="s">
        <v>198</v>
      </c>
      <c r="M46" s="74" t="s">
        <v>199</v>
      </c>
      <c r="N46" s="117" t="s">
        <v>619</v>
      </c>
      <c r="O46" s="74" t="s">
        <v>108</v>
      </c>
      <c r="P46" s="74" t="s">
        <v>634</v>
      </c>
      <c r="Q46" s="74" t="str">
        <f t="shared" si="5"/>
        <v>t-tm-chweb-lb-bp</v>
      </c>
    </row>
    <row r="47" spans="1:17" x14ac:dyDescent="0.3">
      <c r="A47" s="48"/>
      <c r="B47" s="84" t="s">
        <v>182</v>
      </c>
      <c r="C47" s="84" t="str" cm="1">
        <f t="array" ref="C47">UPPER(INDEX(_xlfn.TEXTSPLIT($F47, "-"), 3))</f>
        <v>TM</v>
      </c>
      <c r="D47" s="84" t="s">
        <v>607</v>
      </c>
      <c r="E47" s="84" t="s">
        <v>24</v>
      </c>
      <c r="F47" s="84" t="s">
        <v>630</v>
      </c>
      <c r="G47" s="84" t="s">
        <v>111</v>
      </c>
      <c r="H47" s="84" t="s">
        <v>537</v>
      </c>
      <c r="I47" s="84" t="s">
        <v>576</v>
      </c>
      <c r="J47" s="84" t="s">
        <v>102</v>
      </c>
      <c r="K47" s="84" t="str">
        <f t="shared" si="4"/>
        <v>t-tm-chap-lb-fe</v>
      </c>
      <c r="L47" s="84" t="s">
        <v>198</v>
      </c>
      <c r="M47" s="84" t="s">
        <v>200</v>
      </c>
      <c r="N47" s="118" t="s">
        <v>620</v>
      </c>
      <c r="O47" s="84" t="s">
        <v>108</v>
      </c>
      <c r="P47" s="84" t="s">
        <v>635</v>
      </c>
      <c r="Q47" s="85" t="str">
        <f t="shared" si="5"/>
        <v>t-tm-chap-lb-bp</v>
      </c>
    </row>
    <row r="48" spans="1:17" x14ac:dyDescent="0.3">
      <c r="A48" s="48"/>
      <c r="B48" s="74" t="s">
        <v>182</v>
      </c>
      <c r="C48" s="74" t="str" cm="1">
        <f t="array" ref="C48">UPPER(INDEX(_xlfn.TEXTSPLIT($F48, "-"), 3))</f>
        <v>TM</v>
      </c>
      <c r="D48" s="74" t="s">
        <v>607</v>
      </c>
      <c r="E48" s="74" t="s">
        <v>24</v>
      </c>
      <c r="F48" s="74" t="s">
        <v>631</v>
      </c>
      <c r="G48" s="74" t="s">
        <v>111</v>
      </c>
      <c r="H48" s="74" t="s">
        <v>537</v>
      </c>
      <c r="I48" s="74" t="s">
        <v>576</v>
      </c>
      <c r="J48" s="74" t="s">
        <v>102</v>
      </c>
      <c r="K48" s="74" t="str">
        <f t="shared" si="4"/>
        <v>t-tm-chintweb-lb-fe</v>
      </c>
      <c r="L48" s="74" t="s">
        <v>198</v>
      </c>
      <c r="M48" s="74" t="s">
        <v>200</v>
      </c>
      <c r="N48" s="117" t="s">
        <v>620</v>
      </c>
      <c r="O48" s="74" t="s">
        <v>108</v>
      </c>
      <c r="P48" s="74" t="s">
        <v>636</v>
      </c>
      <c r="Q48" s="74" t="str">
        <f t="shared" si="5"/>
        <v>t-tm-chintweb-lb-bp</v>
      </c>
    </row>
    <row r="49" spans="1:17" x14ac:dyDescent="0.3">
      <c r="A49" s="48"/>
      <c r="B49" s="84" t="s">
        <v>182</v>
      </c>
      <c r="C49" s="84" t="str" cm="1">
        <f t="array" ref="C49">UPPER(INDEX(_xlfn.TEXTSPLIT($F49, "-"), 3))</f>
        <v>GA</v>
      </c>
      <c r="D49" s="84" t="s">
        <v>608</v>
      </c>
      <c r="E49" s="84" t="s">
        <v>24</v>
      </c>
      <c r="F49" s="84" t="s">
        <v>633</v>
      </c>
      <c r="G49" s="84" t="s">
        <v>111</v>
      </c>
      <c r="H49" s="84" t="s">
        <v>537</v>
      </c>
      <c r="I49" s="84" t="s">
        <v>576</v>
      </c>
      <c r="J49" s="84" t="s">
        <v>102</v>
      </c>
      <c r="K49" s="84" t="str">
        <f t="shared" si="4"/>
        <v>t-ga-oweb-lb-fe</v>
      </c>
      <c r="L49" s="84" t="s">
        <v>198</v>
      </c>
      <c r="M49" s="84" t="s">
        <v>199</v>
      </c>
      <c r="N49" s="118" t="s">
        <v>621</v>
      </c>
      <c r="O49" s="84" t="s">
        <v>108</v>
      </c>
      <c r="P49" s="84" t="s">
        <v>637</v>
      </c>
      <c r="Q49" s="85" t="str">
        <f t="shared" si="5"/>
        <v>t-ga-oweb-lb-bp</v>
      </c>
    </row>
    <row r="50" spans="1:17" x14ac:dyDescent="0.3">
      <c r="A50" s="48"/>
      <c r="B50" s="74" t="s">
        <v>182</v>
      </c>
      <c r="C50" s="74" t="str" cm="1">
        <f t="array" ref="C50">UPPER(INDEX(_xlfn.TEXTSPLIT($F50, "-"), 3))</f>
        <v>GA</v>
      </c>
      <c r="D50" s="74" t="s">
        <v>608</v>
      </c>
      <c r="E50" s="74" t="s">
        <v>24</v>
      </c>
      <c r="F50" s="74" t="s">
        <v>632</v>
      </c>
      <c r="G50" s="74" t="s">
        <v>111</v>
      </c>
      <c r="H50" s="74" t="s">
        <v>537</v>
      </c>
      <c r="I50" s="74" t="s">
        <v>576</v>
      </c>
      <c r="J50" s="74" t="s">
        <v>102</v>
      </c>
      <c r="K50" s="74" t="str">
        <f t="shared" si="4"/>
        <v>t-ga-oap-lb-fe</v>
      </c>
      <c r="L50" s="74" t="s">
        <v>198</v>
      </c>
      <c r="M50" s="74" t="s">
        <v>200</v>
      </c>
      <c r="N50" s="117" t="s">
        <v>622</v>
      </c>
      <c r="O50" s="74" t="s">
        <v>108</v>
      </c>
      <c r="P50" s="74" t="s">
        <v>638</v>
      </c>
      <c r="Q50" s="74" t="str">
        <f t="shared" si="5"/>
        <v>t-ga-oap-lb-bp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75"/>
  <sheetViews>
    <sheetView topLeftCell="A55" workbookViewId="0">
      <selection activeCell="D71" sqref="D71:D75"/>
    </sheetView>
  </sheetViews>
  <sheetFormatPr defaultRowHeight="16.5" x14ac:dyDescent="0.3"/>
  <cols>
    <col min="1" max="1" width="2.375" customWidth="1"/>
    <col min="4" max="4" width="20.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30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526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357</v>
      </c>
      <c r="F28" s="74" t="str">
        <f t="shared" ref="F28" si="2">SUBSTITUTE(E28, "hazr-", "")&amp;"-pb"&amp;H28</f>
        <v>t-dtg-admap-lb-pb8088</v>
      </c>
      <c r="G28" s="74" t="s">
        <v>57</v>
      </c>
      <c r="H28" s="74">
        <v>8088</v>
      </c>
      <c r="I28" s="74"/>
      <c r="J28" s="74">
        <v>5</v>
      </c>
      <c r="K28" s="74">
        <v>2</v>
      </c>
    </row>
    <row r="29" spans="1:11" x14ac:dyDescent="0.3"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t-dis-web-lb-pb80</v>
      </c>
      <c r="G29" s="74" t="s">
        <v>57</v>
      </c>
      <c r="H29" s="74">
        <v>80</v>
      </c>
      <c r="I29" s="74"/>
      <c r="J29" s="74">
        <v>5</v>
      </c>
      <c r="K29" s="74">
        <v>2</v>
      </c>
    </row>
    <row r="30" spans="1:11" x14ac:dyDescent="0.3">
      <c r="A30" s="97"/>
      <c r="B30" s="74" t="s">
        <v>182</v>
      </c>
      <c r="C30" s="74" t="str" cm="1">
        <f t="array" ref="C30">UPPER(INDEX(_xlfn.TEXTSPLIT($D30, "-"), 3))</f>
        <v>DIS</v>
      </c>
      <c r="D30" s="74" t="s">
        <v>286</v>
      </c>
      <c r="E30" s="74" t="s">
        <v>289</v>
      </c>
      <c r="F30" s="74" t="str">
        <f t="shared" si="0"/>
        <v>t-dis-web-lb-pb443</v>
      </c>
      <c r="G30" s="74" t="s">
        <v>57</v>
      </c>
      <c r="H30" s="74">
        <v>443</v>
      </c>
      <c r="I30" s="74"/>
      <c r="J30" s="74">
        <v>5</v>
      </c>
      <c r="K30" s="74">
        <v>2</v>
      </c>
    </row>
    <row r="31" spans="1:11" x14ac:dyDescent="0.3">
      <c r="A31" s="97"/>
      <c r="B31" s="84" t="s">
        <v>182</v>
      </c>
      <c r="C31" s="84" t="str" cm="1">
        <f t="array" ref="C31">UPPER(INDEX(_xlfn.TEXTSPLIT($D31, "-"), 3))</f>
        <v>DIS</v>
      </c>
      <c r="D31" s="84" t="s">
        <v>286</v>
      </c>
      <c r="E31" s="84" t="s">
        <v>346</v>
      </c>
      <c r="F31" s="84" t="str">
        <f t="shared" ref="F31:F44" si="3">SUBSTITUTE(E31, "hazr-", "")&amp;"-pb"&amp;H31</f>
        <v>t-dis-drvmsgap-lb-pb8080</v>
      </c>
      <c r="G31" s="84" t="s">
        <v>526</v>
      </c>
      <c r="H31" s="84">
        <v>8080</v>
      </c>
      <c r="I31" s="84"/>
      <c r="J31" s="84">
        <v>5</v>
      </c>
      <c r="K31" s="8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345</v>
      </c>
      <c r="F32" s="74" t="str">
        <f t="shared" si="3"/>
        <v>t-dis-drvcltap-lb-pb8081</v>
      </c>
      <c r="G32" s="74" t="s">
        <v>57</v>
      </c>
      <c r="H32" s="74">
        <v>8081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3"/>
        <v>t-dis-cmsweb-lb-pb80</v>
      </c>
      <c r="G33" s="84" t="s">
        <v>57</v>
      </c>
      <c r="H33" s="84">
        <v>80</v>
      </c>
      <c r="I33" s="84"/>
      <c r="J33" s="84">
        <v>5</v>
      </c>
      <c r="K33" s="84">
        <v>2</v>
      </c>
    </row>
    <row r="34" spans="1:11" x14ac:dyDescent="0.3">
      <c r="A34" s="97"/>
      <c r="B34" s="84" t="s">
        <v>182</v>
      </c>
      <c r="C34" s="84" t="str" cm="1">
        <f t="array" ref="C34">UPPER(INDEX(_xlfn.TEXTSPLIT($D34, "-"), 3))</f>
        <v>DIS</v>
      </c>
      <c r="D34" s="84" t="s">
        <v>286</v>
      </c>
      <c r="E34" s="84" t="s">
        <v>349</v>
      </c>
      <c r="F34" s="84" t="str">
        <f t="shared" si="3"/>
        <v>t-dis-cmsweb-lb-pb443</v>
      </c>
      <c r="G34" s="84" t="s">
        <v>57</v>
      </c>
      <c r="H34" s="84">
        <v>443</v>
      </c>
      <c r="I34" s="84"/>
      <c r="J34" s="84">
        <v>5</v>
      </c>
      <c r="K34" s="84">
        <v>2</v>
      </c>
    </row>
    <row r="35" spans="1:11" x14ac:dyDescent="0.3">
      <c r="A35" s="97"/>
      <c r="B35" s="74" t="s">
        <v>182</v>
      </c>
      <c r="C35" s="74" t="str" cm="1">
        <f t="array" ref="C35">UPPER(INDEX(_xlfn.TEXTSPLIT($D35, "-"), 3))</f>
        <v>DIS</v>
      </c>
      <c r="D35" s="74" t="s">
        <v>286</v>
      </c>
      <c r="E35" s="74" t="s">
        <v>348</v>
      </c>
      <c r="F35" s="74" t="str">
        <f t="shared" si="3"/>
        <v>t-dis-cmsap-lb-pb4001</v>
      </c>
      <c r="G35" s="74" t="s">
        <v>57</v>
      </c>
      <c r="H35" s="74">
        <v>4001</v>
      </c>
      <c r="I35" s="74"/>
      <c r="J35" s="74">
        <v>5</v>
      </c>
      <c r="K35" s="7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347</v>
      </c>
      <c r="F36" s="84" t="str">
        <f t="shared" si="3"/>
        <v>t-dis-cmsadm-lb-pb443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350</v>
      </c>
      <c r="F37" s="74" t="str">
        <f t="shared" si="3"/>
        <v>t-dis-cmbsap-lb-pb8080</v>
      </c>
      <c r="G37" s="74" t="s">
        <v>526</v>
      </c>
      <c r="H37" s="74">
        <v>8080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342</v>
      </c>
      <c r="F38" s="84" t="str">
        <f t="shared" si="3"/>
        <v>t-dis-bbiweb-lb-pb443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344</v>
      </c>
      <c r="F39" s="74" t="str">
        <f t="shared" si="3"/>
        <v>t-dis-bbimsgap-lb-pb20030</v>
      </c>
      <c r="G39" s="74" t="s">
        <v>526</v>
      </c>
      <c r="H39" s="74">
        <v>20030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3"/>
        <v>t-dis-bbicltap-lb-pb20000</v>
      </c>
      <c r="G40" s="84" t="s">
        <v>526</v>
      </c>
      <c r="H40" s="84">
        <v>20000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3"/>
        <v>t-dis-bbicltap-lb-pb21000</v>
      </c>
      <c r="G41" s="84" t="s">
        <v>526</v>
      </c>
      <c r="H41" s="84">
        <v>21000</v>
      </c>
      <c r="I41" s="84"/>
      <c r="J41" s="84">
        <v>5</v>
      </c>
      <c r="K41" s="8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3"/>
        <v>t-dis-bbicltap-lb-pb22000</v>
      </c>
      <c r="G42" s="84" t="s">
        <v>526</v>
      </c>
      <c r="H42" s="84">
        <v>22000</v>
      </c>
      <c r="I42" s="84"/>
      <c r="J42" s="84">
        <v>5</v>
      </c>
      <c r="K42" s="84">
        <v>2</v>
      </c>
    </row>
    <row r="43" spans="1:11" x14ac:dyDescent="0.3"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287</v>
      </c>
      <c r="F43" s="74" t="str">
        <f t="shared" si="3"/>
        <v>t-dis-ap-lb-pb8080</v>
      </c>
      <c r="G43" s="74" t="s">
        <v>57</v>
      </c>
      <c r="H43" s="74">
        <v>8080</v>
      </c>
      <c r="I43" s="74"/>
      <c r="J43" s="74">
        <v>5</v>
      </c>
      <c r="K43" s="74">
        <v>2</v>
      </c>
    </row>
    <row r="44" spans="1:11" x14ac:dyDescent="0.3"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341</v>
      </c>
      <c r="F44" s="84" t="str">
        <f t="shared" si="3"/>
        <v>t-dis-adm-lb-pb443</v>
      </c>
      <c r="G44" s="84" t="s">
        <v>57</v>
      </c>
      <c r="H44" s="84">
        <v>443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/>
      <c r="D45" s="74" t="s">
        <v>205</v>
      </c>
      <c r="E45" s="74" t="s">
        <v>369</v>
      </c>
      <c r="F45" s="74" t="str">
        <f t="shared" ref="F45:F55" si="4">SUBSTITUTE(E45, "hazr-", "")&amp;"-pb"&amp;H45</f>
        <v>t-cs-chtweb-lb-pb</v>
      </c>
      <c r="G45" s="74"/>
      <c r="H45" s="74"/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/>
      <c r="D46" s="84" t="s">
        <v>205</v>
      </c>
      <c r="E46" s="84" t="s">
        <v>370</v>
      </c>
      <c r="F46" s="84" t="str">
        <f t="shared" si="4"/>
        <v>t-cs-chtintweb-lb-pb</v>
      </c>
      <c r="G46" s="84"/>
      <c r="H46" s="84"/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368</v>
      </c>
      <c r="F47" s="74" t="str">
        <f t="shared" si="4"/>
        <v>t-cs-chtap-lb-pb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533</v>
      </c>
      <c r="F48" s="74" t="str">
        <f t="shared" si="4"/>
        <v>t-if-auth-lb-pb8088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533</v>
      </c>
      <c r="F49" s="74" t="str">
        <f t="shared" si="4"/>
        <v>t-if-auth-lb-pb9003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448</v>
      </c>
      <c r="E50" s="74" t="s">
        <v>533</v>
      </c>
      <c r="F50" s="74" t="str">
        <f t="shared" si="4"/>
        <v>t-if-auth-lb-pb9005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BDP</v>
      </c>
      <c r="D51" s="84" t="s">
        <v>375</v>
      </c>
      <c r="E51" s="84" t="s">
        <v>367</v>
      </c>
      <c r="F51" s="84" t="str">
        <f t="shared" si="4"/>
        <v>t-bdp-slap-lb-pb443</v>
      </c>
      <c r="G51" s="84" t="s">
        <v>526</v>
      </c>
      <c r="H51" s="84">
        <v>443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375</v>
      </c>
      <c r="E52" s="74" t="s">
        <v>366</v>
      </c>
      <c r="F52" s="74" t="str">
        <f t="shared" si="4"/>
        <v>t-bdp-cxmadm-lb-pb443</v>
      </c>
      <c r="G52" s="74" t="s">
        <v>526</v>
      </c>
      <c r="H52" s="74">
        <v>443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375</v>
      </c>
      <c r="E53" s="84" t="s">
        <v>371</v>
      </c>
      <c r="F53" s="84" t="str">
        <f t="shared" si="4"/>
        <v>t-bdp-crkweb-lb-pb443</v>
      </c>
      <c r="G53" s="84" t="s">
        <v>57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375</v>
      </c>
      <c r="E54" s="74" t="s">
        <v>373</v>
      </c>
      <c r="F54" s="74" t="str">
        <f t="shared" si="4"/>
        <v>t-bdp-crkml-lb-pb8082</v>
      </c>
      <c r="G54" s="74" t="s">
        <v>57</v>
      </c>
      <c r="H54" s="74">
        <v>8082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375</v>
      </c>
      <c r="E55" s="84" t="s">
        <v>372</v>
      </c>
      <c r="F55" s="84" t="str">
        <f t="shared" si="4"/>
        <v>t-bdp-crkap-lb-pb8085</v>
      </c>
      <c r="G55" s="84" t="s">
        <v>57</v>
      </c>
      <c r="H55" s="84">
        <v>8085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552</v>
      </c>
      <c r="F56" s="74" t="str">
        <f t="shared" ref="F56:F75" si="5">SUBSTITUTE(E56, "hazr-", "")&amp;"-pb"&amp;H56</f>
        <v>t-dtg-bbigeoap-lb-pb8089</v>
      </c>
      <c r="G56" s="74" t="s">
        <v>57</v>
      </c>
      <c r="H56" s="74">
        <v>8089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DTG</v>
      </c>
      <c r="D57" s="74" t="s">
        <v>374</v>
      </c>
      <c r="E57" s="74" t="s">
        <v>552</v>
      </c>
      <c r="F57" s="74" t="str">
        <f t="shared" ref="F57:F69" si="6">SUBSTITUTE(E57, "hazr-", "")&amp;"-pb"&amp;H57</f>
        <v>t-dtg-bbigeoap-lb-pb9089</v>
      </c>
      <c r="G57" s="74" t="s">
        <v>57</v>
      </c>
      <c r="H57" s="74">
        <v>9089</v>
      </c>
      <c r="I57" s="74"/>
      <c r="J57" s="74">
        <v>5</v>
      </c>
      <c r="K57" s="74">
        <v>2</v>
      </c>
    </row>
    <row r="58" spans="1:11" x14ac:dyDescent="0.3">
      <c r="B58" s="84" t="s">
        <v>565</v>
      </c>
      <c r="C58" s="84" t="str" cm="1">
        <f t="array" ref="C58">UPPER(INDEX(_xlfn.TEXTSPLIT($D58, "-"), 3))</f>
        <v>BDP</v>
      </c>
      <c r="D58" s="84" t="s">
        <v>570</v>
      </c>
      <c r="E58" s="84" t="s">
        <v>566</v>
      </c>
      <c r="F58" s="84" t="str">
        <f t="shared" si="6"/>
        <v>t-bdp-rlgcweb-lb-pb443</v>
      </c>
      <c r="G58" s="84" t="s">
        <v>571</v>
      </c>
      <c r="H58" s="84">
        <v>443</v>
      </c>
      <c r="I58" s="84"/>
      <c r="J58" s="84">
        <v>5</v>
      </c>
      <c r="K58" s="84">
        <v>2</v>
      </c>
    </row>
    <row r="59" spans="1:11" x14ac:dyDescent="0.3">
      <c r="B59" s="74" t="s">
        <v>182</v>
      </c>
      <c r="C59" s="74" t="str" cm="1">
        <f t="array" ref="C59">UPPER(INDEX(_xlfn.TEXTSPLIT($D59, "-"), 3))</f>
        <v>BDP</v>
      </c>
      <c r="D59" s="74" t="s">
        <v>375</v>
      </c>
      <c r="E59" s="74" t="s">
        <v>567</v>
      </c>
      <c r="F59" s="74" t="str">
        <f t="shared" si="6"/>
        <v>t-bdp-rlgcap-lb-pb9092</v>
      </c>
      <c r="G59" s="74" t="s">
        <v>57</v>
      </c>
      <c r="H59" s="74">
        <v>9092</v>
      </c>
      <c r="I59" s="74"/>
      <c r="J59" s="74">
        <v>5</v>
      </c>
      <c r="K59" s="74">
        <v>2</v>
      </c>
    </row>
    <row r="60" spans="1:11" x14ac:dyDescent="0.3">
      <c r="B60" s="74" t="s">
        <v>182</v>
      </c>
      <c r="C60" s="74" t="str" cm="1">
        <f t="array" ref="C60">UPPER(INDEX(_xlfn.TEXTSPLIT($D60, "-"), 3))</f>
        <v>BDP</v>
      </c>
      <c r="D60" s="74" t="s">
        <v>375</v>
      </c>
      <c r="E60" s="74" t="s">
        <v>567</v>
      </c>
      <c r="F60" s="74" t="str">
        <f t="shared" ref="F60:F65" si="7">SUBSTITUTE(E60, "hazr-", "")&amp;"-pb"&amp;H60</f>
        <v>t-bdp-rlgcap-lb-pb9880</v>
      </c>
      <c r="G60" s="74" t="s">
        <v>57</v>
      </c>
      <c r="H60" s="74">
        <v>9880</v>
      </c>
      <c r="I60" s="74"/>
      <c r="J60" s="74">
        <v>5</v>
      </c>
      <c r="K60" s="74">
        <v>2</v>
      </c>
    </row>
    <row r="61" spans="1:11" x14ac:dyDescent="0.3">
      <c r="B61" s="74" t="s">
        <v>182</v>
      </c>
      <c r="C61" s="74" t="str" cm="1">
        <f t="array" ref="C61">UPPER(INDEX(_xlfn.TEXTSPLIT($D61, "-"), 3))</f>
        <v>BDP</v>
      </c>
      <c r="D61" s="74" t="s">
        <v>375</v>
      </c>
      <c r="E61" s="74" t="s">
        <v>567</v>
      </c>
      <c r="F61" s="74" t="str">
        <f t="shared" si="7"/>
        <v>t-bdp-rlgcap-lb-pb29105</v>
      </c>
      <c r="G61" s="74" t="s">
        <v>57</v>
      </c>
      <c r="H61" s="74">
        <v>29105</v>
      </c>
      <c r="I61" s="74"/>
      <c r="J61" s="74">
        <v>5</v>
      </c>
      <c r="K61" s="74">
        <v>2</v>
      </c>
    </row>
    <row r="62" spans="1:11" x14ac:dyDescent="0.3">
      <c r="B62" s="74" t="s">
        <v>182</v>
      </c>
      <c r="C62" s="74" t="str" cm="1">
        <f t="array" ref="C62">UPPER(INDEX(_xlfn.TEXTSPLIT($D62, "-"), 3))</f>
        <v>BDP</v>
      </c>
      <c r="D62" s="74" t="s">
        <v>375</v>
      </c>
      <c r="E62" s="74" t="s">
        <v>567</v>
      </c>
      <c r="F62" s="74" t="str">
        <f t="shared" si="7"/>
        <v>t-bdp-rlgcap-lb-pb29106</v>
      </c>
      <c r="G62" s="74" t="s">
        <v>57</v>
      </c>
      <c r="H62" s="74">
        <v>29106</v>
      </c>
      <c r="I62" s="74"/>
      <c r="J62" s="74">
        <v>5</v>
      </c>
      <c r="K62" s="74">
        <v>2</v>
      </c>
    </row>
    <row r="63" spans="1:11" x14ac:dyDescent="0.3">
      <c r="B63" s="74" t="s">
        <v>182</v>
      </c>
      <c r="C63" s="74" t="str" cm="1">
        <f t="array" ref="C63">UPPER(INDEX(_xlfn.TEXTSPLIT($D63, "-"), 3))</f>
        <v>BDP</v>
      </c>
      <c r="D63" s="74" t="s">
        <v>375</v>
      </c>
      <c r="E63" s="74" t="s">
        <v>567</v>
      </c>
      <c r="F63" s="74" t="str">
        <f t="shared" si="7"/>
        <v>t-bdp-rlgcap-lb-pb29107</v>
      </c>
      <c r="G63" s="74" t="s">
        <v>57</v>
      </c>
      <c r="H63" s="74">
        <v>29107</v>
      </c>
      <c r="I63" s="74"/>
      <c r="J63" s="74">
        <v>5</v>
      </c>
      <c r="K63" s="74">
        <v>2</v>
      </c>
    </row>
    <row r="64" spans="1:11" x14ac:dyDescent="0.3">
      <c r="B64" s="74" t="s">
        <v>182</v>
      </c>
      <c r="C64" s="74" t="str" cm="1">
        <f t="array" ref="C64">UPPER(INDEX(_xlfn.TEXTSPLIT($D64, "-"), 3))</f>
        <v>BDP</v>
      </c>
      <c r="D64" s="74" t="s">
        <v>375</v>
      </c>
      <c r="E64" s="74" t="s">
        <v>567</v>
      </c>
      <c r="F64" s="74" t="str">
        <f t="shared" si="7"/>
        <v>t-bdp-rlgcap-lb-pb29108</v>
      </c>
      <c r="G64" s="74" t="s">
        <v>57</v>
      </c>
      <c r="H64" s="74">
        <v>29108</v>
      </c>
      <c r="I64" s="74"/>
      <c r="J64" s="74">
        <v>5</v>
      </c>
      <c r="K64" s="74">
        <v>2</v>
      </c>
    </row>
    <row r="65" spans="1:11" x14ac:dyDescent="0.3">
      <c r="B65" s="107" t="s">
        <v>182</v>
      </c>
      <c r="C65" s="107" t="str" cm="1">
        <f t="array" ref="C65">UPPER(INDEX(_xlfn.TEXTSPLIT($D65, "-"), 3))</f>
        <v>BDP</v>
      </c>
      <c r="D65" s="107" t="s">
        <v>375</v>
      </c>
      <c r="E65" s="107" t="s">
        <v>567</v>
      </c>
      <c r="F65" s="107" t="str">
        <f t="shared" si="7"/>
        <v>t-bdp-rlgcap-lb-pb29109</v>
      </c>
      <c r="G65" s="107" t="s">
        <v>57</v>
      </c>
      <c r="H65" s="107">
        <v>29109</v>
      </c>
      <c r="I65" s="107"/>
      <c r="J65" s="107">
        <v>5</v>
      </c>
      <c r="K65" s="107">
        <v>2</v>
      </c>
    </row>
    <row r="66" spans="1:11" x14ac:dyDescent="0.3">
      <c r="A66" s="69"/>
      <c r="B66" s="84" t="s">
        <v>182</v>
      </c>
      <c r="C66" s="84" t="str" cm="1">
        <f t="array" ref="C66">UPPER(INDEX(_xlfn.TEXTSPLIT($D66, "-"), 3))</f>
        <v>CLV</v>
      </c>
      <c r="D66" s="84" t="s">
        <v>579</v>
      </c>
      <c r="E66" s="84" t="s">
        <v>596</v>
      </c>
      <c r="F66" s="84" t="str">
        <f t="shared" si="5"/>
        <v>t-clv-web-lb-pb443</v>
      </c>
      <c r="G66" s="84" t="s">
        <v>575</v>
      </c>
      <c r="H66" s="84">
        <v>443</v>
      </c>
      <c r="I66" s="84"/>
      <c r="J66" s="84">
        <v>5</v>
      </c>
      <c r="K66" s="84">
        <v>2</v>
      </c>
    </row>
    <row r="67" spans="1:11" x14ac:dyDescent="0.3">
      <c r="A67" s="69"/>
      <c r="B67" s="74" t="s">
        <v>182</v>
      </c>
      <c r="C67" s="74" t="str" cm="1">
        <f t="array" ref="C67">UPPER(INDEX(_xlfn.TEXTSPLIT($D67, "-"), 3))</f>
        <v>CLV</v>
      </c>
      <c r="D67" s="74" t="s">
        <v>579</v>
      </c>
      <c r="E67" s="74" t="s">
        <v>597</v>
      </c>
      <c r="F67" s="74" t="str">
        <f t="shared" si="6"/>
        <v>t-clv-ap-lb-pb8080</v>
      </c>
      <c r="G67" s="74" t="s">
        <v>575</v>
      </c>
      <c r="H67" s="74">
        <v>8080</v>
      </c>
      <c r="I67" s="74"/>
      <c r="J67" s="74">
        <v>5</v>
      </c>
      <c r="K67" s="74">
        <v>2</v>
      </c>
    </row>
    <row r="68" spans="1:11" x14ac:dyDescent="0.3">
      <c r="A68" s="69"/>
      <c r="B68" s="84" t="s">
        <v>182</v>
      </c>
      <c r="C68" s="84" t="str" cm="1">
        <f t="array" ref="C68">UPPER(INDEX(_xlfn.TEXTSPLIT($D68, "-"), 3))</f>
        <v>CLV</v>
      </c>
      <c r="D68" s="84" t="s">
        <v>579</v>
      </c>
      <c r="E68" s="84" t="s">
        <v>598</v>
      </c>
      <c r="F68" s="84" t="str">
        <f t="shared" si="5"/>
        <v>t-clv-ssrap-lb-pb8080</v>
      </c>
      <c r="G68" s="84" t="s">
        <v>575</v>
      </c>
      <c r="H68" s="84">
        <v>8080</v>
      </c>
      <c r="I68" s="84"/>
      <c r="J68" s="84">
        <v>5</v>
      </c>
      <c r="K68" s="84">
        <v>2</v>
      </c>
    </row>
    <row r="69" spans="1:11" x14ac:dyDescent="0.3">
      <c r="A69" s="69"/>
      <c r="B69" s="74" t="s">
        <v>182</v>
      </c>
      <c r="C69" s="74" t="str" cm="1">
        <f t="array" ref="C69">UPPER(INDEX(_xlfn.TEXTSPLIT($D69, "-"), 3))</f>
        <v>CLV</v>
      </c>
      <c r="D69" s="74" t="s">
        <v>579</v>
      </c>
      <c r="E69" s="107" t="s">
        <v>599</v>
      </c>
      <c r="F69" s="74" t="str">
        <f t="shared" si="6"/>
        <v>t-clv-admweb-lb-pb443</v>
      </c>
      <c r="G69" s="74" t="s">
        <v>575</v>
      </c>
      <c r="H69" s="74">
        <v>443</v>
      </c>
      <c r="I69" s="74"/>
      <c r="J69" s="74">
        <v>5</v>
      </c>
      <c r="K69" s="74">
        <v>2</v>
      </c>
    </row>
    <row r="70" spans="1:11" x14ac:dyDescent="0.3">
      <c r="A70" s="69"/>
      <c r="B70" s="84" t="s">
        <v>182</v>
      </c>
      <c r="C70" s="84" t="str" cm="1">
        <f t="array" ref="C70">UPPER(INDEX(_xlfn.TEXTSPLIT($D70, "-"), 3))</f>
        <v>CLV</v>
      </c>
      <c r="D70" s="84" t="s">
        <v>579</v>
      </c>
      <c r="E70" s="84" t="s">
        <v>600</v>
      </c>
      <c r="F70" s="84" t="str">
        <f t="shared" si="5"/>
        <v>t-clv-admap-lb-pb8080</v>
      </c>
      <c r="G70" s="84" t="s">
        <v>575</v>
      </c>
      <c r="H70" s="84">
        <v>8080</v>
      </c>
      <c r="I70" s="84"/>
      <c r="J70" s="84">
        <v>5</v>
      </c>
      <c r="K70" s="84">
        <v>2</v>
      </c>
    </row>
    <row r="71" spans="1:11" x14ac:dyDescent="0.3">
      <c r="A71" s="48"/>
      <c r="B71" s="74" t="s">
        <v>182</v>
      </c>
      <c r="C71" s="74" t="str" cm="1">
        <f t="array" ref="C71">UPPER(INDEX(_xlfn.TEXTSPLIT($D71, "-"), 3))</f>
        <v>TM</v>
      </c>
      <c r="D71" s="74" t="s">
        <v>607</v>
      </c>
      <c r="E71" s="74" t="s">
        <v>629</v>
      </c>
      <c r="F71" s="74" t="str">
        <f t="shared" si="5"/>
        <v>t-tm-chweb-lb-pb443</v>
      </c>
      <c r="G71" s="74" t="s">
        <v>577</v>
      </c>
      <c r="H71" s="74">
        <v>443</v>
      </c>
      <c r="I71" s="74"/>
      <c r="J71" s="74">
        <v>5</v>
      </c>
      <c r="K71" s="74">
        <v>2</v>
      </c>
    </row>
    <row r="72" spans="1:11" x14ac:dyDescent="0.3">
      <c r="A72" s="48"/>
      <c r="B72" s="84" t="s">
        <v>182</v>
      </c>
      <c r="C72" s="84" t="str" cm="1">
        <f t="array" ref="C72">UPPER(INDEX(_xlfn.TEXTSPLIT($D72, "-"), 3))</f>
        <v>TM</v>
      </c>
      <c r="D72" s="84" t="s">
        <v>607</v>
      </c>
      <c r="E72" s="84" t="s">
        <v>630</v>
      </c>
      <c r="F72" s="84" t="str">
        <f t="shared" si="5"/>
        <v>t-tm-chap-lb-pb8080</v>
      </c>
      <c r="G72" s="84" t="s">
        <v>577</v>
      </c>
      <c r="H72" s="84">
        <v>8080</v>
      </c>
      <c r="I72" s="84"/>
      <c r="J72" s="84">
        <v>5</v>
      </c>
      <c r="K72" s="84">
        <v>2</v>
      </c>
    </row>
    <row r="73" spans="1:11" x14ac:dyDescent="0.3">
      <c r="A73" s="48"/>
      <c r="B73" s="74" t="s">
        <v>182</v>
      </c>
      <c r="C73" s="74" t="str" cm="1">
        <f t="array" ref="C73">UPPER(INDEX(_xlfn.TEXTSPLIT($D73, "-"), 3))</f>
        <v>TM</v>
      </c>
      <c r="D73" s="74" t="s">
        <v>607</v>
      </c>
      <c r="E73" s="74" t="s">
        <v>631</v>
      </c>
      <c r="F73" s="74" t="str">
        <f t="shared" si="5"/>
        <v>t-tm-chintweb-lb-pb443</v>
      </c>
      <c r="G73" s="74" t="s">
        <v>577</v>
      </c>
      <c r="H73" s="74">
        <v>443</v>
      </c>
      <c r="I73" s="74"/>
      <c r="J73" s="74">
        <v>5</v>
      </c>
      <c r="K73" s="74">
        <v>2</v>
      </c>
    </row>
    <row r="74" spans="1:11" x14ac:dyDescent="0.3">
      <c r="A74" s="48"/>
      <c r="B74" s="84" t="s">
        <v>182</v>
      </c>
      <c r="C74" s="84" t="str" cm="1">
        <f t="array" ref="C74">UPPER(INDEX(_xlfn.TEXTSPLIT($D74, "-"), 3))</f>
        <v>GA</v>
      </c>
      <c r="D74" s="84" t="s">
        <v>608</v>
      </c>
      <c r="E74" s="84" t="s">
        <v>633</v>
      </c>
      <c r="F74" s="84" t="str">
        <f t="shared" si="5"/>
        <v>t-ga-oweb-lb-pb443</v>
      </c>
      <c r="G74" s="84" t="s">
        <v>577</v>
      </c>
      <c r="H74" s="84">
        <v>443</v>
      </c>
      <c r="I74" s="84"/>
      <c r="J74" s="84">
        <v>5</v>
      </c>
      <c r="K74" s="84">
        <v>2</v>
      </c>
    </row>
    <row r="75" spans="1:11" x14ac:dyDescent="0.3">
      <c r="A75" s="48"/>
      <c r="B75" s="74" t="s">
        <v>182</v>
      </c>
      <c r="C75" s="74" t="str" cm="1">
        <f t="array" ref="C75">UPPER(INDEX(_xlfn.TEXTSPLIT($D75, "-"), 3))</f>
        <v>GA</v>
      </c>
      <c r="D75" s="74" t="s">
        <v>608</v>
      </c>
      <c r="E75" s="74" t="s">
        <v>632</v>
      </c>
      <c r="F75" s="74" t="str">
        <f t="shared" si="5"/>
        <v>t-ga-oap-lb-pb8080</v>
      </c>
      <c r="G75" s="74" t="s">
        <v>577</v>
      </c>
      <c r="H75" s="74">
        <v>8080</v>
      </c>
      <c r="I75" s="74"/>
      <c r="J75" s="74">
        <v>5</v>
      </c>
      <c r="K7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R75"/>
  <sheetViews>
    <sheetView tabSelected="1" topLeftCell="A52" workbookViewId="0">
      <selection activeCell="E61" sqref="E61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522</v>
      </c>
      <c r="N1" s="72" t="s">
        <v>521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0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0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526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DTG</v>
      </c>
      <c r="C28" s="74" t="s">
        <v>374</v>
      </c>
      <c r="D28" s="74" t="s">
        <v>357</v>
      </c>
      <c r="E28" s="74" t="str">
        <f t="shared" ref="E28" si="8">SUBSTITUTE(D28, "hazr-", "")&amp;"-rule"&amp;N28</f>
        <v>t-dtg-admap-lb-rule8088</v>
      </c>
      <c r="F28" s="74" t="str">
        <f t="shared" ref="F28" si="9">SUBSTITUTE(D28, "hazr-", "")&amp;"-fe"</f>
        <v>t-dtg-admap-lb-fe</v>
      </c>
      <c r="G28" s="74" t="s">
        <v>57</v>
      </c>
      <c r="H28" s="74">
        <v>8088</v>
      </c>
      <c r="I28" s="74" t="b">
        <v>0</v>
      </c>
      <c r="J28" s="74" t="str">
        <f t="shared" ref="J28" si="10">SUBSTITUTE(D28, "hazr-", "")&amp;"-bp"</f>
        <v>t-dtg-admap-lb-bp</v>
      </c>
      <c r="K28" s="74">
        <v>8088</v>
      </c>
      <c r="L28" s="74" t="str">
        <f t="shared" ref="L28" si="11">SUBSTITUTE(D28, "hazr-", "")&amp;"-pb"&amp;IF(N28="", "", N28)</f>
        <v>t-dtg-admap-lb-pb8088</v>
      </c>
      <c r="M28" s="74" t="s">
        <v>57</v>
      </c>
      <c r="N28" s="74">
        <v>8088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ref="E29:E44" si="12">SUBSTITUTE(D29, "hazr-", "")&amp;"-rule"&amp;N29</f>
        <v>t-dis-web-lb-rule80</v>
      </c>
      <c r="F29" s="74" t="str">
        <f t="shared" si="1"/>
        <v>t-dis-web-lb-fe</v>
      </c>
      <c r="G29" s="74" t="s">
        <v>57</v>
      </c>
      <c r="H29" s="74">
        <v>80</v>
      </c>
      <c r="I29" s="74" t="b">
        <v>0</v>
      </c>
      <c r="J29" s="74" t="str">
        <f t="shared" si="2"/>
        <v>t-dis-web-lb-bp</v>
      </c>
      <c r="K29" s="74">
        <v>80</v>
      </c>
      <c r="L29" s="74" t="str">
        <f t="shared" ref="L29:L44" si="13">SUBSTITUTE(D29, "hazr-", "")&amp;"-pb"&amp;IF(N29="", "", N29)</f>
        <v>t-dis-web-lb-pb80</v>
      </c>
      <c r="M29" s="74" t="s">
        <v>57</v>
      </c>
      <c r="N29" s="74">
        <v>80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74" t="s">
        <v>182</v>
      </c>
      <c r="B30" s="74" t="str" cm="1">
        <f t="array" ref="B30">UPPER(INDEX(_xlfn.TEXTSPLIT($C30, "-"), 3))</f>
        <v>DIS</v>
      </c>
      <c r="C30" s="74" t="s">
        <v>286</v>
      </c>
      <c r="D30" s="74" t="s">
        <v>289</v>
      </c>
      <c r="E30" s="74" t="str">
        <f t="shared" si="12"/>
        <v>t-dis-web-lb-rule443</v>
      </c>
      <c r="F30" s="74" t="str">
        <f t="shared" si="1"/>
        <v>t-dis-web-lb-fe</v>
      </c>
      <c r="G30" s="74" t="s">
        <v>57</v>
      </c>
      <c r="H30" s="74">
        <v>443</v>
      </c>
      <c r="I30" s="74" t="b">
        <v>0</v>
      </c>
      <c r="J30" s="74" t="str">
        <f t="shared" si="2"/>
        <v>t-dis-web-lb-bp</v>
      </c>
      <c r="K30" s="74">
        <v>443</v>
      </c>
      <c r="L30" s="74" t="str">
        <f t="shared" si="13"/>
        <v>t-dis-web-lb-pb443</v>
      </c>
      <c r="M30" s="74" t="s">
        <v>57</v>
      </c>
      <c r="N30" s="74">
        <v>443</v>
      </c>
      <c r="O30" s="74">
        <v>4</v>
      </c>
      <c r="P30" s="74" t="s">
        <v>123</v>
      </c>
      <c r="Q30" s="74" t="b">
        <v>1</v>
      </c>
      <c r="R30" s="74" t="b">
        <v>0</v>
      </c>
    </row>
    <row r="31" spans="1:18" x14ac:dyDescent="0.3">
      <c r="A31" s="84" t="s">
        <v>182</v>
      </c>
      <c r="B31" s="84" t="str" cm="1">
        <f t="array" ref="B31">UPPER(INDEX(_xlfn.TEXTSPLIT($C31, "-"), 3))</f>
        <v>DIS</v>
      </c>
      <c r="C31" s="84" t="s">
        <v>286</v>
      </c>
      <c r="D31" s="84" t="s">
        <v>346</v>
      </c>
      <c r="E31" s="84" t="str">
        <f t="shared" si="12"/>
        <v>t-dis-drvmsgap-lb-rule8080</v>
      </c>
      <c r="F31" s="84" t="str">
        <f t="shared" ref="F31:F44" si="14">SUBSTITUTE(D31, "hazr-", "")&amp;"-fe"</f>
        <v>t-dis-drvmsgap-lb-fe</v>
      </c>
      <c r="G31" s="84" t="s">
        <v>57</v>
      </c>
      <c r="H31" s="84">
        <v>8080</v>
      </c>
      <c r="I31" s="84" t="b">
        <v>0</v>
      </c>
      <c r="J31" s="84" t="str">
        <f t="shared" ref="J31:J44" si="15">SUBSTITUTE(D31, "hazr-", "")&amp;"-bp"</f>
        <v>t-dis-drvmsgap-lb-bp</v>
      </c>
      <c r="K31" s="84">
        <v>8080</v>
      </c>
      <c r="L31" s="84" t="str">
        <f t="shared" si="13"/>
        <v>t-dis-drvmsgap-lb-pb8080</v>
      </c>
      <c r="M31" s="84" t="s">
        <v>526</v>
      </c>
      <c r="N31" s="84">
        <v>8080</v>
      </c>
      <c r="O31" s="84">
        <v>4</v>
      </c>
      <c r="P31" s="84" t="s">
        <v>123</v>
      </c>
      <c r="Q31" s="84" t="b">
        <v>1</v>
      </c>
      <c r="R31" s="8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345</v>
      </c>
      <c r="E32" s="74" t="str">
        <f t="shared" si="12"/>
        <v>t-dis-drvcltap-lb-rule8081</v>
      </c>
      <c r="F32" s="74" t="str">
        <f t="shared" si="14"/>
        <v>t-dis-drvcltap-lb-fe</v>
      </c>
      <c r="G32" s="74" t="s">
        <v>57</v>
      </c>
      <c r="H32" s="74">
        <v>8081</v>
      </c>
      <c r="I32" s="74" t="b">
        <v>0</v>
      </c>
      <c r="J32" s="74" t="str">
        <f t="shared" si="15"/>
        <v>t-dis-drvcltap-lb-bp</v>
      </c>
      <c r="K32" s="74">
        <v>8081</v>
      </c>
      <c r="L32" s="74" t="str">
        <f t="shared" si="13"/>
        <v>t-dis-drvcltap-lb-pb8081</v>
      </c>
      <c r="M32" s="74" t="s">
        <v>57</v>
      </c>
      <c r="N32" s="74">
        <v>8081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12"/>
        <v>t-dis-cmsweb-lb-rule80</v>
      </c>
      <c r="F33" s="84" t="str">
        <f t="shared" si="14"/>
        <v>t-dis-cmsweb-lb-fe</v>
      </c>
      <c r="G33" s="84" t="s">
        <v>57</v>
      </c>
      <c r="H33" s="84">
        <v>80</v>
      </c>
      <c r="I33" s="84" t="b">
        <v>0</v>
      </c>
      <c r="J33" s="84" t="str">
        <f t="shared" si="15"/>
        <v>t-dis-cmsweb-lb-bp</v>
      </c>
      <c r="K33" s="84">
        <v>80</v>
      </c>
      <c r="L33" s="84" t="str">
        <f t="shared" si="13"/>
        <v>t-dis-cmsweb-lb-pb80</v>
      </c>
      <c r="M33" s="84" t="s">
        <v>57</v>
      </c>
      <c r="N33" s="84">
        <v>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4" t="s">
        <v>182</v>
      </c>
      <c r="B34" s="84" t="str" cm="1">
        <f t="array" ref="B34">UPPER(INDEX(_xlfn.TEXTSPLIT($C34, "-"), 3))</f>
        <v>DIS</v>
      </c>
      <c r="C34" s="84" t="s">
        <v>286</v>
      </c>
      <c r="D34" s="84" t="s">
        <v>349</v>
      </c>
      <c r="E34" s="84" t="str">
        <f t="shared" si="12"/>
        <v>t-dis-cmsweb-lb-rule443</v>
      </c>
      <c r="F34" s="84" t="str">
        <f t="shared" si="14"/>
        <v>t-dis-cmsweb-lb-fe</v>
      </c>
      <c r="G34" s="84" t="s">
        <v>57</v>
      </c>
      <c r="H34" s="84">
        <v>443</v>
      </c>
      <c r="I34" s="84" t="b">
        <v>0</v>
      </c>
      <c r="J34" s="84" t="str">
        <f t="shared" si="15"/>
        <v>t-dis-cmsweb-lb-bp</v>
      </c>
      <c r="K34" s="84">
        <v>443</v>
      </c>
      <c r="L34" s="84" t="str">
        <f t="shared" si="13"/>
        <v>t-dis-cmsweb-lb-pb443</v>
      </c>
      <c r="M34" s="84" t="s">
        <v>57</v>
      </c>
      <c r="N34" s="84">
        <v>443</v>
      </c>
      <c r="O34" s="84">
        <v>4</v>
      </c>
      <c r="P34" s="84" t="s">
        <v>123</v>
      </c>
      <c r="Q34" s="84" t="b">
        <v>1</v>
      </c>
      <c r="R34" s="84" t="b">
        <v>0</v>
      </c>
    </row>
    <row r="35" spans="1:18" x14ac:dyDescent="0.3">
      <c r="A35" s="74" t="s">
        <v>182</v>
      </c>
      <c r="B35" s="74" t="str" cm="1">
        <f t="array" ref="B35">UPPER(INDEX(_xlfn.TEXTSPLIT($C35, "-"), 3))</f>
        <v>DIS</v>
      </c>
      <c r="C35" s="74" t="s">
        <v>286</v>
      </c>
      <c r="D35" s="74" t="s">
        <v>348</v>
      </c>
      <c r="E35" s="74" t="str">
        <f t="shared" si="12"/>
        <v>t-dis-cmsap-lb-rule4001</v>
      </c>
      <c r="F35" s="74" t="str">
        <f t="shared" si="14"/>
        <v>t-dis-cmsap-lb-fe</v>
      </c>
      <c r="G35" s="74" t="s">
        <v>57</v>
      </c>
      <c r="H35" s="74">
        <v>4001</v>
      </c>
      <c r="I35" s="74" t="b">
        <v>0</v>
      </c>
      <c r="J35" s="74" t="str">
        <f t="shared" si="15"/>
        <v>t-dis-cmsap-lb-bp</v>
      </c>
      <c r="K35" s="74">
        <v>4001</v>
      </c>
      <c r="L35" s="74" t="str">
        <f t="shared" si="13"/>
        <v>t-dis-cmsap-lb-pb4001</v>
      </c>
      <c r="M35" s="74" t="s">
        <v>57</v>
      </c>
      <c r="N35" s="74">
        <v>4001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347</v>
      </c>
      <c r="E36" s="84" t="str">
        <f t="shared" si="12"/>
        <v>t-dis-cmsadm-lb-rule443</v>
      </c>
      <c r="F36" s="84" t="str">
        <f t="shared" si="14"/>
        <v>t-dis-cmsadm-lb-fe</v>
      </c>
      <c r="G36" s="84" t="s">
        <v>57</v>
      </c>
      <c r="H36" s="84">
        <v>443</v>
      </c>
      <c r="I36" s="84" t="b">
        <v>0</v>
      </c>
      <c r="J36" s="84" t="str">
        <f t="shared" si="15"/>
        <v>t-dis-cmsadm-lb-bp</v>
      </c>
      <c r="K36" s="84">
        <v>443</v>
      </c>
      <c r="L36" s="84" t="str">
        <f t="shared" si="13"/>
        <v>t-dis-cmsadm-lb-pb443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350</v>
      </c>
      <c r="E37" s="74" t="str">
        <f t="shared" si="12"/>
        <v>t-dis-cmbsap-lb-rule8080</v>
      </c>
      <c r="F37" s="74" t="str">
        <f t="shared" si="14"/>
        <v>t-dis-cmbsap-lb-fe</v>
      </c>
      <c r="G37" s="74" t="s">
        <v>57</v>
      </c>
      <c r="H37" s="74">
        <v>8080</v>
      </c>
      <c r="I37" s="74" t="b">
        <v>0</v>
      </c>
      <c r="J37" s="74" t="str">
        <f t="shared" si="15"/>
        <v>t-dis-cmbsap-lb-bp</v>
      </c>
      <c r="K37" s="74">
        <v>8080</v>
      </c>
      <c r="L37" s="74" t="str">
        <f t="shared" si="13"/>
        <v>t-dis-cmbsap-lb-pb8080</v>
      </c>
      <c r="M37" s="74" t="s">
        <v>526</v>
      </c>
      <c r="N37" s="74">
        <v>8080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342</v>
      </c>
      <c r="E38" s="84" t="str">
        <f t="shared" si="12"/>
        <v>t-dis-bbiweb-lb-rule443</v>
      </c>
      <c r="F38" s="84" t="str">
        <f t="shared" si="14"/>
        <v>t-dis-bbiweb-lb-fe</v>
      </c>
      <c r="G38" s="84" t="s">
        <v>57</v>
      </c>
      <c r="H38" s="84">
        <v>443</v>
      </c>
      <c r="I38" s="84" t="b">
        <v>0</v>
      </c>
      <c r="J38" s="84" t="str">
        <f t="shared" si="15"/>
        <v>t-dis-bbiweb-lb-bp</v>
      </c>
      <c r="K38" s="84">
        <v>443</v>
      </c>
      <c r="L38" s="84" t="str">
        <f t="shared" si="13"/>
        <v>t-dis-bbiweb-lb-pb443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344</v>
      </c>
      <c r="E39" s="74" t="str">
        <f t="shared" si="12"/>
        <v>t-dis-bbimsgap-lb-rule20030</v>
      </c>
      <c r="F39" s="74" t="str">
        <f t="shared" si="14"/>
        <v>t-dis-bbimsgap-lb-fe</v>
      </c>
      <c r="G39" s="74" t="s">
        <v>57</v>
      </c>
      <c r="H39" s="74">
        <v>20030</v>
      </c>
      <c r="I39" s="74" t="b">
        <v>0</v>
      </c>
      <c r="J39" s="74" t="str">
        <f t="shared" si="15"/>
        <v>t-dis-bbimsgap-lb-bp</v>
      </c>
      <c r="K39" s="74">
        <v>20030</v>
      </c>
      <c r="L39" s="74" t="str">
        <f t="shared" si="13"/>
        <v>t-dis-bbimsgap-lb-pb20030</v>
      </c>
      <c r="M39" s="74" t="s">
        <v>526</v>
      </c>
      <c r="N39" s="74">
        <v>20030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12"/>
        <v>t-dis-bbicltap-lb-rule20000</v>
      </c>
      <c r="F40" s="84" t="str">
        <f t="shared" si="14"/>
        <v>t-dis-bbicltap-lb-fe</v>
      </c>
      <c r="G40" s="84" t="s">
        <v>57</v>
      </c>
      <c r="H40" s="84">
        <v>20000</v>
      </c>
      <c r="I40" s="84" t="b">
        <v>0</v>
      </c>
      <c r="J40" s="84" t="str">
        <f t="shared" si="15"/>
        <v>t-dis-bbicltap-lb-bp</v>
      </c>
      <c r="K40" s="84">
        <v>20000</v>
      </c>
      <c r="L40" s="84" t="str">
        <f t="shared" si="13"/>
        <v>t-dis-bbicltap-lb-pb20000</v>
      </c>
      <c r="M40" s="84" t="s">
        <v>526</v>
      </c>
      <c r="N40" s="84">
        <v>20000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12"/>
        <v>t-dis-bbicltap-lb-rule21000</v>
      </c>
      <c r="F41" s="84" t="str">
        <f t="shared" si="14"/>
        <v>t-dis-bbicltap-lb-fe</v>
      </c>
      <c r="G41" s="84" t="s">
        <v>57</v>
      </c>
      <c r="H41" s="84">
        <v>21000</v>
      </c>
      <c r="I41" s="84" t="b">
        <v>0</v>
      </c>
      <c r="J41" s="84" t="str">
        <f t="shared" si="15"/>
        <v>t-dis-bbicltap-lb-bp</v>
      </c>
      <c r="K41" s="84">
        <v>21000</v>
      </c>
      <c r="L41" s="84" t="str">
        <f t="shared" si="13"/>
        <v>t-dis-bbicltap-lb-pb21000</v>
      </c>
      <c r="M41" s="84" t="s">
        <v>526</v>
      </c>
      <c r="N41" s="84">
        <v>21000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12"/>
        <v>t-dis-bbicltap-lb-rule22000</v>
      </c>
      <c r="F42" s="84" t="str">
        <f t="shared" si="14"/>
        <v>t-dis-bbicltap-lb-fe</v>
      </c>
      <c r="G42" s="84" t="s">
        <v>57</v>
      </c>
      <c r="H42" s="84">
        <v>22000</v>
      </c>
      <c r="I42" s="84" t="b">
        <v>0</v>
      </c>
      <c r="J42" s="84" t="str">
        <f t="shared" si="15"/>
        <v>t-dis-bbicltap-lb-bp</v>
      </c>
      <c r="K42" s="84">
        <v>22000</v>
      </c>
      <c r="L42" s="84" t="str">
        <f t="shared" si="13"/>
        <v>t-dis-bbicltap-lb-pb22000</v>
      </c>
      <c r="M42" s="84" t="s">
        <v>526</v>
      </c>
      <c r="N42" s="84">
        <v>22000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287</v>
      </c>
      <c r="E43" s="74" t="str">
        <f t="shared" si="12"/>
        <v>t-dis-ap-lb-rule8080</v>
      </c>
      <c r="F43" s="74" t="str">
        <f t="shared" si="14"/>
        <v>t-dis-ap-lb-fe</v>
      </c>
      <c r="G43" s="74" t="s">
        <v>57</v>
      </c>
      <c r="H43" s="74">
        <v>8080</v>
      </c>
      <c r="I43" s="74" t="b">
        <v>0</v>
      </c>
      <c r="J43" s="74" t="str">
        <f t="shared" si="15"/>
        <v>t-dis-ap-lb-bp</v>
      </c>
      <c r="K43" s="74">
        <v>8080</v>
      </c>
      <c r="L43" s="74" t="str">
        <f t="shared" si="13"/>
        <v>t-dis-ap-lb-pb8080</v>
      </c>
      <c r="M43" s="74" t="s">
        <v>57</v>
      </c>
      <c r="N43" s="74">
        <v>8080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341</v>
      </c>
      <c r="E44" s="84" t="str">
        <f t="shared" si="12"/>
        <v>t-dis-adm-lb-rule443</v>
      </c>
      <c r="F44" s="84" t="str">
        <f t="shared" si="14"/>
        <v>t-dis-adm-lb-fe</v>
      </c>
      <c r="G44" s="84" t="s">
        <v>57</v>
      </c>
      <c r="H44" s="84">
        <v>443</v>
      </c>
      <c r="I44" s="84" t="b">
        <v>0</v>
      </c>
      <c r="J44" s="84" t="str">
        <f t="shared" si="15"/>
        <v>t-dis-adm-lb-bp</v>
      </c>
      <c r="K44" s="84">
        <v>443</v>
      </c>
      <c r="L44" s="84" t="str">
        <f t="shared" si="13"/>
        <v>t-dis-adm-lb-pb443</v>
      </c>
      <c r="M44" s="84" t="s">
        <v>57</v>
      </c>
      <c r="N44" s="84">
        <v>443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/>
      <c r="C45" s="74" t="s">
        <v>376</v>
      </c>
      <c r="D45" s="74" t="s">
        <v>369</v>
      </c>
      <c r="E45" s="74"/>
      <c r="F45" s="74" t="str">
        <f t="shared" ref="F45:F55" si="16">SUBSTITUTE(D45, "hazr-", "")&amp;"-fe"</f>
        <v>t-cs-chtweb-lb-fe</v>
      </c>
      <c r="G45" s="74" t="s">
        <v>57</v>
      </c>
      <c r="H45" s="74"/>
      <c r="I45" s="74" t="b">
        <v>0</v>
      </c>
      <c r="J45" s="74" t="str">
        <f t="shared" ref="J45:J55" si="17">SUBSTITUTE(D45, "hazr-", "")&amp;"-bp"</f>
        <v>t-cs-chtweb-lb-bp</v>
      </c>
      <c r="K45" s="74"/>
      <c r="L45" s="74"/>
      <c r="M45" s="74"/>
      <c r="N45" s="74"/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/>
      <c r="C46" s="84" t="s">
        <v>205</v>
      </c>
      <c r="D46" s="84" t="s">
        <v>370</v>
      </c>
      <c r="E46" s="84"/>
      <c r="F46" s="84" t="str">
        <f t="shared" si="16"/>
        <v>t-cs-chtintweb-lb-fe</v>
      </c>
      <c r="G46" s="84" t="s">
        <v>57</v>
      </c>
      <c r="H46" s="84"/>
      <c r="I46" s="84" t="b">
        <v>0</v>
      </c>
      <c r="J46" s="84" t="str">
        <f t="shared" si="17"/>
        <v>t-cs-chtintweb-lb-bp</v>
      </c>
      <c r="K46" s="84"/>
      <c r="L46" s="84"/>
      <c r="M46" s="84"/>
      <c r="N46" s="84"/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205</v>
      </c>
      <c r="D47" s="74" t="s">
        <v>368</v>
      </c>
      <c r="E47" s="74"/>
      <c r="F47" s="74" t="str">
        <f t="shared" si="16"/>
        <v>t-cs-chtap-lb-fe</v>
      </c>
      <c r="G47" s="74" t="s">
        <v>57</v>
      </c>
      <c r="H47" s="74"/>
      <c r="I47" s="74" t="b">
        <v>0</v>
      </c>
      <c r="J47" s="74" t="str">
        <f t="shared" si="17"/>
        <v>t-cs-chtap-lb-bp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532</v>
      </c>
      <c r="D48" s="74" t="s">
        <v>533</v>
      </c>
      <c r="E48" s="74" t="str">
        <f t="shared" ref="E48:E55" si="18">SUBSTITUTE(D48, "hazr-", "")&amp;"-rule"&amp;N48</f>
        <v>t-if-auth-lb-rule8088</v>
      </c>
      <c r="F48" s="74" t="str">
        <f t="shared" si="16"/>
        <v>t-if-auth-lb-fe</v>
      </c>
      <c r="G48" s="74" t="s">
        <v>57</v>
      </c>
      <c r="H48" s="74">
        <v>8088</v>
      </c>
      <c r="I48" s="74" t="b">
        <v>0</v>
      </c>
      <c r="J48" s="74" t="str">
        <f t="shared" si="17"/>
        <v>t-if-auth-lb-bp</v>
      </c>
      <c r="K48" s="74">
        <v>8088</v>
      </c>
      <c r="L48" s="74" t="str">
        <f t="shared" ref="L48:L55" si="19">SUBSTITUTE(D48, "hazr-", "")&amp;"-pb"&amp;IF(N48="", "", N48)</f>
        <v>t-if-auth-lb-pb8088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532</v>
      </c>
      <c r="D49" s="74" t="s">
        <v>533</v>
      </c>
      <c r="E49" s="74" t="str">
        <f t="shared" si="18"/>
        <v>t-if-auth-lb-rule9003</v>
      </c>
      <c r="F49" s="74" t="str">
        <f t="shared" si="16"/>
        <v>t-if-auth-lb-fe</v>
      </c>
      <c r="G49" s="74" t="s">
        <v>57</v>
      </c>
      <c r="H49" s="74">
        <v>9003</v>
      </c>
      <c r="I49" s="74" t="b">
        <v>0</v>
      </c>
      <c r="J49" s="74" t="str">
        <f t="shared" si="17"/>
        <v>t-if-auth-lb-bp</v>
      </c>
      <c r="K49" s="74">
        <v>9003</v>
      </c>
      <c r="L49" s="74" t="str">
        <f t="shared" si="19"/>
        <v>t-if-auth-lb-pb9003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532</v>
      </c>
      <c r="D50" s="74" t="s">
        <v>533</v>
      </c>
      <c r="E50" s="74" t="str">
        <f t="shared" si="18"/>
        <v>t-if-auth-lb-rule9005</v>
      </c>
      <c r="F50" s="74" t="str">
        <f t="shared" si="16"/>
        <v>t-if-auth-lb-fe</v>
      </c>
      <c r="G50" s="74" t="s">
        <v>57</v>
      </c>
      <c r="H50" s="74">
        <v>9005</v>
      </c>
      <c r="I50" s="74" t="b">
        <v>0</v>
      </c>
      <c r="J50" s="74" t="str">
        <f t="shared" si="17"/>
        <v>t-if-auth-lb-bp</v>
      </c>
      <c r="K50" s="74">
        <v>9005</v>
      </c>
      <c r="L50" s="74" t="str">
        <f t="shared" si="19"/>
        <v>t-if-auth-lb-pb9005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BDP</v>
      </c>
      <c r="C51" s="84" t="s">
        <v>375</v>
      </c>
      <c r="D51" s="84" t="s">
        <v>367</v>
      </c>
      <c r="E51" s="84" t="str">
        <f t="shared" si="18"/>
        <v>t-bdp-slap-lb-rule443</v>
      </c>
      <c r="F51" s="84" t="str">
        <f t="shared" si="16"/>
        <v>t-bdp-slap-lb-fe</v>
      </c>
      <c r="G51" s="84" t="s">
        <v>57</v>
      </c>
      <c r="H51" s="84">
        <v>443</v>
      </c>
      <c r="I51" s="84" t="b">
        <v>0</v>
      </c>
      <c r="J51" s="84" t="str">
        <f t="shared" si="17"/>
        <v>t-bdp-slap-lb-bp</v>
      </c>
      <c r="K51" s="84">
        <v>443</v>
      </c>
      <c r="L51" s="84" t="str">
        <f t="shared" si="19"/>
        <v>t-bdp-slap-lb-pb443</v>
      </c>
      <c r="M51" s="84" t="s">
        <v>526</v>
      </c>
      <c r="N51" s="84">
        <v>443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BDP</v>
      </c>
      <c r="C52" s="74" t="s">
        <v>375</v>
      </c>
      <c r="D52" s="74" t="s">
        <v>366</v>
      </c>
      <c r="E52" s="74" t="str">
        <f t="shared" si="18"/>
        <v>t-bdp-cxmadm-lb-rule443</v>
      </c>
      <c r="F52" s="74" t="str">
        <f t="shared" si="16"/>
        <v>t-bdp-cxmadm-lb-fe</v>
      </c>
      <c r="G52" s="74" t="s">
        <v>57</v>
      </c>
      <c r="H52" s="74">
        <v>443</v>
      </c>
      <c r="I52" s="74" t="b">
        <v>0</v>
      </c>
      <c r="J52" s="74" t="str">
        <f t="shared" si="17"/>
        <v>t-bdp-cxmadm-lb-bp</v>
      </c>
      <c r="K52" s="74">
        <v>443</v>
      </c>
      <c r="L52" s="74" t="str">
        <f t="shared" si="19"/>
        <v>t-bdp-cxmadm-lb-pb443</v>
      </c>
      <c r="M52" s="74" t="s">
        <v>526</v>
      </c>
      <c r="N52" s="74">
        <v>443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375</v>
      </c>
      <c r="D53" s="84" t="s">
        <v>371</v>
      </c>
      <c r="E53" s="84" t="str">
        <f t="shared" si="18"/>
        <v>t-bdp-crkweb-lb-rule443</v>
      </c>
      <c r="F53" s="84" t="str">
        <f t="shared" si="16"/>
        <v>t-bdp-crkweb-lb-fe</v>
      </c>
      <c r="G53" s="84" t="s">
        <v>57</v>
      </c>
      <c r="H53" s="84">
        <v>443</v>
      </c>
      <c r="I53" s="84" t="b">
        <v>0</v>
      </c>
      <c r="J53" s="84" t="str">
        <f t="shared" si="17"/>
        <v>t-bdp-crkweb-lb-bp</v>
      </c>
      <c r="K53" s="84">
        <v>443</v>
      </c>
      <c r="L53" s="84" t="str">
        <f t="shared" si="19"/>
        <v>t-bdp-crkweb-lb-pb443</v>
      </c>
      <c r="M53" s="84" t="s">
        <v>57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375</v>
      </c>
      <c r="D54" s="74" t="s">
        <v>373</v>
      </c>
      <c r="E54" s="74" t="str">
        <f t="shared" si="18"/>
        <v>t-bdp-crkml-lb-rule8082</v>
      </c>
      <c r="F54" s="74" t="str">
        <f t="shared" si="16"/>
        <v>t-bdp-crkml-lb-fe</v>
      </c>
      <c r="G54" s="74" t="s">
        <v>57</v>
      </c>
      <c r="H54" s="74">
        <v>8082</v>
      </c>
      <c r="I54" s="74" t="b">
        <v>0</v>
      </c>
      <c r="J54" s="74" t="str">
        <f t="shared" si="17"/>
        <v>t-bdp-crkml-lb-bp</v>
      </c>
      <c r="K54" s="74">
        <v>8082</v>
      </c>
      <c r="L54" s="74" t="str">
        <f t="shared" si="19"/>
        <v>t-bdp-crkml-lb-pb8082</v>
      </c>
      <c r="M54" s="74" t="s">
        <v>57</v>
      </c>
      <c r="N54" s="74">
        <v>8082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375</v>
      </c>
      <c r="D55" s="84" t="s">
        <v>372</v>
      </c>
      <c r="E55" s="84" t="str">
        <f t="shared" si="18"/>
        <v>t-bdp-crkap-lb-rule8085</v>
      </c>
      <c r="F55" s="84" t="str">
        <f t="shared" si="16"/>
        <v>t-bdp-crkap-lb-fe</v>
      </c>
      <c r="G55" s="84" t="s">
        <v>57</v>
      </c>
      <c r="H55" s="84">
        <v>8085</v>
      </c>
      <c r="I55" s="84" t="b">
        <v>0</v>
      </c>
      <c r="J55" s="84" t="str">
        <f t="shared" si="17"/>
        <v>t-bdp-crkap-lb-bp</v>
      </c>
      <c r="K55" s="84">
        <v>8085</v>
      </c>
      <c r="L55" s="84" t="str">
        <f t="shared" si="19"/>
        <v>t-bdp-crkap-lb-pb8085</v>
      </c>
      <c r="M55" s="84" t="s">
        <v>57</v>
      </c>
      <c r="N55" s="84">
        <v>8085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552</v>
      </c>
      <c r="E56" s="74" t="str">
        <f t="shared" ref="E56" si="20">SUBSTITUTE(D56, "hazr-", "")&amp;"-rule"&amp;N56</f>
        <v>t-dtg-bbigeoap-lb-rule8089</v>
      </c>
      <c r="F56" s="74" t="str">
        <f t="shared" ref="F56" si="21">SUBSTITUTE(D56, "hazr-", "")&amp;"-fe"</f>
        <v>t-dtg-bbigeoap-lb-fe</v>
      </c>
      <c r="G56" s="74" t="s">
        <v>57</v>
      </c>
      <c r="H56" s="74">
        <v>8089</v>
      </c>
      <c r="I56" s="74" t="b">
        <v>0</v>
      </c>
      <c r="J56" s="74" t="str">
        <f t="shared" ref="J56" si="22">SUBSTITUTE(D56, "hazr-", "")&amp;"-bp"</f>
        <v>t-dtg-bbigeoap-lb-bp</v>
      </c>
      <c r="K56" s="74">
        <v>8089</v>
      </c>
      <c r="L56" s="74" t="str">
        <f t="shared" ref="L56" si="23">SUBSTITUTE(D56, "hazr-", "")&amp;"-pb"&amp;IF(N56="", "", N56)</f>
        <v>t-dtg-bbigeoap-lb-pb8089</v>
      </c>
      <c r="M56" s="74" t="s">
        <v>57</v>
      </c>
      <c r="N56" s="74">
        <v>8089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DTG</v>
      </c>
      <c r="C57" s="74" t="s">
        <v>374</v>
      </c>
      <c r="D57" s="74" t="s">
        <v>552</v>
      </c>
      <c r="E57" s="74" t="str">
        <f t="shared" ref="E57:E71" si="24">SUBSTITUTE(D57, "hazr-", "")&amp;"-rule"&amp;N57</f>
        <v>t-dtg-bbigeoap-lb-rule9089</v>
      </c>
      <c r="F57" s="74" t="str">
        <f t="shared" ref="F57:F58" si="25">SUBSTITUTE(D57, "hazr-", "")&amp;"-fe"</f>
        <v>t-dtg-bbigeoap-lb-fe</v>
      </c>
      <c r="G57" s="74" t="s">
        <v>57</v>
      </c>
      <c r="H57" s="74">
        <v>9089</v>
      </c>
      <c r="I57" s="74" t="b">
        <v>0</v>
      </c>
      <c r="J57" s="74" t="str">
        <f t="shared" ref="J57:J58" si="26">SUBSTITUTE(D57, "hazr-", "")&amp;"-bp"</f>
        <v>t-dtg-bbigeoap-lb-bp</v>
      </c>
      <c r="K57" s="74">
        <v>9089</v>
      </c>
      <c r="L57" s="74" t="str">
        <f t="shared" ref="L57:L58" si="27">SUBSTITUTE(D57, "hazr-", "")&amp;"-pb"&amp;IF(N57="", "", N57)</f>
        <v>t-dtg-bbigeoap-lb-pb9089</v>
      </c>
      <c r="M57" s="74" t="s">
        <v>57</v>
      </c>
      <c r="N57" s="74">
        <v>9089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565</v>
      </c>
      <c r="B58" s="84" t="str" cm="1">
        <f t="array" ref="B58">UPPER(INDEX(_xlfn.TEXTSPLIT($C58, "-"), 3))</f>
        <v>BDP</v>
      </c>
      <c r="C58" s="84" t="s">
        <v>570</v>
      </c>
      <c r="D58" s="84" t="s">
        <v>566</v>
      </c>
      <c r="E58" s="84" t="str">
        <f t="shared" si="24"/>
        <v>t-bdp-rlgcweb-lb-rule443</v>
      </c>
      <c r="F58" s="84" t="str">
        <f t="shared" si="25"/>
        <v>t-bdp-rlgcweb-lb-fe</v>
      </c>
      <c r="G58" s="84" t="s">
        <v>571</v>
      </c>
      <c r="H58" s="84">
        <v>443</v>
      </c>
      <c r="I58" s="84" t="b">
        <v>0</v>
      </c>
      <c r="J58" s="84" t="str">
        <f t="shared" si="26"/>
        <v>t-bdp-rlgcweb-lb-bp</v>
      </c>
      <c r="K58" s="84">
        <v>443</v>
      </c>
      <c r="L58" s="84" t="str">
        <f t="shared" si="27"/>
        <v>t-bdp-rlgcweb-lb-pb443</v>
      </c>
      <c r="M58" s="84" t="s">
        <v>571</v>
      </c>
      <c r="N58" s="84">
        <v>443</v>
      </c>
      <c r="O58" s="84">
        <v>4</v>
      </c>
      <c r="P58" s="84" t="s">
        <v>572</v>
      </c>
      <c r="Q58" s="84" t="b">
        <v>1</v>
      </c>
      <c r="R58" s="8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BDP</v>
      </c>
      <c r="C59" s="74" t="s">
        <v>375</v>
      </c>
      <c r="D59" s="74" t="s">
        <v>567</v>
      </c>
      <c r="E59" s="74" t="str">
        <f t="shared" ref="E59:E69" si="28">SUBSTITUTE(D59, "hazr-", "")&amp;"-rule"&amp;N59</f>
        <v>t-bdp-rlgcap-lb-rule9092</v>
      </c>
      <c r="F59" s="74" t="str">
        <f t="shared" ref="F59:F66" si="29">SUBSTITUTE(D59, "hazr-", "")&amp;"-fe"</f>
        <v>t-bdp-rlgcap-lb-fe</v>
      </c>
      <c r="G59" s="74" t="s">
        <v>57</v>
      </c>
      <c r="H59" s="74">
        <v>9092</v>
      </c>
      <c r="I59" s="74" t="b">
        <v>0</v>
      </c>
      <c r="J59" s="74" t="str">
        <f t="shared" ref="J59:J66" si="30">SUBSTITUTE(D59, "hazr-", "")&amp;"-bp"</f>
        <v>t-bdp-rlgcap-lb-bp</v>
      </c>
      <c r="K59" s="74">
        <v>9092</v>
      </c>
      <c r="L59" s="74" t="str">
        <f t="shared" ref="L59:L66" si="31">SUBSTITUTE(D59, "hazr-", "")&amp;"-pb"&amp;IF(N59="", "", N59)</f>
        <v>t-bdp-rlgcap-lb-pb9092</v>
      </c>
      <c r="M59" s="74" t="s">
        <v>57</v>
      </c>
      <c r="N59" s="74">
        <v>9092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182</v>
      </c>
      <c r="B60" s="74" t="str" cm="1">
        <f t="array" ref="B60">UPPER(INDEX(_xlfn.TEXTSPLIT($C60, "-"), 3))</f>
        <v>BDP</v>
      </c>
      <c r="C60" s="74" t="s">
        <v>375</v>
      </c>
      <c r="D60" s="74" t="s">
        <v>567</v>
      </c>
      <c r="E60" s="74" t="str">
        <f t="shared" ref="E60:E65" si="32">SUBSTITUTE(D60, "hazr-", "")&amp;"-rule"&amp;N60</f>
        <v>t-bdp-rlgcap-lb-rule9880</v>
      </c>
      <c r="F60" s="74" t="str">
        <f t="shared" ref="F60:F65" si="33">SUBSTITUTE(D60, "hazr-", "")&amp;"-fe"</f>
        <v>t-bdp-rlgcap-lb-fe</v>
      </c>
      <c r="G60" s="74" t="s">
        <v>57</v>
      </c>
      <c r="H60" s="74">
        <v>9880</v>
      </c>
      <c r="I60" s="74" t="b">
        <v>0</v>
      </c>
      <c r="J60" s="74" t="str">
        <f t="shared" ref="J60:J65" si="34">SUBSTITUTE(D60, "hazr-", "")&amp;"-bp"</f>
        <v>t-bdp-rlgcap-lb-bp</v>
      </c>
      <c r="K60" s="74">
        <v>9880</v>
      </c>
      <c r="L60" s="74" t="str">
        <f t="shared" ref="L60:L65" si="35">SUBSTITUTE(D60, "hazr-", "")&amp;"-pb"&amp;IF(N60="", "", N60)</f>
        <v>t-bdp-rlgcap-lb-pb9880</v>
      </c>
      <c r="M60" s="74" t="s">
        <v>57</v>
      </c>
      <c r="N60" s="74">
        <v>9880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BDP</v>
      </c>
      <c r="C61" s="74" t="s">
        <v>375</v>
      </c>
      <c r="D61" s="74" t="s">
        <v>567</v>
      </c>
      <c r="E61" s="74" t="str">
        <f t="shared" si="32"/>
        <v>t-bdp-rlgcap-lb-rule29105</v>
      </c>
      <c r="F61" s="74" t="str">
        <f t="shared" si="33"/>
        <v>t-bdp-rlgcap-lb-fe</v>
      </c>
      <c r="G61" s="74" t="s">
        <v>57</v>
      </c>
      <c r="H61" s="74">
        <v>29105</v>
      </c>
      <c r="I61" s="74" t="b">
        <v>0</v>
      </c>
      <c r="J61" s="74" t="str">
        <f t="shared" si="34"/>
        <v>t-bdp-rlgcap-lb-bp</v>
      </c>
      <c r="K61" s="74">
        <v>29105</v>
      </c>
      <c r="L61" s="74" t="str">
        <f t="shared" si="35"/>
        <v>t-bdp-rlgcap-lb-pb29105</v>
      </c>
      <c r="M61" s="74" t="s">
        <v>57</v>
      </c>
      <c r="N61" s="74">
        <v>29105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BDP</v>
      </c>
      <c r="C62" s="74" t="s">
        <v>375</v>
      </c>
      <c r="D62" s="74" t="s">
        <v>567</v>
      </c>
      <c r="E62" s="74" t="str">
        <f t="shared" si="32"/>
        <v>t-bdp-rlgcap-lb-rule29106</v>
      </c>
      <c r="F62" s="74" t="str">
        <f t="shared" si="33"/>
        <v>t-bdp-rlgcap-lb-fe</v>
      </c>
      <c r="G62" s="74" t="s">
        <v>57</v>
      </c>
      <c r="H62" s="74">
        <v>29106</v>
      </c>
      <c r="I62" s="74" t="b">
        <v>0</v>
      </c>
      <c r="J62" s="74" t="str">
        <f t="shared" si="34"/>
        <v>t-bdp-rlgcap-lb-bp</v>
      </c>
      <c r="K62" s="74">
        <v>29106</v>
      </c>
      <c r="L62" s="74" t="str">
        <f t="shared" si="35"/>
        <v>t-bdp-rlgcap-lb-pb29106</v>
      </c>
      <c r="M62" s="74" t="s">
        <v>57</v>
      </c>
      <c r="N62" s="74">
        <v>29106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BDP</v>
      </c>
      <c r="C63" s="74" t="s">
        <v>375</v>
      </c>
      <c r="D63" s="74" t="s">
        <v>567</v>
      </c>
      <c r="E63" s="74" t="str">
        <f t="shared" si="32"/>
        <v>t-bdp-rlgcap-lb-rule29107</v>
      </c>
      <c r="F63" s="74" t="str">
        <f t="shared" si="33"/>
        <v>t-bdp-rlgcap-lb-fe</v>
      </c>
      <c r="G63" s="74" t="s">
        <v>57</v>
      </c>
      <c r="H63" s="74">
        <v>29107</v>
      </c>
      <c r="I63" s="74" t="b">
        <v>0</v>
      </c>
      <c r="J63" s="74" t="str">
        <f t="shared" si="34"/>
        <v>t-bdp-rlgcap-lb-bp</v>
      </c>
      <c r="K63" s="74">
        <v>29107</v>
      </c>
      <c r="L63" s="74" t="str">
        <f t="shared" si="35"/>
        <v>t-bdp-rlgcap-lb-pb29107</v>
      </c>
      <c r="M63" s="74" t="s">
        <v>57</v>
      </c>
      <c r="N63" s="74">
        <v>29107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BDP</v>
      </c>
      <c r="C64" s="74" t="s">
        <v>375</v>
      </c>
      <c r="D64" s="74" t="s">
        <v>567</v>
      </c>
      <c r="E64" s="74" t="str">
        <f t="shared" si="32"/>
        <v>t-bdp-rlgcap-lb-rule29108</v>
      </c>
      <c r="F64" s="74" t="str">
        <f t="shared" si="33"/>
        <v>t-bdp-rlgcap-lb-fe</v>
      </c>
      <c r="G64" s="74" t="s">
        <v>57</v>
      </c>
      <c r="H64" s="74">
        <v>29108</v>
      </c>
      <c r="I64" s="74" t="b">
        <v>0</v>
      </c>
      <c r="J64" s="74" t="str">
        <f t="shared" si="34"/>
        <v>t-bdp-rlgcap-lb-bp</v>
      </c>
      <c r="K64" s="74">
        <v>29108</v>
      </c>
      <c r="L64" s="74" t="str">
        <f t="shared" si="35"/>
        <v>t-bdp-rlgcap-lb-pb29108</v>
      </c>
      <c r="M64" s="74" t="s">
        <v>57</v>
      </c>
      <c r="N64" s="74">
        <v>29108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BDP</v>
      </c>
      <c r="C65" s="74" t="s">
        <v>375</v>
      </c>
      <c r="D65" s="74" t="s">
        <v>567</v>
      </c>
      <c r="E65" s="74" t="str">
        <f t="shared" si="32"/>
        <v>t-bdp-rlgcap-lb-rule29109</v>
      </c>
      <c r="F65" s="74" t="str">
        <f t="shared" si="33"/>
        <v>t-bdp-rlgcap-lb-fe</v>
      </c>
      <c r="G65" s="74" t="s">
        <v>57</v>
      </c>
      <c r="H65" s="107">
        <v>29109</v>
      </c>
      <c r="I65" s="74" t="b">
        <v>0</v>
      </c>
      <c r="J65" s="74" t="str">
        <f t="shared" si="34"/>
        <v>t-bdp-rlgcap-lb-bp</v>
      </c>
      <c r="K65" s="107">
        <v>29109</v>
      </c>
      <c r="L65" s="74" t="str">
        <f t="shared" si="35"/>
        <v>t-bdp-rlgcap-lb-pb29109</v>
      </c>
      <c r="M65" s="74" t="s">
        <v>57</v>
      </c>
      <c r="N65" s="107">
        <v>29109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84" t="s">
        <v>182</v>
      </c>
      <c r="B66" s="84" t="str" cm="1">
        <f t="array" ref="B66">UPPER(INDEX(_xlfn.TEXTSPLIT($C66, "-"), 3))</f>
        <v>CLV</v>
      </c>
      <c r="C66" s="84" t="s">
        <v>591</v>
      </c>
      <c r="D66" s="84" t="s">
        <v>596</v>
      </c>
      <c r="E66" s="84" t="str">
        <f t="shared" si="24"/>
        <v>t-clv-web-lb-rule443</v>
      </c>
      <c r="F66" s="84" t="str">
        <f t="shared" si="29"/>
        <v>t-clv-web-lb-fe</v>
      </c>
      <c r="G66" s="84" t="s">
        <v>57</v>
      </c>
      <c r="H66" s="84">
        <v>443</v>
      </c>
      <c r="I66" s="84" t="b">
        <v>0</v>
      </c>
      <c r="J66" s="84" t="str">
        <f t="shared" si="30"/>
        <v>t-clv-web-lb-bp</v>
      </c>
      <c r="K66" s="84">
        <v>443</v>
      </c>
      <c r="L66" s="84" t="str">
        <f t="shared" si="31"/>
        <v>t-clv-web-lb-pb443</v>
      </c>
      <c r="M66" s="84" t="s">
        <v>57</v>
      </c>
      <c r="N66" s="84">
        <v>443</v>
      </c>
      <c r="O66" s="84">
        <v>4</v>
      </c>
      <c r="P66" s="84" t="s">
        <v>123</v>
      </c>
      <c r="Q66" s="84" t="b">
        <v>1</v>
      </c>
      <c r="R66" s="8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CLV</v>
      </c>
      <c r="C67" s="74" t="s">
        <v>591</v>
      </c>
      <c r="D67" s="74" t="s">
        <v>597</v>
      </c>
      <c r="E67" s="74" t="str">
        <f t="shared" si="28"/>
        <v>t-clv-ap-lb-rule8080</v>
      </c>
      <c r="F67" s="74" t="str">
        <f t="shared" ref="F67:F70" si="36">SUBSTITUTE(D67, "hazr-", "")&amp;"-fe"</f>
        <v>t-clv-ap-lb-fe</v>
      </c>
      <c r="G67" s="74" t="s">
        <v>57</v>
      </c>
      <c r="H67" s="74">
        <v>8080</v>
      </c>
      <c r="I67" s="74" t="b">
        <v>0</v>
      </c>
      <c r="J67" s="74" t="str">
        <f t="shared" ref="J67:J70" si="37">SUBSTITUTE(D67, "hazr-", "")&amp;"-bp"</f>
        <v>t-clv-ap-lb-bp</v>
      </c>
      <c r="K67" s="74">
        <v>8080</v>
      </c>
      <c r="L67" s="74" t="str">
        <f t="shared" ref="L67:L70" si="38">SUBSTITUTE(D67, "hazr-", "")&amp;"-pb"&amp;IF(N67="", "", N67)</f>
        <v>t-clv-ap-lb-pb8080</v>
      </c>
      <c r="M67" s="74" t="s">
        <v>57</v>
      </c>
      <c r="N67" s="74">
        <v>8080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CLV</v>
      </c>
      <c r="C68" s="84" t="s">
        <v>591</v>
      </c>
      <c r="D68" s="84" t="s">
        <v>598</v>
      </c>
      <c r="E68" s="84" t="str">
        <f t="shared" si="24"/>
        <v>t-clv-ssrap-lb-rule8080</v>
      </c>
      <c r="F68" s="84" t="str">
        <f t="shared" si="36"/>
        <v>t-clv-ssrap-lb-fe</v>
      </c>
      <c r="G68" s="84" t="s">
        <v>57</v>
      </c>
      <c r="H68" s="84">
        <v>8080</v>
      </c>
      <c r="I68" s="84" t="b">
        <v>0</v>
      </c>
      <c r="J68" s="84" t="str">
        <f t="shared" si="37"/>
        <v>t-clv-ssrap-lb-bp</v>
      </c>
      <c r="K68" s="84">
        <v>8080</v>
      </c>
      <c r="L68" s="84" t="str">
        <f t="shared" si="38"/>
        <v>t-clv-ssrap-lb-pb8080</v>
      </c>
      <c r="M68" s="84" t="s">
        <v>57</v>
      </c>
      <c r="N68" s="84">
        <v>8080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CLV</v>
      </c>
      <c r="C69" s="74" t="s">
        <v>591</v>
      </c>
      <c r="D69" s="107" t="s">
        <v>599</v>
      </c>
      <c r="E69" s="74" t="str">
        <f t="shared" si="28"/>
        <v>t-clv-admweb-lb-rule443</v>
      </c>
      <c r="F69" s="74" t="str">
        <f t="shared" si="36"/>
        <v>t-clv-admweb-lb-fe</v>
      </c>
      <c r="G69" s="74" t="s">
        <v>57</v>
      </c>
      <c r="H69" s="74">
        <v>443</v>
      </c>
      <c r="I69" s="74" t="b">
        <v>0</v>
      </c>
      <c r="J69" s="74" t="str">
        <f t="shared" si="37"/>
        <v>t-clv-admweb-lb-bp</v>
      </c>
      <c r="K69" s="74">
        <v>443</v>
      </c>
      <c r="L69" s="74" t="str">
        <f t="shared" si="38"/>
        <v>t-clv-admweb-lb-pb443</v>
      </c>
      <c r="M69" s="74" t="s">
        <v>57</v>
      </c>
      <c r="N69" s="74">
        <v>443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CLV</v>
      </c>
      <c r="C70" s="84" t="s">
        <v>591</v>
      </c>
      <c r="D70" s="84" t="s">
        <v>600</v>
      </c>
      <c r="E70" s="84" t="str">
        <f t="shared" si="24"/>
        <v>t-clv-admap-lb-rule8080</v>
      </c>
      <c r="F70" s="84" t="str">
        <f t="shared" si="36"/>
        <v>t-clv-admap-lb-fe</v>
      </c>
      <c r="G70" s="84" t="s">
        <v>57</v>
      </c>
      <c r="H70" s="84">
        <v>8080</v>
      </c>
      <c r="I70" s="84" t="b">
        <v>0</v>
      </c>
      <c r="J70" s="84" t="str">
        <f t="shared" si="37"/>
        <v>t-clv-admap-lb-bp</v>
      </c>
      <c r="K70" s="84">
        <v>8080</v>
      </c>
      <c r="L70" s="84" t="str">
        <f t="shared" si="38"/>
        <v>t-clv-admap-lb-pb8080</v>
      </c>
      <c r="M70" s="84" t="s">
        <v>57</v>
      </c>
      <c r="N70" s="84">
        <v>8080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74" t="s">
        <v>182</v>
      </c>
      <c r="B71" s="74" t="str" cm="1">
        <f t="array" ref="B71">UPPER(INDEX(_xlfn.TEXTSPLIT($C71, "-"), 3))</f>
        <v>TM</v>
      </c>
      <c r="C71" s="74" t="s">
        <v>607</v>
      </c>
      <c r="D71" s="74" t="s">
        <v>629</v>
      </c>
      <c r="E71" s="74" t="str">
        <f t="shared" si="24"/>
        <v>t-tm-chweb-lb-rule443</v>
      </c>
      <c r="F71" s="74" t="str">
        <f t="shared" ref="F71:F75" si="39">SUBSTITUTE(D71, "hazr-", "")&amp;"-fe"</f>
        <v>t-tm-chweb-lb-fe</v>
      </c>
      <c r="G71" s="74" t="s">
        <v>57</v>
      </c>
      <c r="H71" s="74">
        <v>443</v>
      </c>
      <c r="I71" s="74" t="b">
        <v>0</v>
      </c>
      <c r="J71" s="74" t="str">
        <f t="shared" ref="J71:J75" si="40">SUBSTITUTE(D71, "hazr-", "")&amp;"-bp"</f>
        <v>t-tm-chweb-lb-bp</v>
      </c>
      <c r="K71" s="74">
        <v>443</v>
      </c>
      <c r="L71" s="74" t="str">
        <f t="shared" ref="L71:L75" si="41">SUBSTITUTE(D71, "hazr-", "")&amp;"-pb"&amp;IF(N71="", "", N71)</f>
        <v>t-tm-chweb-lb-pb443</v>
      </c>
      <c r="M71" s="74" t="s">
        <v>57</v>
      </c>
      <c r="N71" s="74">
        <v>443</v>
      </c>
      <c r="O71" s="74">
        <v>4</v>
      </c>
      <c r="P71" s="74" t="s">
        <v>123</v>
      </c>
      <c r="Q71" s="74" t="b">
        <v>1</v>
      </c>
      <c r="R71" s="7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TM</v>
      </c>
      <c r="C72" s="84" t="s">
        <v>607</v>
      </c>
      <c r="D72" s="84" t="s">
        <v>630</v>
      </c>
      <c r="E72" s="84" t="str">
        <f t="shared" ref="E72:E75" si="42">SUBSTITUTE(D72, "hazr-", "")&amp;"-rule"&amp;N72</f>
        <v>t-tm-chap-lb-rule8080</v>
      </c>
      <c r="F72" s="84" t="str">
        <f t="shared" si="39"/>
        <v>t-tm-chap-lb-fe</v>
      </c>
      <c r="G72" s="84" t="s">
        <v>57</v>
      </c>
      <c r="H72" s="84">
        <v>8080</v>
      </c>
      <c r="I72" s="84" t="b">
        <v>0</v>
      </c>
      <c r="J72" s="84" t="str">
        <f t="shared" si="40"/>
        <v>t-tm-chap-lb-bp</v>
      </c>
      <c r="K72" s="84">
        <v>8080</v>
      </c>
      <c r="L72" s="84" t="str">
        <f t="shared" si="41"/>
        <v>t-tm-chap-lb-pb8080</v>
      </c>
      <c r="M72" s="84" t="s">
        <v>57</v>
      </c>
      <c r="N72" s="84">
        <v>8080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 t="str" cm="1">
        <f t="array" ref="B73">UPPER(INDEX(_xlfn.TEXTSPLIT($C73, "-"), 3))</f>
        <v>TM</v>
      </c>
      <c r="C73" s="74" t="s">
        <v>607</v>
      </c>
      <c r="D73" s="74" t="s">
        <v>631</v>
      </c>
      <c r="E73" s="74" t="str">
        <f t="shared" si="42"/>
        <v>t-tm-chintweb-lb-rule443</v>
      </c>
      <c r="F73" s="74" t="str">
        <f t="shared" si="39"/>
        <v>t-tm-chintweb-lb-fe</v>
      </c>
      <c r="G73" s="74" t="s">
        <v>57</v>
      </c>
      <c r="H73" s="74">
        <v>443</v>
      </c>
      <c r="I73" s="74" t="b">
        <v>0</v>
      </c>
      <c r="J73" s="74" t="str">
        <f t="shared" si="40"/>
        <v>t-tm-chintweb-lb-bp</v>
      </c>
      <c r="K73" s="74">
        <v>443</v>
      </c>
      <c r="L73" s="74" t="str">
        <f t="shared" si="41"/>
        <v>t-tm-chintweb-lb-pb443</v>
      </c>
      <c r="M73" s="74" t="s">
        <v>57</v>
      </c>
      <c r="N73" s="74">
        <v>443</v>
      </c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GA</v>
      </c>
      <c r="C74" s="84" t="s">
        <v>608</v>
      </c>
      <c r="D74" s="84" t="s">
        <v>633</v>
      </c>
      <c r="E74" s="84" t="str">
        <f t="shared" si="42"/>
        <v>t-ga-oweb-lb-rule443</v>
      </c>
      <c r="F74" s="84" t="str">
        <f t="shared" si="39"/>
        <v>t-ga-oweb-lb-fe</v>
      </c>
      <c r="G74" s="84" t="s">
        <v>57</v>
      </c>
      <c r="H74" s="84">
        <v>443</v>
      </c>
      <c r="I74" s="84" t="b">
        <v>0</v>
      </c>
      <c r="J74" s="84" t="str">
        <f t="shared" si="40"/>
        <v>t-ga-oweb-lb-bp</v>
      </c>
      <c r="K74" s="84">
        <v>443</v>
      </c>
      <c r="L74" s="84" t="str">
        <f t="shared" si="41"/>
        <v>t-ga-oweb-lb-pb443</v>
      </c>
      <c r="M74" s="84" t="s">
        <v>57</v>
      </c>
      <c r="N74" s="84">
        <v>443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 t="str" cm="1">
        <f t="array" ref="B75">UPPER(INDEX(_xlfn.TEXTSPLIT($C75, "-"), 3))</f>
        <v>GA</v>
      </c>
      <c r="C75" s="74" t="s">
        <v>608</v>
      </c>
      <c r="D75" s="74" t="s">
        <v>632</v>
      </c>
      <c r="E75" s="74" t="str">
        <f t="shared" si="42"/>
        <v>t-ga-oap-lb-rule8080</v>
      </c>
      <c r="F75" s="74" t="str">
        <f t="shared" si="39"/>
        <v>t-ga-oap-lb-fe</v>
      </c>
      <c r="G75" s="74" t="s">
        <v>57</v>
      </c>
      <c r="H75" s="74">
        <v>8080</v>
      </c>
      <c r="I75" s="74" t="b">
        <v>0</v>
      </c>
      <c r="J75" s="74" t="str">
        <f t="shared" si="40"/>
        <v>t-ga-oap-lb-bp</v>
      </c>
      <c r="K75" s="74">
        <v>8080</v>
      </c>
      <c r="L75" s="74" t="str">
        <f t="shared" si="41"/>
        <v>t-ga-oap-lb-pb8080</v>
      </c>
      <c r="M75" s="74" t="s">
        <v>57</v>
      </c>
      <c r="N75" s="74">
        <v>8080</v>
      </c>
      <c r="O75" s="74">
        <v>4</v>
      </c>
      <c r="P75" s="74" t="s">
        <v>123</v>
      </c>
      <c r="Q75" s="74" t="b">
        <v>1</v>
      </c>
      <c r="R75" s="74" t="b">
        <v>0</v>
      </c>
    </row>
  </sheetData>
  <autoFilter ref="A1:R55" xr:uid="{A4BC862D-08E7-4593-9A34-4D2B508CF25B}">
    <sortState xmlns:xlrd2="http://schemas.microsoft.com/office/spreadsheetml/2017/richdata2" ref="A2:R44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2026-10-02T04:35:10Z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