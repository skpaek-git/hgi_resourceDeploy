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0EEF03D1-C16B-40EC-B5BB-EF9DB929BF7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1" l="1" a="1"/>
  <c r="C68" i="11" s="1"/>
  <c r="F68" i="11"/>
  <c r="G68" i="11"/>
  <c r="K68" i="11"/>
  <c r="M68" i="11"/>
  <c r="C69" i="11" a="1"/>
  <c r="C69" i="11" s="1"/>
  <c r="F69" i="11"/>
  <c r="G69" i="11"/>
  <c r="K69" i="11"/>
  <c r="M69" i="11"/>
  <c r="C70" i="11" a="1"/>
  <c r="C70" i="11"/>
  <c r="F70" i="11"/>
  <c r="G70" i="11"/>
  <c r="K70" i="11"/>
  <c r="M70" i="11"/>
  <c r="C71" i="11" a="1"/>
  <c r="C71" i="11" s="1"/>
  <c r="F71" i="11"/>
  <c r="G71" i="11"/>
  <c r="K71" i="11"/>
  <c r="M71" i="11"/>
  <c r="C72" i="11" a="1"/>
  <c r="C72" i="11" s="1"/>
  <c r="F72" i="11"/>
  <c r="G72" i="11"/>
  <c r="K72" i="11"/>
  <c r="M72" i="11"/>
  <c r="M67" i="11"/>
  <c r="K67" i="11"/>
  <c r="G67" i="11"/>
  <c r="F67" i="11"/>
  <c r="C67" i="11" a="1"/>
  <c r="C67" i="11" s="1"/>
  <c r="F68" i="10"/>
  <c r="F69" i="10"/>
  <c r="F70" i="10"/>
  <c r="F71" i="10"/>
  <c r="F72" i="10"/>
  <c r="F67" i="10"/>
  <c r="C68" i="10" a="1"/>
  <c r="C68" i="10" s="1"/>
  <c r="C69" i="10" a="1"/>
  <c r="C69" i="10"/>
  <c r="C70" i="10" a="1"/>
  <c r="C70" i="10"/>
  <c r="C71" i="10" a="1"/>
  <c r="C71" i="10"/>
  <c r="C72" i="10" a="1"/>
  <c r="C72" i="10" s="1"/>
  <c r="C67" i="10" a="1"/>
  <c r="C67" i="10" s="1"/>
  <c r="Q45" i="6"/>
  <c r="C45" i="6" a="1"/>
  <c r="C45" i="6" s="1"/>
  <c r="K45" i="6"/>
  <c r="E163" i="2"/>
  <c r="C163" i="2" s="1" a="1"/>
  <c r="C163" i="2" s="1"/>
  <c r="E164" i="2"/>
  <c r="C164" i="2" s="1" a="1"/>
  <c r="C164" i="2" s="1"/>
  <c r="E165" i="2"/>
  <c r="C165" i="2" s="1" a="1"/>
  <c r="C165" i="2" s="1"/>
  <c r="K163" i="2"/>
  <c r="K164" i="2"/>
  <c r="K165" i="2"/>
  <c r="G154" i="14"/>
  <c r="J154" i="14"/>
  <c r="G155" i="14"/>
  <c r="J155" i="14"/>
  <c r="G156" i="14"/>
  <c r="J156" i="14"/>
  <c r="C154" i="14" a="1"/>
  <c r="C154" i="14" s="1"/>
  <c r="C155" i="14" a="1"/>
  <c r="C155" i="14" s="1"/>
  <c r="C156" i="14" a="1"/>
  <c r="C156" i="14" s="1"/>
  <c r="C147" i="1" a="1"/>
  <c r="C147" i="1" s="1"/>
  <c r="O147" i="1"/>
  <c r="U147" i="1"/>
  <c r="C146" i="1" a="1"/>
  <c r="C146" i="1" s="1"/>
  <c r="O146" i="1"/>
  <c r="U146" i="1"/>
  <c r="C145" i="1" a="1"/>
  <c r="C145" i="1" s="1"/>
  <c r="O145" i="1"/>
  <c r="U145" i="1"/>
  <c r="K43" i="6"/>
  <c r="Q43" i="6"/>
  <c r="K44" i="6"/>
  <c r="Q44" i="6"/>
  <c r="C43" i="6" a="1"/>
  <c r="C43" i="6" s="1"/>
  <c r="C44" i="6" a="1"/>
  <c r="C44" i="6" s="1"/>
  <c r="C160" i="2" a="1"/>
  <c r="C160" i="2" s="1"/>
  <c r="C161" i="2" a="1"/>
  <c r="C161" i="2" s="1"/>
  <c r="C162" i="2" a="1"/>
  <c r="C162" i="2" s="1"/>
  <c r="E158" i="2"/>
  <c r="C158" i="2" s="1" a="1"/>
  <c r="C158" i="2" s="1"/>
  <c r="K158" i="2"/>
  <c r="E159" i="2"/>
  <c r="C159" i="2" s="1" a="1"/>
  <c r="C159" i="2" s="1"/>
  <c r="K159" i="2"/>
  <c r="E160" i="2"/>
  <c r="K160" i="2"/>
  <c r="E161" i="2"/>
  <c r="K161" i="2"/>
  <c r="E162" i="2"/>
  <c r="K162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42" i="1" a="1"/>
  <c r="C142" i="1" s="1"/>
  <c r="C143" i="1" a="1"/>
  <c r="C143" i="1" s="1"/>
  <c r="C144" i="1" a="1"/>
  <c r="C144" i="1" s="1"/>
  <c r="O142" i="1"/>
  <c r="O143" i="1"/>
  <c r="O144" i="1"/>
  <c r="U142" i="1"/>
  <c r="U143" i="1"/>
  <c r="U144" i="1"/>
  <c r="C141" i="1" a="1"/>
  <c r="C141" i="1" s="1"/>
  <c r="O141" i="1"/>
  <c r="U141" i="1"/>
  <c r="C140" i="1" a="1"/>
  <c r="C140" i="1" s="1"/>
  <c r="O140" i="1"/>
  <c r="U140" i="1"/>
  <c r="M34" i="11"/>
  <c r="K34" i="11"/>
  <c r="G34" i="11"/>
  <c r="F34" i="11"/>
  <c r="C34" i="11" a="1"/>
  <c r="C34" i="11" s="1"/>
  <c r="C33" i="11" a="1"/>
  <c r="C33" i="11" s="1"/>
  <c r="F33" i="11"/>
  <c r="G33" i="11"/>
  <c r="K33" i="11"/>
  <c r="M33" i="11"/>
  <c r="F34" i="10"/>
  <c r="C34" i="10" a="1"/>
  <c r="C34" i="10" s="1"/>
  <c r="K154" i="2"/>
  <c r="K155" i="2"/>
  <c r="K156" i="2"/>
  <c r="K157" i="2"/>
  <c r="E154" i="2"/>
  <c r="E155" i="2"/>
  <c r="E156" i="2"/>
  <c r="E157" i="2"/>
  <c r="O139" i="1"/>
  <c r="U139" i="1"/>
  <c r="O138" i="1"/>
  <c r="U138" i="1"/>
  <c r="O137" i="1"/>
  <c r="U137" i="1"/>
  <c r="O136" i="1"/>
  <c r="U136" i="1"/>
  <c r="U134" i="1"/>
  <c r="U135" i="1"/>
  <c r="C149" i="2" l="1" a="1"/>
  <c r="C149" i="2" s="1"/>
  <c r="C150" i="2" a="1"/>
  <c r="C150" i="2" s="1"/>
  <c r="C151" i="2" a="1"/>
  <c r="C151" i="2" s="1"/>
  <c r="F63" i="1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3" i="11" s="1"/>
  <c r="C64" i="11" a="1"/>
  <c r="C64" i="11" s="1"/>
  <c r="C65" i="11" a="1"/>
  <c r="C65" i="11" s="1"/>
  <c r="C66" i="11" a="1"/>
  <c r="C66" i="11" s="1"/>
  <c r="F63" i="10"/>
  <c r="F64" i="10"/>
  <c r="F65" i="10"/>
  <c r="F66" i="10"/>
  <c r="C63" i="10" a="1"/>
  <c r="C63" i="10" s="1"/>
  <c r="C64" i="10" a="1"/>
  <c r="C64" i="10" s="1"/>
  <c r="C65" i="10" a="1"/>
  <c r="C65" i="10" s="1"/>
  <c r="C66" i="10" a="1"/>
  <c r="C66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E150" i="2"/>
  <c r="E151" i="2"/>
  <c r="E152" i="2"/>
  <c r="C152" i="2" s="1" a="1"/>
  <c r="C152" i="2" s="1"/>
  <c r="E153" i="2"/>
  <c r="C153" i="2" s="1" a="1"/>
  <c r="C153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2" i="11" l="1"/>
  <c r="K62" i="11"/>
  <c r="G62" i="11"/>
  <c r="F62" i="11"/>
  <c r="C62" i="11" a="1"/>
  <c r="C62" i="11" s="1"/>
  <c r="M61" i="11"/>
  <c r="K61" i="11"/>
  <c r="G61" i="11"/>
  <c r="F61" i="11"/>
  <c r="C61" i="11" a="1"/>
  <c r="C61" i="11" s="1"/>
  <c r="F62" i="10"/>
  <c r="F61" i="10"/>
  <c r="C62" i="10" a="1"/>
  <c r="C62" i="10" s="1"/>
  <c r="C61" i="10" a="1"/>
  <c r="C61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7" i="11" a="1"/>
  <c r="C57" i="11" s="1"/>
  <c r="C58" i="11" a="1"/>
  <c r="C58" i="11" s="1"/>
  <c r="C59" i="11" a="1"/>
  <c r="C59" i="11" s="1"/>
  <c r="C60" i="11" a="1"/>
  <c r="C60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7" i="10" a="1"/>
  <c r="C57" i="10" s="1"/>
  <c r="C58" i="10" a="1"/>
  <c r="C58" i="10" s="1"/>
  <c r="C59" i="10" a="1"/>
  <c r="C59" i="10" s="1"/>
  <c r="C60" i="10" a="1"/>
  <c r="C60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<sst xmlns="http://schemas.openxmlformats.org/spreadsheetml/2006/main" count="7487" uniqueCount="1116">
  <si>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</si>
  <si>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</si>
  <si>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</si>
  <si>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</si>
  <si>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</si>
  <si>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</si>
  <si>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</si>
  <si>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</si>
  <si>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</si>
  <si>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</si>
  <si>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</si>
  <si>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</si>
  <si>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</si>
  <si>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</si>
  <si>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</si>
  <si>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</si>
  <si>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</si>
  <si>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</si>
  <si>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</si>
  <si>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</si>
  <si>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</si>
  <si>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</si>
  <si>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</si>
  <si>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</si>
  <si>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</si>
  <si>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</si>
  <si>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</si>
  <si>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</si>
  <si>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</si>
  <si>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</si>
  <si>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</si>
  <si>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</si>
  <si>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</si>
  <si>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</si>
  <si>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</si>
  <si>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</si>
  <si>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</si>
  <si>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</si>
  <si>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</si>
  <si>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</si>
  <si>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</si>
  <si>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</si>
  <si>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</si>
  <si>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</si>
  <si>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</si>
  <si>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</si>
  <si>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</si>
  <si>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</si>
  <si>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</si>
  <si>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</si>
  <si>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</si>
  <si>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</si>
  <si>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</si>
  <si>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</si>
  <si>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</si>
  <si>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</si>
  <si>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</si>
  <si>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</si>
  <si>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</si>
  <si>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</si>
  <si>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</si>
  <si>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</si>
  <si>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</si>
  <si>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</si>
  <si>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</si>
  <si>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</si>
  <si>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</si>
  <si>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</si>
  <si>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</si>
  <si>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</si>
  <si>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</si>
  <si>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</si>
  <si>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</si>
  <si>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</si>
  <si>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</si>
  <si>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</si>
  <si>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</si>
  <si>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</si>
  <si>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</si>
  <si>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</si>
  <si>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</si>
  <si>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</si>
  <si>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</si>
  <si>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</si>
  <si>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</si>
  <si>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</si>
  <si>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</si>
  <si>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</si>
  <si>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</si>
  <si>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</si>
  <si>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</si>
  <si>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</si>
  <si>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</si>
  <si>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</si>
  <si>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</si>
  <si>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</si>
  <si>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</si>
  <si>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</si>
  <si>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</si>
  <si>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</si>
  <si>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</si>
  <si>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</si>
  <si>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</si>
  <si>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</si>
  <si>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</si>
  <si>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</si>
  <si>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</si>
  <si>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</si>
  <si>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</si>
  <si>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</si>
  <si>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</si>
  <si>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</si>
  <si>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</si>
  <si>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</si>
  <si>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</si>
  <si>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</si>
  <si>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</si>
  <si>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</si>
  <si>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</si>
  <si>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</si>
  <si>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</si>
  <si>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</si>
  <si>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</si>
  <si>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</si>
  <si>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</si>
  <si>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</si>
  <si>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</si>
  <si>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</si>
  <si>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</si>
  <si>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</si>
  <si>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</si>
  <si>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</si>
  <si>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</si>
  <si>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</si>
  <si>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</si>
  <si>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</si>
  <si>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</si>
  <si>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</si>
  <si>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</si>
  <si>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</si>
  <si>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</si>
  <si>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</si>
  <si>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</si>
  <si>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</si>
  <si>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</si>
  <si>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</si>
  <si>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</si>
  <si>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</si>
  <si>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</si>
  <si>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</si>
  <si>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</si>
  <si>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</si>
  <si>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</si>
  <si>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</si>
  <si>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</si>
  <si>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</si>
  <si>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</si>
  <si>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</si>
  <si>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</si>
  <si>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</si>
  <si>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</si>
  <si>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</si>
  <si>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</si>
  <si>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</si>
  <si>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</si>
  <si>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</si>
  <si>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</si>
  <si>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</si>
  <si>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</si>
  <si>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</si>
  <si>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</si>
  <si>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</si>
  <si>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</si>
  <si>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</si>
  <si>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</si>
  <si>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</si>
  <si>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</si>
  <si>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</si>
  <si>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</si>
  <si>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</si>
  <si>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</si>
  <si>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</si>
  <si>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</si>
  <si>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</si>
  <si>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</si>
  <si>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</si>
  <si>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</si>
  <si>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</si>
  <si>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</si>
  <si>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</si>
  <si>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</si>
  <si>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</si>
  <si>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</si>
  <si>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</si>
  <si>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</si>
  <si>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</si>
  <si>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</si>
  <si>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</si>
  <si>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</si>
  <si>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</si>
  <si>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</si>
  <si>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</si>
  <si>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</si>
  <si>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</si>
  <si>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</si>
  <si>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</si>
  <si>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</si>
  <si>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</si>
  <si>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</si>
  <si>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</si>
  <si>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</si>
  <si>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</si>
  <si>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</si>
  <si>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</si>
  <si>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</si>
  <si>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</si>
  <si>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</si>
  <si>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</si>
  <si>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</si>
  <si>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</si>
  <si>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</si>
  <si>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</si>
  <si>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</si>
  <si>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</si>
  <si>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</si>
  <si>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</si>
  <si>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</si>
  <si>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</si>
  <si>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</si>
  <si>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</si>
  <si>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</si>
  <si>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</si>
  <si>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</si>
  <si>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</si>
  <si>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</si>
  <si>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</si>
  <si>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</si>
  <si>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</si>
  <si>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</si>
  <si>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</si>
  <si>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</si>
  <si>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</si>
  <si>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</si>
  <si>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</si>
  <si>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</si>
  <si>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</si>
  <si>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</si>
  <si>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</si>
  <si>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</si>
  <si>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</si>
  <si>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</si>
  <si>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</si>
  <si>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</si>
  <si>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</si>
  <si>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</si>
  <si>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</si>
  <si>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</si>
  <si>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</si>
  <si>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</si>
  <si>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</si>
  <si>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</si>
  <si>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</si>
  <si>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</si>
  <si>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</si>
  <si>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</si>
  <si>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</si>
  <si>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</si>
  <si>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</si>
  <si>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</si>
  <si>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</si>
  <si>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</si>
  <si>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</si>
  <si>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</si>
  <si>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</si>
  <si>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</si>
  <si>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</si>
  <si>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</si>
  <si>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</si>
  <si>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</si>
  <si>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</si>
  <si>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</si>
  <si>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</si>
  <si>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</si>
  <si>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</si>
  <si>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</si>
  <si>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</si>
  <si>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</si>
  <si>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</si>
  <si>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</si>
  <si>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</si>
  <si>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</si>
  <si>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</si>
  <si>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</si>
  <si>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</si>
  <si>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</si>
  <si>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</si>
  <si>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</si>
  <si>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</si>
  <si>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</si>
  <si>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</si>
  <si>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</si>
  <si>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</si>
  <si>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</si>
  <si>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</si>
  <si>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</si>
  <si>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</si>
  <si>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</si>
  <si>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</si>
  <si>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</si>
  <si>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</si>
  <si>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</si>
  <si>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</si>
  <si>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</si>
  <si>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</si>
  <si>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</si>
  <si>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</si>
  <si>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</si>
  <si>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</si>
  <si>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</si>
  <si>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</si>
  <si>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</si>
  <si>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</si>
  <si>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</si>
  <si>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</si>
  <si>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</si>
  <si>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</si>
  <si>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</si>
  <si>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</si>
  <si>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</si>
  <si>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</si>
  <si>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</si>
  <si>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</si>
  <si>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</si>
  <si>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</si>
  <si>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</si>
  <si>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</si>
  <si>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</si>
  <si>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</si>
  <si>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</si>
  <si>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</si>
  <si>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</si>
  <si>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</si>
  <si>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</si>
  <si>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</si>
  <si>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</si>
  <si>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</si>
  <si>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</si>
  <si>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</si>
  <si>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</si>
  <si>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</si>
  <si>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</si>
  <si>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</si>
  <si>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</si>
  <si>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</si>
  <si>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</si>
  <si>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</si>
  <si>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</si>
  <si>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</si>
  <si>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</si>
  <si>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</si>
  <si>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</si>
  <si>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</si>
  <si>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</si>
  <si>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</si>
  <si>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</si>
  <si>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</si>
  <si>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</si>
  <si>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</si>
  <si>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</si>
  <si>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</si>
  <si>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</si>
  <si>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</si>
  <si>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</si>
  <si>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</si>
  <si>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</si>
  <si>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</si>
  <si>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</si>
  <si>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</si>
  <si>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</si>
  <si>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</si>
  <si>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</si>
  <si>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</si>
  <si>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</si>
  <si>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</si>
  <si>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</si>
  <si>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</si>
  <si>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</si>
  <si>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</si>
  <si>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</si>
  <si>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</si>
  <si>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</si>
  <si>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</si>
  <si>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</si>
  <si>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</si>
  <si>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</si>
  <si>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</si>
  <si>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</si>
  <si>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</si>
  <si>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</si>
  <si>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</si>
  <si>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</si>
  <si>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</si>
  <si>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</si>
  <si>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</si>
  <si>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</si>
  <si>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</si>
  <si>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</si>
  <si>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</si>
  <si>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</si>
  <si>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</si>
  <si>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</si>
  <si>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</si>
  <si>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</si>
  <si>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</si>
  <si>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</si>
  <si>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</si>
  <si>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</si>
  <si>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</si>
  <si>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</si>
  <si>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</si>
  <si>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</si>
  <si>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</si>
  <si>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</si>
  <si>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</si>
  <si>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</si>
  <si>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</si>
  <si>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</si>
  <si>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</si>
  <si>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</si>
  <si>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</si>
  <si>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</si>
  <si>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</si>
  <si>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</si>
  <si>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</si>
  <si>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</si>
  <si>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</si>
  <si>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</si>
  <si>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</si>
  <si>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</si>
  <si>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</si>
  <si>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</si>
  <si>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</si>
  <si>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</si>
  <si>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</si>
  <si>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</si>
  <si>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</si>
  <si>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</si>
  <si>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</si>
  <si>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</si>
  <si>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</si>
  <si>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</si>
  <si>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</si>
  <si>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</si>
  <si>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</si>
  <si>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</si>
  <si>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</si>
  <si>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</si>
  <si>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</si>
  <si>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</si>
  <si>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</si>
  <si>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</si>
  <si>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</si>
  <si>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</si>
  <si>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</si>
  <si>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</si>
  <si>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</si>
  <si>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</si>
  <si>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</si>
  <si>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</si>
  <si>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</si>
  <si>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</si>
  <si>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</si>
  <si>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</si>
  <si>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</si>
  <si>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</si>
  <si>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</si>
  <si>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</si>
  <si>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</si>
  <si>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</si>
  <si>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</si>
  <si>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</si>
  <si>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</si>
  <si>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</si>
  <si>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</si>
  <si>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</si>
  <si>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</si>
  <si>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</si>
  <si>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</si>
  <si>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</si>
  <si>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</si>
  <si>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</si>
  <si>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</si>
  <si>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</si>
  <si>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</si>
  <si>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</si>
  <si>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</si>
  <si>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</si>
  <si>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</si>
  <si>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</si>
  <si>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</si>
  <si>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</si>
  <si>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</si>
  <si>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</si>
  <si>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</si>
  <si>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</si>
  <si>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</si>
  <si>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</si>
  <si>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</si>
  <si>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</si>
  <si>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</si>
  <si>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</si>
  <si>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</si>
  <si>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</si>
  <si>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</si>
  <si>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</si>
  <si>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</si>
  <si>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</si>
  <si>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</si>
  <si>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</si>
  <si>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</si>
  <si>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</si>
  <si>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</si>
  <si>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</si>
  <si>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</si>
  <si>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</si>
  <si>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</si>
  <si>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</si>
  <si>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</si>
  <si>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</si>
  <si>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</si>
  <si>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</si>
  <si>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</si>
  <si>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</si>
  <si>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</si>
  <si>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</si>
  <si>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</si>
  <si>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</si>
  <si>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</si>
  <si>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</si>
  <si>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</si>
  <si>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</si>
  <si>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</si>
  <si>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</si>
  <si>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</si>
  <si>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</si>
  <si>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</si>
  <si>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</si>
  <si>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</si>
  <si>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</si>
  <si>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</si>
  <si>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</si>
  <si>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</si>
  <si>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</si>
  <si>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</si>
  <si>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</si>
  <si>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</si>
  <si>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</si>
  <si>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</si>
  <si>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</si>
  <si>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</si>
  <si>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</si>
  <si>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</si>
  <si>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</si>
  <si>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</si>
  <si>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</si>
  <si>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</si>
  <si>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</si>
  <si>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</si>
  <si>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</si>
  <si>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</si>
  <si>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</si>
  <si>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</si>
  <si>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</si>
  <si>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</si>
  <si>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</si>
  <si>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</si>
  <si>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</si>
  <si>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</si>
  <si>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</si>
  <si>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</si>
  <si>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</si>
  <si>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</si>
  <si>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</si>
  <si>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</si>
  <si>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</si>
  <si>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</si>
  <si>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</si>
  <si>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</si>
  <si>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</si>
  <si>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</si>
  <si>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</si>
  <si>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</si>
  <si>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</si>
  <si>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</si>
  <si>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</si>
  <si>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</si>
  <si>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</si>
  <si>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</si>
  <si>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</si>
  <si>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</si>
  <si>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</si>
  <si>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</si>
  <si>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</si>
  <si>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</si>
  <si>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</si>
  <si>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</si>
  <si>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</si>
  <si>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</si>
  <si>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</si>
  <si>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</si>
  <si>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</si>
  <si>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</si>
  <si>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</si>
  <si>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</si>
  <si>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</si>
  <si>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</si>
  <si>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</si>
  <si>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</si>
  <si>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</si>
  <si>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</si>
  <si>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</si>
  <si>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</si>
  <si>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</si>
  <si>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</si>
  <si>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</si>
  <si>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</si>
  <si>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</si>
  <si>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</si>
  <si>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</si>
  <si>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</si>
  <si>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</si>
  <si>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</si>
  <si>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</si>
  <si>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</si>
  <si>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</si>
  <si>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</si>
  <si>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</si>
  <si>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</si>
  <si>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</si>
  <si>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</si>
  <si>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</si>
  <si>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</si>
  <si>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</si>
  <si>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</si>
  <si>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</si>
  <si>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</si>
  <si>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</si>
  <si>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</si>
  <si>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</si>
  <si>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</si>
  <si>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</si>
  <si>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</si>
  <si>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</si>
  <si>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</si>
  <si>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</si>
  <si>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</si>
  <si>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</si>
  <si>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</si>
  <si>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</si>
  <si>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</si>
  <si>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</si>
  <si>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</si>
  <si>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</si>
  <si>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</si>
  <si>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</si>
  <si>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</si>
  <si>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</si>
  <si>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</si>
  <si>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</si>
  <si>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</si>
  <si>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</si>
  <si>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</si>
  <si>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</si>
  <si>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</si>
  <si>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</si>
  <si>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</si>
  <si>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</si>
  <si>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</si>
  <si>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</si>
  <si>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</si>
  <si>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</si>
  <si>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</si>
  <si>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</si>
  <si>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</si>
  <si>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</si>
  <si>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</si>
  <si>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</si>
  <si>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</si>
  <si>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</si>
  <si>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</si>
  <si>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</si>
  <si>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</si>
  <si>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</si>
  <si>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</si>
  <si>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</si>
  <si>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</si>
  <si>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</si>
  <si>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</si>
  <si>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</si>
  <si>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</si>
  <si>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</si>
  <si>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</si>
  <si>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</si>
  <si>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</si>
  <si>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</si>
  <si>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</si>
  <si>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</si>
  <si>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</si>
  <si>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</si>
  <si>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</si>
  <si>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</si>
  <si>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</si>
  <si>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</si>
  <si>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</si>
  <si>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</si>
  <si>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</si>
  <si>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</si>
  <si>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</si>
  <si>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</si>
  <si>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</si>
  <si>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</si>
  <si>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</si>
  <si>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</si>
  <si>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</si>
  <si>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</si>
  <si>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</si>
  <si>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</si>
  <si>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</si>
  <si>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</si>
  <si>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</si>
  <si>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</si>
  <si>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</si>
  <si>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</si>
  <si>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</si>
  <si>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</si>
  <si>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</si>
  <si>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</si>
  <si>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</si>
  <si>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</si>
  <si>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</si>
  <si>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</si>
  <si>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</si>
  <si>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</si>
  <si>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</si>
  <si>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</si>
  <si>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</si>
  <si>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</si>
  <si>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</si>
  <si>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</si>
  <si>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</si>
  <si>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</si>
  <si>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</si>
  <si>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</si>
  <si>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</si>
  <si>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</si>
  <si>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</si>
  <si>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</si>
  <si>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</si>
  <si>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</si>
  <si>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</si>
  <si>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</si>
  <si>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</si>
  <si>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</si>
  <si>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</si>
  <si>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</si>
  <si>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</si>
  <si>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</si>
  <si>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</si>
  <si>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</si>
  <si>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</si>
  <si>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</si>
  <si>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</si>
  <si>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</si>
  <si>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</si>
  <si>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</si>
  <si>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</si>
  <si>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</si>
  <si>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</si>
  <si>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</si>
  <si>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</si>
  <si>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</si>
  <si>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</si>
  <si>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</si>
  <si>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</si>
  <si>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</si>
  <si>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</si>
  <si>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</si>
  <si>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</si>
  <si>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</si>
  <si>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</si>
  <si>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</si>
  <si>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</si>
  <si>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</si>
  <si>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</si>
  <si>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</si>
  <si>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</si>
  <si>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</si>
  <si>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</si>
  <si>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</si>
  <si>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</si>
  <si>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</si>
  <si>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</si>
  <si>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</si>
  <si>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</si>
  <si>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</si>
  <si>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</si>
  <si>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</si>
  <si>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</si>
  <si>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</si>
  <si>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</si>
  <si>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</si>
  <si>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</si>
  <si>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</si>
  <si>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</si>
  <si>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</si>
  <si>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</si>
  <si>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</si>
  <si>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</si>
  <si>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</si>
  <si>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</si>
  <si>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</si>
  <si>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</si>
  <si>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</si>
  <si>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</si>
  <si>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</si>
  <si>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</si>
  <si>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</si>
  <si>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</si>
  <si>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</si>
  <si>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</si>
  <si>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</si>
  <si>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</si>
  <si>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</si>
  <si>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</si>
  <si>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</si>
  <si>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</si>
  <si>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</si>
  <si>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</si>
  <si>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</si>
  <si>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</si>
  <si>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</si>
  <si>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</si>
  <si>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</si>
  <si>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</si>
  <si>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</si>
  <si>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</si>
  <si>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</si>
  <si>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</si>
  <si>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</si>
  <si>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</si>
  <si>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</si>
  <si>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</si>
  <si>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</si>
  <si>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</si>
  <si>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</si>
  <si>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</si>
  <si>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</si>
  <si>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</si>
  <si>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</si>
  <si>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</si>
  <si>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</si>
  <si>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</si>
  <si>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</si>
  <si>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</si>
  <si>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</si>
  <si>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</si>
  <si>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</si>
  <si>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</si>
  <si>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</si>
  <si>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</si>
  <si>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</si>
  <si>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</si>
  <si>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</si>
  <si>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</si>
  <si>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</si>
  <si>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</si>
  <si>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</si>
  <si>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</si>
  <si>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</si>
  <si>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</si>
  <si>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</si>
  <si>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</si>
  <si>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</si>
  <si>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</si>
  <si>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</si>
  <si>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</si>
  <si>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</si>
  <si>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</si>
  <si>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</si>
  <si>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</si>
  <si>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</si>
  <si>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</si>
  <si>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</si>
  <si>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</si>
  <si>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</si>
  <si>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</si>
  <si>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</si>
  <si>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</si>
  <si>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</si>
  <si>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</si>
  <si>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</si>
  <si>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</si>
  <si>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</si>
  <si>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</si>
  <si>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</si>
  <si>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</si>
  <si>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</si>
  <si>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</si>
  <si>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</si>
  <si>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</si>
  <si>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</si>
  <si>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</si>
  <si>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</si>
  <si>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</si>
  <si>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</si>
  <si>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</si>
  <si>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</si>
  <si>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</si>
  <si>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</si>
  <si>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</si>
  <si>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</si>
  <si>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</si>
  <si>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</si>
  <si>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</si>
  <si>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</si>
  <si>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</si>
  <si>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</si>
  <si>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</si>
  <si>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</si>
  <si>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</si>
  <si>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</si>
  <si>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</si>
  <si>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</si>
  <si>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</si>
  <si>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</si>
  <si>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</si>
  <si>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</si>
  <si>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</si>
  <si>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</si>
  <si>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</si>
  <si>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</si>
  <si>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</si>
  <si>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</si>
  <si>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</si>
  <si>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</si>
  <si>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</si>
  <si>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</si>
  <si>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</si>
  <si>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</si>
  <si>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</si>
  <si>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</si>
  <si>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</si>
  <si>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</si>
  <si>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</si>
  <si>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</si>
  <si>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</si>
  <si>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</si>
  <si>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</si>
  <si>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</si>
  <si>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</si>
  <si>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</si>
  <si>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</si>
  <si>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</si>
  <si>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</si>
  <si>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</si>
  <si>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</si>
  <si>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</si>
  <si>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</si>
  <si>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</si>
  <si>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</si>
  <si>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</si>
  <si>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</si>
  <si>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</si>
  <si>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</si>
  <si>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</si>
  <si>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</si>
  <si>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</si>
  <si>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</si>
  <si>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</si>
  <si>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</si>
  <si>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</si>
  <si>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</si>
  <si>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</si>
  <si>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</si>
  <si>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</si>
  <si>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</si>
  <si>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</si>
  <si>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</si>
  <si>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</si>
  <si>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</si>
  <si>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</si>
  <si>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</si>
  <si>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</si>
  <si>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</si>
  <si>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</si>
  <si>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</si>
  <si>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</si>
  <si>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</si>
  <si>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</si>
  <si>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</si>
  <si>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</si>
  <si>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</si>
  <si>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</si>
  <si>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</si>
  <si>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</si>
  <si>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</si>
  <si>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</si>
  <si>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</si>
  <si>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</si>
  <si>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</si>
  <si>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</si>
  <si>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</si>
  <si>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</si>
  <si>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</si>
  <si>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</si>
  <si>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</si>
  <si>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</si>
  <si>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</si>
  <si>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</si>
  <si>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</si>
  <si>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</si>
  <si>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</si>
  <si>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</si>
  <si>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</si>
  <si>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</si>
  <si>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</si>
  <si>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</si>
  <si>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</si>
  <si>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</si>
  <si>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</si>
  <si>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</si>
  <si>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</si>
  <si>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</si>
  <si>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</si>
  <si>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</si>
  <si>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</si>
  <si>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</si>
  <si>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</si>
  <si>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</si>
  <si>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</si>
  <si>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</si>
  <si>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</si>
  <si>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</si>
  <si>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</si>
  <si>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</si>
  <si>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</si>
  <si>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</si>
  <si>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</si>
  <si>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</si>
  <si>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</si>
  <si>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</si>
  <si>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</si>
  <si>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</si>
  <si>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</si>
  <si>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</si>
  <si>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</si>
  <si>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</si>
  <si>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</si>
  <si>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</si>
  <si>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</si>
  <si>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</si>
  <si>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</si>
  <si>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</si>
  <si>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</si>
  <si>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</si>
  <si>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</si>
  <si>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</si>
  <si>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</si>
  <si>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</si>
  <si>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</si>
  <si>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</si>
  <si>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</si>
  <si>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</si>
  <si>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</si>
  <si>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</si>
  <si>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</si>
  <si>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</si>
  <si>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</si>
  <si>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</si>
  <si>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</si>
  <si>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</si>
  <si>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</si>
  <si>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</si>
  <si>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</si>
  <si>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</si>
  <si>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</si>
  <si>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</si>
  <si>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</si>
  <si>
    <t>10.158.156.73</t>
    <phoneticPr fontId="1" type="noConversion"/>
  </si>
  <si>
    <t>hazr-p-dtg-bbigeoap02</t>
    <phoneticPr fontId="1" type="noConversion"/>
  </si>
  <si>
    <t>PRD</t>
    <phoneticPr fontId="1" type="noConversion"/>
  </si>
  <si>
    <t>Linux</t>
    <phoneticPr fontId="1" type="noConversion"/>
  </si>
  <si>
    <t>hazr-p-if-rg</t>
    <phoneticPr fontId="1" type="noConversion"/>
  </si>
  <si>
    <t>hazr-p-if-sastweb01</t>
    <phoneticPr fontId="1" type="noConversion"/>
  </si>
  <si>
    <t>10.158.165.81</t>
    <phoneticPr fontId="1" type="noConversion"/>
  </si>
  <si>
    <t>PRD</t>
    <phoneticPr fontId="1" type="noConversion"/>
  </si>
  <si>
    <t>hazr-p-sec-rg</t>
    <phoneticPr fontId="1" type="noConversion"/>
  </si>
  <si>
    <t>10.158.150.11</t>
    <phoneticPr fontId="1" type="noConversion"/>
  </si>
  <si>
    <t>10.158.150.12</t>
    <phoneticPr fontId="1" type="noConversion"/>
  </si>
  <si>
    <t>D2s_v5</t>
    <phoneticPr fontId="1" type="noConversion"/>
  </si>
  <si>
    <t>D4s_v5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</si>
  <si>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</si>
  <si>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</si>
  <si>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hazr-p-sec-mevrsol01</t>
    <phoneticPr fontId="1" type="noConversion"/>
  </si>
  <si>
    <t>hazr-p-sec-mevrsol02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</si>
  <si>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</si>
  <si>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TURE</t>
    <phoneticPr fontId="1" type="noConversion"/>
  </si>
  <si>
    <t>hazr-p-dch-int-vnet</t>
    <phoneticPr fontId="1" type="noConversion"/>
  </si>
  <si>
    <t>p-sec-ap-sbn</t>
    <phoneticPr fontId="1" type="noConversion"/>
  </si>
  <si>
    <t>p-sec-ap-sbn</t>
    <phoneticPr fontId="1" type="noConversion"/>
  </si>
  <si>
    <t>hazr-p-sec-rg</t>
    <phoneticPr fontId="1" type="noConversion"/>
  </si>
  <si>
    <t>hazr-p-sec-mevrsol-lb</t>
  </si>
  <si>
    <t>hazr-p-sec-mevrsol-lb</t>
    <phoneticPr fontId="1" type="noConversion"/>
  </si>
  <si>
    <t>hazr-p-dch-rg</t>
    <phoneticPr fontId="1" type="noConversion"/>
  </si>
  <si>
    <t>10.158.50.10</t>
    <phoneticPr fontId="1" type="noConversion"/>
  </si>
  <si>
    <t>hazr-p-sec-mevrsol-lb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</si>
</sst>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5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47" totalsRowShown="0" headerRowDxfId="32" dataDxfId="31">
  <autoFilter ref="B1:AF147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47"/>
  <sheetViews>
    <sheetView zoomScaleNormal="100" zoomScaleSheetLayoutView="100" workbookViewId="0">
      <pane xSplit="6" ySplit="1" topLeftCell="Y130" activePane="bottomRight" state="frozen"/>
      <selection pane="topRight"/>
      <selection pane="bottomLeft"/>
      <selection pane="bottomRight" activeCell="F146" sqref="F146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3" t="s">
        <v>178</v>
      </c>
      <c r="M129" s="95" t="s">
        <v>992</v>
      </c>
      <c r="N129" s="98" t="s">
        <v>986</v>
      </c>
      <c r="O129" s="74" t="str">
        <f t="shared" ref="O129:O135" si="12">SUBSTITUTE(F129,"hazr-","")&amp;"-osdisk"</f>
        <v>p-dtg-bbigeoap01-osdisk</v>
      </c>
      <c r="P129" s="114">
        <v>64</v>
      </c>
      <c r="Q129" s="115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4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1089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2" t="s">
        <v>178</v>
      </c>
      <c r="M130" s="74" t="s">
        <v>992</v>
      </c>
      <c r="N130" s="98" t="s">
        <v>986</v>
      </c>
      <c r="O130" s="74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3" t="s">
        <v>178</v>
      </c>
      <c r="M131" s="95" t="s">
        <v>992</v>
      </c>
      <c r="N131" s="98" t="s">
        <v>1034</v>
      </c>
      <c r="O131" s="74" t="str">
        <f t="shared" si="12"/>
        <v>p-if-hipsap01-osdisk</v>
      </c>
      <c r="P131" s="114">
        <v>64</v>
      </c>
      <c r="Q131" s="115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4">
        <v>1</v>
      </c>
      <c r="AE131" s="95"/>
      <c r="AF131" s="95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1035</v>
      </c>
      <c r="E132" s="95" t="s">
        <v>24</v>
      </c>
      <c r="F132" s="95" t="s">
        <v>1036</v>
      </c>
      <c r="G132" s="95" t="s">
        <v>1040</v>
      </c>
      <c r="H132" s="95" t="s">
        <v>1042</v>
      </c>
      <c r="I132" s="95">
        <v>16</v>
      </c>
      <c r="J132" s="95">
        <v>32</v>
      </c>
      <c r="K132" s="95" t="s">
        <v>180</v>
      </c>
      <c r="L132" s="113" t="s">
        <v>178</v>
      </c>
      <c r="M132" s="95" t="s">
        <v>992</v>
      </c>
      <c r="N132" s="121" t="s">
        <v>1050</v>
      </c>
      <c r="O132" s="74" t="str">
        <f t="shared" si="12"/>
        <v>p-com-esnweb01-osdisk</v>
      </c>
      <c r="P132" s="80">
        <v>64</v>
      </c>
      <c r="Q132" s="115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1045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1035</v>
      </c>
      <c r="E133" s="95" t="s">
        <v>24</v>
      </c>
      <c r="F133" s="95" t="s">
        <v>1037</v>
      </c>
      <c r="G133" s="95" t="s">
        <v>1041</v>
      </c>
      <c r="H133" s="95" t="s">
        <v>596</v>
      </c>
      <c r="I133" s="95">
        <v>16</v>
      </c>
      <c r="J133" s="95">
        <v>32</v>
      </c>
      <c r="K133" s="95" t="s">
        <v>180</v>
      </c>
      <c r="L133" s="113" t="s">
        <v>178</v>
      </c>
      <c r="M133" s="95" t="s">
        <v>992</v>
      </c>
      <c r="N133" s="121" t="s">
        <v>1050</v>
      </c>
      <c r="O133" s="74" t="str">
        <f t="shared" si="12"/>
        <v>p-com-esnweb02-osdisk</v>
      </c>
      <c r="P133" s="80">
        <v>64</v>
      </c>
      <c r="Q133" s="115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1045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tr" cm="1">
        <f t="array" ref="C134">UPPER(INDEX(_xlfn.TEXTSPLIT($F134, "-"), 3))</f>
        <v>COM</v>
      </c>
      <c r="D134" s="95" t="s">
        <v>1035</v>
      </c>
      <c r="E134" s="95" t="s">
        <v>24</v>
      </c>
      <c r="F134" s="95" t="s">
        <v>1038</v>
      </c>
      <c r="G134" s="95" t="s">
        <v>1051</v>
      </c>
      <c r="H134" s="95" t="s">
        <v>1044</v>
      </c>
      <c r="I134" s="95">
        <v>32</v>
      </c>
      <c r="J134" s="95">
        <v>64</v>
      </c>
      <c r="K134" s="95" t="s">
        <v>180</v>
      </c>
      <c r="L134" s="113" t="s">
        <v>178</v>
      </c>
      <c r="M134" s="95" t="s">
        <v>992</v>
      </c>
      <c r="N134" s="121" t="s">
        <v>1050</v>
      </c>
      <c r="O134" s="74" t="str">
        <f t="shared" si="12"/>
        <v>p-com-esnap01-osdisk</v>
      </c>
      <c r="P134" s="114">
        <v>64</v>
      </c>
      <c r="Q134" s="115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1048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A135" s="90"/>
      <c r="B135" s="95" t="s">
        <v>23</v>
      </c>
      <c r="C135" s="95" t="str" cm="1">
        <f t="array" ref="C135">UPPER(INDEX(_xlfn.TEXTSPLIT($F135, "-"), 3))</f>
        <v>COM</v>
      </c>
      <c r="D135" s="95" t="s">
        <v>1035</v>
      </c>
      <c r="E135" s="95" t="s">
        <v>24</v>
      </c>
      <c r="F135" s="95" t="s">
        <v>1039</v>
      </c>
      <c r="G135" s="95" t="s">
        <v>1052</v>
      </c>
      <c r="H135" s="95" t="s">
        <v>1043</v>
      </c>
      <c r="I135" s="95">
        <v>32</v>
      </c>
      <c r="J135" s="95">
        <v>64</v>
      </c>
      <c r="K135" s="95" t="s">
        <v>180</v>
      </c>
      <c r="L135" s="113" t="s">
        <v>178</v>
      </c>
      <c r="M135" s="95" t="s">
        <v>992</v>
      </c>
      <c r="N135" s="121" t="s">
        <v>1050</v>
      </c>
      <c r="O135" s="74" t="str">
        <f t="shared" si="12"/>
        <v>p-com-esnap02-osdisk</v>
      </c>
      <c r="P135" s="80">
        <v>64</v>
      </c>
      <c r="Q135" s="115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1048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A136" s="90"/>
      <c r="B136" s="95" t="s">
        <v>23</v>
      </c>
      <c r="C136" s="95" t="s">
        <v>1055</v>
      </c>
      <c r="D136" s="95" t="s">
        <v>1056</v>
      </c>
      <c r="E136" s="95" t="s">
        <v>24</v>
      </c>
      <c r="F136" s="95" t="s">
        <v>1057</v>
      </c>
      <c r="G136" s="95" t="s">
        <v>1059</v>
      </c>
      <c r="H136" s="80" t="s">
        <v>588</v>
      </c>
      <c r="I136" s="80">
        <v>2</v>
      </c>
      <c r="J136" s="80">
        <v>8</v>
      </c>
      <c r="K136" s="95" t="s">
        <v>180</v>
      </c>
      <c r="L136" s="113" t="s">
        <v>178</v>
      </c>
      <c r="M136" s="95" t="s">
        <v>992</v>
      </c>
      <c r="N136" s="1" t="s">
        <v>1066</v>
      </c>
      <c r="O136" s="74" t="str">
        <f t="shared" ref="O136:O141" si="14">SUBSTITUTE(F136,"hazr-","")&amp;"-osdisk"</f>
        <v>az-p-int-host1-osdisk</v>
      </c>
      <c r="P136" s="114">
        <v>64</v>
      </c>
      <c r="Q136" s="115" t="s">
        <v>179</v>
      </c>
      <c r="R136" s="95"/>
      <c r="S136" s="95"/>
      <c r="T136" s="95"/>
      <c r="U136" s="95" t="str">
        <f t="shared" ref="U136:U141" si="15"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1063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A137" s="90"/>
      <c r="B137" s="95" t="s">
        <v>23</v>
      </c>
      <c r="C137" s="95" t="s">
        <v>1055</v>
      </c>
      <c r="D137" s="95" t="s">
        <v>1056</v>
      </c>
      <c r="E137" s="95" t="s">
        <v>24</v>
      </c>
      <c r="F137" s="95" t="s">
        <v>1058</v>
      </c>
      <c r="G137" s="95" t="s">
        <v>1060</v>
      </c>
      <c r="H137" s="80" t="s">
        <v>588</v>
      </c>
      <c r="I137" s="80">
        <v>2</v>
      </c>
      <c r="J137" s="80">
        <v>8</v>
      </c>
      <c r="K137" s="95" t="s">
        <v>180</v>
      </c>
      <c r="L137" s="113" t="s">
        <v>178</v>
      </c>
      <c r="M137" s="95" t="s">
        <v>992</v>
      </c>
      <c r="N137" s="1" t="s">
        <v>1066</v>
      </c>
      <c r="O137" s="74" t="str">
        <f t="shared" si="14"/>
        <v>az-p-int-host2-osdisk</v>
      </c>
      <c r="P137" s="114">
        <v>64</v>
      </c>
      <c r="Q137" s="115" t="s">
        <v>179</v>
      </c>
      <c r="R137" s="95"/>
      <c r="S137" s="95"/>
      <c r="T137" s="95"/>
      <c r="U137" s="95" t="str">
        <f t="shared" si="15"/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1063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A138" s="90"/>
      <c r="B138" s="95" t="s">
        <v>23</v>
      </c>
      <c r="C138" s="95" t="s">
        <v>1055</v>
      </c>
      <c r="D138" s="95" t="s">
        <v>1056</v>
      </c>
      <c r="E138" s="95" t="s">
        <v>24</v>
      </c>
      <c r="F138" s="95" t="s">
        <v>1064</v>
      </c>
      <c r="G138" s="95" t="s">
        <v>1061</v>
      </c>
      <c r="H138" s="80" t="s">
        <v>588</v>
      </c>
      <c r="I138" s="80">
        <v>2</v>
      </c>
      <c r="J138" s="80">
        <v>8</v>
      </c>
      <c r="K138" s="95" t="s">
        <v>180</v>
      </c>
      <c r="L138" s="113" t="s">
        <v>178</v>
      </c>
      <c r="M138" s="95" t="s">
        <v>992</v>
      </c>
      <c r="N138" s="1" t="s">
        <v>1066</v>
      </c>
      <c r="O138" s="74" t="str">
        <f t="shared" si="14"/>
        <v>az-p-int-host3-osdisk</v>
      </c>
      <c r="P138" s="114">
        <v>64</v>
      </c>
      <c r="Q138" s="115" t="s">
        <v>179</v>
      </c>
      <c r="R138" s="95"/>
      <c r="S138" s="95"/>
      <c r="T138" s="95"/>
      <c r="U138" s="95" t="str">
        <f t="shared" si="15"/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1063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A139" s="90"/>
      <c r="B139" s="95" t="s">
        <v>23</v>
      </c>
      <c r="C139" s="95" t="s">
        <v>1055</v>
      </c>
      <c r="D139" s="95" t="s">
        <v>1056</v>
      </c>
      <c r="E139" s="95" t="s">
        <v>24</v>
      </c>
      <c r="F139" s="95" t="s">
        <v>1065</v>
      </c>
      <c r="G139" s="95" t="s">
        <v>1062</v>
      </c>
      <c r="H139" s="80" t="s">
        <v>588</v>
      </c>
      <c r="I139" s="80">
        <v>2</v>
      </c>
      <c r="J139" s="80">
        <v>8</v>
      </c>
      <c r="K139" s="95" t="s">
        <v>180</v>
      </c>
      <c r="L139" s="113" t="s">
        <v>178</v>
      </c>
      <c r="M139" s="95" t="s">
        <v>992</v>
      </c>
      <c r="N139" s="1" t="s">
        <v>1066</v>
      </c>
      <c r="O139" s="74" t="str">
        <f t="shared" si="14"/>
        <v>az-p-int-host4-osdisk</v>
      </c>
      <c r="P139" s="114">
        <v>64</v>
      </c>
      <c r="Q139" s="115" t="s">
        <v>179</v>
      </c>
      <c r="R139" s="95"/>
      <c r="S139" s="95"/>
      <c r="T139" s="95"/>
      <c r="U139" s="95" t="str">
        <f t="shared" si="15"/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1063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  <row r="140" spans="1:32" x14ac:dyDescent="0.3">
      <c r="A140" s="90"/>
      <c r="B140" s="95" t="s">
        <v>1067</v>
      </c>
      <c r="C140" s="95" t="str" cm="1">
        <f t="array" ref="C140">UPPER(INDEX(_xlfn.TEXTSPLIT($F140, "-"), 3))</f>
        <v>BDP</v>
      </c>
      <c r="D140" s="95" t="s">
        <v>1068</v>
      </c>
      <c r="E140" s="95" t="s">
        <v>24</v>
      </c>
      <c r="F140" s="95" t="s">
        <v>1070</v>
      </c>
      <c r="G140" s="95" t="s">
        <v>1075</v>
      </c>
      <c r="H140" s="95" t="s">
        <v>1079</v>
      </c>
      <c r="I140" s="95">
        <v>4</v>
      </c>
      <c r="J140" s="95">
        <v>32</v>
      </c>
      <c r="K140" s="95" t="s">
        <v>180</v>
      </c>
      <c r="L140" s="113" t="s">
        <v>178</v>
      </c>
      <c r="M140" s="95" t="s">
        <v>1081</v>
      </c>
      <c r="N140" s="121" t="s">
        <v>1082</v>
      </c>
      <c r="O140" s="74" t="str">
        <f t="shared" si="14"/>
        <v>p-bdp-rlgcweb01-osdisk</v>
      </c>
      <c r="P140" s="114">
        <v>512</v>
      </c>
      <c r="Q140" s="115" t="s">
        <v>179</v>
      </c>
      <c r="R140" s="95"/>
      <c r="S140" s="95"/>
      <c r="T140" s="95"/>
      <c r="U140" s="95" t="str">
        <f t="shared" si="15"/>
        <v>p-bdp-rlgcweb01-nic</v>
      </c>
      <c r="V140" s="95" t="b">
        <v>1</v>
      </c>
      <c r="W140" s="95" t="b">
        <v>1</v>
      </c>
      <c r="X140" s="95" t="s">
        <v>317</v>
      </c>
      <c r="Y140" s="74" t="s">
        <v>345</v>
      </c>
      <c r="Z140" s="95" t="s">
        <v>968</v>
      </c>
      <c r="AA140" s="95" t="b">
        <v>1</v>
      </c>
      <c r="AB140" s="95" t="s">
        <v>317</v>
      </c>
      <c r="AC140" s="95" t="s">
        <v>318</v>
      </c>
      <c r="AD140" s="114">
        <v>1</v>
      </c>
      <c r="AE140" s="95"/>
      <c r="AF140" s="95"/>
    </row>
    <row r="141" spans="1:32" x14ac:dyDescent="0.3">
      <c r="A141" s="90"/>
      <c r="B141" s="95" t="s">
        <v>1067</v>
      </c>
      <c r="C141" s="95" t="str" cm="1">
        <f t="array" ref="C141">UPPER(INDEX(_xlfn.TEXTSPLIT($F141, "-"), 3))</f>
        <v>BDP</v>
      </c>
      <c r="D141" s="95" t="s">
        <v>1068</v>
      </c>
      <c r="E141" s="95" t="s">
        <v>24</v>
      </c>
      <c r="F141" s="95" t="s">
        <v>1071</v>
      </c>
      <c r="G141" s="95" t="s">
        <v>1076</v>
      </c>
      <c r="H141" s="95" t="s">
        <v>1079</v>
      </c>
      <c r="I141" s="95">
        <v>4</v>
      </c>
      <c r="J141" s="95">
        <v>32</v>
      </c>
      <c r="K141" s="95" t="s">
        <v>180</v>
      </c>
      <c r="L141" s="113" t="s">
        <v>178</v>
      </c>
      <c r="M141" s="95" t="s">
        <v>1081</v>
      </c>
      <c r="N141" s="121" t="s">
        <v>1082</v>
      </c>
      <c r="O141" s="74" t="str">
        <f t="shared" si="14"/>
        <v>p-bdp-rlgcweb02-osdisk</v>
      </c>
      <c r="P141" s="114">
        <v>512</v>
      </c>
      <c r="Q141" s="115" t="s">
        <v>179</v>
      </c>
      <c r="R141" s="95"/>
      <c r="S141" s="95"/>
      <c r="T141" s="95"/>
      <c r="U141" s="95" t="str">
        <f t="shared" si="15"/>
        <v>p-bdp-rlgcweb02-nic</v>
      </c>
      <c r="V141" s="95" t="b">
        <v>1</v>
      </c>
      <c r="W141" s="95" t="b">
        <v>1</v>
      </c>
      <c r="X141" s="95" t="s">
        <v>317</v>
      </c>
      <c r="Y141" s="74" t="s">
        <v>345</v>
      </c>
      <c r="Z141" s="95" t="s">
        <v>968</v>
      </c>
      <c r="AA141" s="95" t="b">
        <v>1</v>
      </c>
      <c r="AB141" s="95" t="s">
        <v>317</v>
      </c>
      <c r="AC141" s="95" t="s">
        <v>318</v>
      </c>
      <c r="AD141" s="114">
        <v>2</v>
      </c>
      <c r="AE141" s="95"/>
      <c r="AF141" s="95"/>
    </row>
    <row r="142" spans="1:32" x14ac:dyDescent="0.3">
      <c r="A142" s="90"/>
      <c r="B142" s="74" t="s">
        <v>1067</v>
      </c>
      <c r="C142" s="74" t="str" cm="1">
        <f t="array" ref="C142">UPPER(INDEX(_xlfn.TEXTSPLIT($F142, "-"), 3))</f>
        <v>BDP</v>
      </c>
      <c r="D142" s="95" t="s">
        <v>1068</v>
      </c>
      <c r="E142" s="74" t="s">
        <v>24</v>
      </c>
      <c r="F142" s="74" t="s">
        <v>1072</v>
      </c>
      <c r="G142" s="74" t="s">
        <v>1077</v>
      </c>
      <c r="H142" s="74" t="s">
        <v>1080</v>
      </c>
      <c r="I142" s="74">
        <v>16</v>
      </c>
      <c r="J142" s="74">
        <v>256</v>
      </c>
      <c r="K142" s="74" t="s">
        <v>180</v>
      </c>
      <c r="L142" s="112" t="s">
        <v>178</v>
      </c>
      <c r="M142" s="74" t="s">
        <v>1081</v>
      </c>
      <c r="N142" s="122" t="s">
        <v>1082</v>
      </c>
      <c r="O142" s="74" t="str">
        <f t="shared" ref="O142:O144" si="16">SUBSTITUTE(F142,"hazr-","")&amp;"-osdisk"</f>
        <v>p-bdp-rlgcap01-osdisk</v>
      </c>
      <c r="P142" s="80">
        <v>2048</v>
      </c>
      <c r="Q142" s="86" t="s">
        <v>179</v>
      </c>
      <c r="R142" s="74"/>
      <c r="S142" s="74"/>
      <c r="T142" s="74"/>
      <c r="U142" s="74" t="str">
        <f t="shared" ref="U142:U144" si="17">SUBSTITUTE(F142,"hazr-","")&amp;"-nic"</f>
        <v>p-bdp-rlgcap01-nic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964</v>
      </c>
      <c r="AA142" s="74" t="b">
        <v>1</v>
      </c>
      <c r="AB142" s="74" t="s">
        <v>317</v>
      </c>
      <c r="AC142" s="74" t="s">
        <v>318</v>
      </c>
      <c r="AD142" s="80">
        <v>1</v>
      </c>
      <c r="AE142" s="74"/>
      <c r="AF142" s="74"/>
    </row>
    <row r="143" spans="1:32" x14ac:dyDescent="0.3">
      <c r="A143" s="90"/>
      <c r="B143" s="74" t="s">
        <v>1069</v>
      </c>
      <c r="C143" s="74" t="str" cm="1">
        <f t="array" ref="C143">UPPER(INDEX(_xlfn.TEXTSPLIT($F143, "-"), 3))</f>
        <v>BDP</v>
      </c>
      <c r="D143" s="95" t="s">
        <v>1068</v>
      </c>
      <c r="E143" s="74" t="s">
        <v>24</v>
      </c>
      <c r="F143" s="74" t="s">
        <v>1073</v>
      </c>
      <c r="G143" s="74" t="s">
        <v>1078</v>
      </c>
      <c r="H143" s="74" t="s">
        <v>1080</v>
      </c>
      <c r="I143" s="74">
        <v>16</v>
      </c>
      <c r="J143" s="74">
        <v>256</v>
      </c>
      <c r="K143" s="74" t="s">
        <v>180</v>
      </c>
      <c r="L143" s="112" t="s">
        <v>178</v>
      </c>
      <c r="M143" s="74" t="s">
        <v>1081</v>
      </c>
      <c r="N143" s="119" t="s">
        <v>1082</v>
      </c>
      <c r="O143" s="120" t="str">
        <f t="shared" si="16"/>
        <v>p-bdp-rlgcap02-osdisk</v>
      </c>
      <c r="P143" s="80">
        <v>2048</v>
      </c>
      <c r="Q143" s="86" t="s">
        <v>179</v>
      </c>
      <c r="R143" s="74"/>
      <c r="S143" s="74"/>
      <c r="T143" s="74"/>
      <c r="U143" s="74" t="str">
        <f t="shared" si="17"/>
        <v>p-bdp-rlgcap02-nic</v>
      </c>
      <c r="V143" s="74" t="b">
        <v>1</v>
      </c>
      <c r="W143" s="74" t="b">
        <v>1</v>
      </c>
      <c r="X143" s="74" t="s">
        <v>317</v>
      </c>
      <c r="Y143" s="74" t="s">
        <v>338</v>
      </c>
      <c r="Z143" s="95" t="s">
        <v>964</v>
      </c>
      <c r="AA143" s="74" t="b">
        <v>1</v>
      </c>
      <c r="AB143" s="74" t="s">
        <v>317</v>
      </c>
      <c r="AC143" s="74" t="s">
        <v>318</v>
      </c>
      <c r="AD143" s="80">
        <v>2</v>
      </c>
      <c r="AE143" s="74"/>
      <c r="AF143" s="74"/>
    </row>
    <row r="144" spans="1:32" x14ac:dyDescent="0.3">
      <c r="A144" s="90"/>
      <c r="B144" s="74" t="s">
        <v>1067</v>
      </c>
      <c r="C144" s="74" t="str" cm="1">
        <f t="array" ref="C144">UPPER(INDEX(_xlfn.TEXTSPLIT($F144, "-"), 3))</f>
        <v>BDP</v>
      </c>
      <c r="D144" s="95" t="s">
        <v>1068</v>
      </c>
      <c r="E144" s="74" t="s">
        <v>24</v>
      </c>
      <c r="F144" s="74" t="s">
        <v>1074</v>
      </c>
      <c r="G144" s="74" t="s">
        <v>1088</v>
      </c>
      <c r="H144" s="74" t="s">
        <v>1080</v>
      </c>
      <c r="I144" s="74">
        <v>16</v>
      </c>
      <c r="J144" s="74">
        <v>256</v>
      </c>
      <c r="K144" s="74" t="s">
        <v>180</v>
      </c>
      <c r="L144" s="112" t="s">
        <v>178</v>
      </c>
      <c r="M144" s="74" t="s">
        <v>1081</v>
      </c>
      <c r="N144" s="119" t="s">
        <v>1082</v>
      </c>
      <c r="O144" s="120" t="str">
        <f t="shared" si="16"/>
        <v>p-bdp-rlgcap03-osdisk</v>
      </c>
      <c r="P144" s="80">
        <v>2048</v>
      </c>
      <c r="Q144" s="86" t="s">
        <v>179</v>
      </c>
      <c r="R144" s="74"/>
      <c r="S144" s="74"/>
      <c r="T144" s="74"/>
      <c r="U144" s="74" t="str">
        <f t="shared" si="17"/>
        <v>p-bdp-rlgcap03-nic</v>
      </c>
      <c r="V144" s="74" t="b">
        <v>1</v>
      </c>
      <c r="W144" s="74" t="b">
        <v>1</v>
      </c>
      <c r="X144" s="74" t="s">
        <v>317</v>
      </c>
      <c r="Y144" s="74" t="s">
        <v>338</v>
      </c>
      <c r="Z144" s="95" t="s">
        <v>964</v>
      </c>
      <c r="AA144" s="74" t="b">
        <v>1</v>
      </c>
      <c r="AB144" s="74" t="s">
        <v>317</v>
      </c>
      <c r="AC144" s="74" t="s">
        <v>318</v>
      </c>
      <c r="AD144" s="80">
        <v>3</v>
      </c>
      <c r="AE144" s="74"/>
      <c r="AF144" s="74"/>
    </row>
    <row r="145" spans="2:32" x14ac:dyDescent="0.3">
      <c r="B145" s="95" t="s">
        <v>1090</v>
      </c>
      <c r="C145" s="95" t="str" cm="1">
        <f t="array" ref="C145">UPPER(INDEX(_xlfn.TEXTSPLIT($F145, "-"), 3))</f>
        <v>IF</v>
      </c>
      <c r="D145" s="95" t="s">
        <v>1092</v>
      </c>
      <c r="E145" s="95" t="s">
        <v>24</v>
      </c>
      <c r="F145" s="95" t="s">
        <v>1093</v>
      </c>
      <c r="G145" s="95" t="s">
        <v>1094</v>
      </c>
      <c r="H145" s="95" t="s">
        <v>1099</v>
      </c>
      <c r="I145" s="95">
        <v>2</v>
      </c>
      <c r="J145" s="95">
        <v>8</v>
      </c>
      <c r="K145" s="95" t="s">
        <v>180</v>
      </c>
      <c r="L145" s="113" t="s">
        <v>178</v>
      </c>
      <c r="M145" s="95" t="s">
        <v>1091</v>
      </c>
      <c r="N145" s="119" t="s">
        <v>1105</v>
      </c>
      <c r="O145" s="123" t="str">
        <f>SUBSTITUTE(F145,"hazr-","")&amp;"-osdisk"</f>
        <v>p-if-sastweb01-osdisk</v>
      </c>
      <c r="P145" s="114">
        <v>64</v>
      </c>
      <c r="Q145" s="115" t="s">
        <v>179</v>
      </c>
      <c r="R145" s="95"/>
      <c r="S145" s="95"/>
      <c r="T145" s="95"/>
      <c r="U145" s="95" t="str">
        <f>SUBSTITUTE(F145,"hazr-","")&amp;"-nic"</f>
        <v>p-if-sastweb01-nic</v>
      </c>
      <c r="V145" s="95" t="b">
        <v>1</v>
      </c>
      <c r="W145" s="95" t="b">
        <v>1</v>
      </c>
      <c r="X145" s="95" t="s">
        <v>317</v>
      </c>
      <c r="Y145" s="95" t="s">
        <v>1107</v>
      </c>
      <c r="Z145" s="95" t="s">
        <v>965</v>
      </c>
      <c r="AA145" s="95" t="b">
        <v>1</v>
      </c>
      <c r="AB145" s="95" t="s">
        <v>317</v>
      </c>
      <c r="AC145" s="95" t="s">
        <v>318</v>
      </c>
      <c r="AD145" s="114">
        <v>1</v>
      </c>
      <c r="AE145" s="95"/>
      <c r="AF145" s="95"/>
    </row>
    <row r="146" spans="2:32" x14ac:dyDescent="0.3">
      <c r="B146" s="95" t="s">
        <v>1095</v>
      </c>
      <c r="C146" s="124" t="str" cm="1">
        <f t="array" ref="C146">UPPER(INDEX(_xlfn.TEXTSPLIT($F146, "-"), 3))</f>
        <v>SEC</v>
      </c>
      <c r="D146" s="124" t="s">
        <v>1096</v>
      </c>
      <c r="E146" s="95" t="s">
        <v>24</v>
      </c>
      <c r="F146" s="95" t="s">
        <v>1103</v>
      </c>
      <c r="G146" s="95" t="s">
        <v>1097</v>
      </c>
      <c r="H146" s="95" t="s">
        <v>1100</v>
      </c>
      <c r="I146" s="95">
        <v>4</v>
      </c>
      <c r="J146" s="95">
        <v>16</v>
      </c>
      <c r="K146" s="95" t="s">
        <v>180</v>
      </c>
      <c r="L146" s="113" t="s">
        <v>178</v>
      </c>
      <c r="M146" s="95" t="s">
        <v>1101</v>
      </c>
      <c r="N146" s="125" t="s">
        <v>1102</v>
      </c>
      <c r="O146" s="126" t="str">
        <f>SUBSTITUTE(F146,"hazr-","")&amp;"-osdisk"</f>
        <v>p-sec-mevrsol01-osdisk</v>
      </c>
      <c r="P146" s="114">
        <v>64</v>
      </c>
      <c r="Q146" s="115" t="s">
        <v>179</v>
      </c>
      <c r="R146" s="124"/>
      <c r="S146" s="95"/>
      <c r="T146" s="124"/>
      <c r="U146" s="124" t="str">
        <f>SUBSTITUTE(F146,"hazr-","")&amp;"-nic"</f>
        <v>p-sec-mevrsol01-nic</v>
      </c>
      <c r="V146" s="95" t="b">
        <v>1</v>
      </c>
      <c r="W146" s="95" t="b">
        <v>1</v>
      </c>
      <c r="X146" s="95" t="s">
        <v>317</v>
      </c>
      <c r="Y146" s="95" t="s">
        <v>1107</v>
      </c>
      <c r="Z146" s="95" t="s">
        <v>1109</v>
      </c>
      <c r="AA146" s="95" t="b">
        <v>1</v>
      </c>
      <c r="AB146" s="95" t="s">
        <v>317</v>
      </c>
      <c r="AC146" s="95" t="s">
        <v>318</v>
      </c>
      <c r="AD146" s="114">
        <v>1</v>
      </c>
      <c r="AE146" s="95"/>
      <c r="AF146" s="95"/>
    </row>
    <row r="147" spans="2:32" x14ac:dyDescent="0.3">
      <c r="B147" s="95" t="s">
        <v>1095</v>
      </c>
      <c r="C147" s="124" t="str" cm="1">
        <f t="array" ref="C147">UPPER(INDEX(_xlfn.TEXTSPLIT($F147, "-"), 3))</f>
        <v>SEC</v>
      </c>
      <c r="D147" s="124" t="s">
        <v>1096</v>
      </c>
      <c r="E147" s="95" t="s">
        <v>24</v>
      </c>
      <c r="F147" s="95" t="s">
        <v>1104</v>
      </c>
      <c r="G147" s="95" t="s">
        <v>1098</v>
      </c>
      <c r="H147" s="95" t="s">
        <v>1100</v>
      </c>
      <c r="I147" s="95">
        <v>4</v>
      </c>
      <c r="J147" s="95">
        <v>16</v>
      </c>
      <c r="K147" s="95" t="s">
        <v>180</v>
      </c>
      <c r="L147" s="113" t="s">
        <v>178</v>
      </c>
      <c r="M147" s="95" t="s">
        <v>1101</v>
      </c>
      <c r="N147" s="125" t="s">
        <v>1102</v>
      </c>
      <c r="O147" s="126" t="str">
        <f>SUBSTITUTE(F147,"hazr-","")&amp;"-osdisk"</f>
        <v>p-sec-mevrsol02-osdisk</v>
      </c>
      <c r="P147" s="114">
        <v>64</v>
      </c>
      <c r="Q147" s="115" t="s">
        <v>179</v>
      </c>
      <c r="R147" s="124"/>
      <c r="S147" s="95"/>
      <c r="T147" s="124"/>
      <c r="U147" s="124" t="str">
        <f>SUBSTITUTE(F147,"hazr-","")&amp;"-nic"</f>
        <v>p-sec-mevrsol02-nic</v>
      </c>
      <c r="V147" s="95" t="s">
        <v>1106</v>
      </c>
      <c r="W147" s="95" t="s">
        <v>1106</v>
      </c>
      <c r="X147" s="95" t="s">
        <v>317</v>
      </c>
      <c r="Y147" s="95" t="s">
        <v>1107</v>
      </c>
      <c r="Z147" s="95" t="s">
        <v>1109</v>
      </c>
      <c r="AA147" s="95" t="b">
        <v>1</v>
      </c>
      <c r="AB147" s="95" t="s">
        <v>317</v>
      </c>
      <c r="AC147" s="95" t="s">
        <v>318</v>
      </c>
      <c r="AD147" s="114">
        <v>2</v>
      </c>
      <c r="AE147" s="95"/>
      <c r="AF147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56"/>
  <sheetViews>
    <sheetView tabSelected="1" workbookViewId="0">
      <pane xSplit="6" ySplit="1" topLeftCell="G118" activePane="bottomRight" state="frozen"/>
      <selection pane="topRight" activeCell="G1" sqref="G1"/>
      <selection pane="bottomLeft" activeCell="A2" sqref="A2"/>
      <selection pane="bottomRight" activeCell="B133" sqref="B133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6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6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6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5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5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5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6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6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6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5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5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5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5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5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5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6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6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6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6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6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6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1035</v>
      </c>
      <c r="E145" s="78" t="s">
        <v>24</v>
      </c>
      <c r="F145" s="78" t="s">
        <v>1036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1035</v>
      </c>
      <c r="E146" s="80" t="s">
        <v>24</v>
      </c>
      <c r="F146" s="80" t="s">
        <v>1037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1035</v>
      </c>
      <c r="E147" s="78" t="s">
        <v>24</v>
      </c>
      <c r="F147" s="78" t="s">
        <v>1038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1035</v>
      </c>
      <c r="E148" s="80" t="s">
        <v>24</v>
      </c>
      <c r="F148" s="80" t="s">
        <v>1039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A149" s="99"/>
      <c r="B149" s="78" t="s">
        <v>23</v>
      </c>
      <c r="C149" s="73" t="str" cm="1">
        <f t="array" ref="C149">UPPER(INDEX(_xlfn.TEXTSPLIT($D149, "-"), 3))</f>
        <v>BDP</v>
      </c>
      <c r="D149" s="78" t="s">
        <v>924</v>
      </c>
      <c r="E149" s="78" t="s">
        <v>24</v>
      </c>
      <c r="F149" s="117" t="s">
        <v>1070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A150" s="99"/>
      <c r="B150" s="80" t="s">
        <v>23</v>
      </c>
      <c r="C150" s="74" t="str" cm="1">
        <f t="array" ref="C150">UPPER(INDEX(_xlfn.TEXTSPLIT($D150, "-"), 3))</f>
        <v>BDP</v>
      </c>
      <c r="D150" s="80" t="s">
        <v>924</v>
      </c>
      <c r="E150" s="80" t="s">
        <v>24</v>
      </c>
      <c r="F150" s="118" t="s">
        <v>1071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A151" s="99"/>
      <c r="B151" s="78" t="s">
        <v>23</v>
      </c>
      <c r="C151" s="73" t="str" cm="1">
        <f t="array" ref="C151">UPPER(INDEX(_xlfn.TEXTSPLIT($D151, "-"), 3))</f>
        <v>BDP</v>
      </c>
      <c r="D151" s="78" t="s">
        <v>924</v>
      </c>
      <c r="E151" s="78" t="s">
        <v>24</v>
      </c>
      <c r="F151" s="73" t="s">
        <v>1072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A152" s="99"/>
      <c r="B152" s="80" t="s">
        <v>23</v>
      </c>
      <c r="C152" s="74" t="str" cm="1">
        <f t="array" ref="C152">UPPER(INDEX(_xlfn.TEXTSPLIT($D152, "-"), 3))</f>
        <v>BDP</v>
      </c>
      <c r="D152" s="80" t="s">
        <v>924</v>
      </c>
      <c r="E152" s="80" t="s">
        <v>24</v>
      </c>
      <c r="F152" s="74" t="s">
        <v>1073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A153" s="99"/>
      <c r="B153" s="78" t="s">
        <v>23</v>
      </c>
      <c r="C153" s="73" t="str" cm="1">
        <f t="array" ref="C153">UPPER(INDEX(_xlfn.TEXTSPLIT($D153, "-"), 3))</f>
        <v>BDP</v>
      </c>
      <c r="D153" s="78" t="s">
        <v>924</v>
      </c>
      <c r="E153" s="78" t="s">
        <v>24</v>
      </c>
      <c r="F153" s="73" t="s">
        <v>1074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  <row r="154" spans="1:18" x14ac:dyDescent="0.3">
      <c r="B154" s="80" t="s">
        <v>23</v>
      </c>
      <c r="C154" s="74" t="str" cm="1">
        <f t="array" ref="C154">UPPER(INDEX(_xlfn.TEXTSPLIT($D154, "-"), 3))</f>
        <v>IF</v>
      </c>
      <c r="D154" s="80" t="s">
        <v>925</v>
      </c>
      <c r="E154" s="80" t="s">
        <v>24</v>
      </c>
      <c r="F154" s="118" t="s">
        <v>1093</v>
      </c>
      <c r="G154" s="74" t="str">
        <f t="shared" ref="G154:G156" si="4">SUBSTITUTE(F154,"hazr-","")&amp;"-disk01"</f>
        <v>p-if-sastweb01-disk01</v>
      </c>
      <c r="H154" s="74" t="s">
        <v>179</v>
      </c>
      <c r="I154" s="74">
        <v>128</v>
      </c>
      <c r="J154" s="74" t="str">
        <f t="shared" ref="J154:J156" si="5">SUBSTITUTE(F154,"hazr-","")&amp;"-disk02"</f>
        <v>p-if-sastweb01-disk02</v>
      </c>
      <c r="K154" s="74" t="s">
        <v>179</v>
      </c>
      <c r="L154" s="74">
        <v>128</v>
      </c>
      <c r="M154" s="80">
        <v>1</v>
      </c>
      <c r="N154" s="80" t="s">
        <v>191</v>
      </c>
      <c r="O154" s="80" t="s">
        <v>317</v>
      </c>
      <c r="P154" s="80" t="s">
        <v>318</v>
      </c>
      <c r="Q154" s="80" t="b">
        <v>1</v>
      </c>
      <c r="R154" s="80"/>
    </row>
    <row r="155" spans="1:18" x14ac:dyDescent="0.3">
      <c r="B155" s="78" t="s">
        <v>23</v>
      </c>
      <c r="C155" s="73" t="str" cm="1">
        <f t="array" ref="C155">UPPER(INDEX(_xlfn.TEXTSPLIT($D155, "-"), 3))</f>
        <v>SEC</v>
      </c>
      <c r="D155" s="78" t="s">
        <v>1110</v>
      </c>
      <c r="E155" s="78" t="s">
        <v>24</v>
      </c>
      <c r="F155" s="117" t="s">
        <v>1103</v>
      </c>
      <c r="G155" s="73" t="str">
        <f t="shared" si="4"/>
        <v>p-sec-mevrsol01-disk01</v>
      </c>
      <c r="H155" s="73" t="s">
        <v>179</v>
      </c>
      <c r="I155" s="73">
        <v>128</v>
      </c>
      <c r="J155" s="73" t="str">
        <f t="shared" si="5"/>
        <v>p-sec-mevrsol01-disk02</v>
      </c>
      <c r="K155" s="73" t="s">
        <v>179</v>
      </c>
      <c r="L155" s="73">
        <v>128</v>
      </c>
      <c r="M155" s="78">
        <v>1</v>
      </c>
      <c r="N155" s="78" t="s">
        <v>191</v>
      </c>
      <c r="O155" s="78" t="s">
        <v>317</v>
      </c>
      <c r="P155" s="78" t="s">
        <v>318</v>
      </c>
      <c r="Q155" s="78" t="b">
        <v>1</v>
      </c>
      <c r="R155" s="78"/>
    </row>
    <row r="156" spans="1:18" x14ac:dyDescent="0.3">
      <c r="B156" s="80" t="s">
        <v>23</v>
      </c>
      <c r="C156" s="74" t="str" cm="1">
        <f t="array" ref="C156">UPPER(INDEX(_xlfn.TEXTSPLIT($D156, "-"), 3))</f>
        <v>SEC</v>
      </c>
      <c r="D156" s="80" t="s">
        <v>1110</v>
      </c>
      <c r="E156" s="80" t="s">
        <v>24</v>
      </c>
      <c r="F156" s="118" t="s">
        <v>1104</v>
      </c>
      <c r="G156" s="74" t="str">
        <f t="shared" si="4"/>
        <v>p-sec-mevrsol02-disk01</v>
      </c>
      <c r="H156" s="74" t="s">
        <v>179</v>
      </c>
      <c r="I156" s="74">
        <v>128</v>
      </c>
      <c r="J156" s="74" t="str">
        <f t="shared" si="5"/>
        <v>p-sec-mevrsol02-disk02</v>
      </c>
      <c r="K156" s="74" t="s">
        <v>179</v>
      </c>
      <c r="L156" s="74">
        <v>128</v>
      </c>
      <c r="M156" s="80">
        <v>2</v>
      </c>
      <c r="N156" s="80" t="s">
        <v>191</v>
      </c>
      <c r="O156" s="80" t="s">
        <v>317</v>
      </c>
      <c r="P156" s="80" t="s">
        <v>318</v>
      </c>
      <c r="Q156" s="80" t="b">
        <v>1</v>
      </c>
      <c r="R156" s="80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65"/>
  <sheetViews>
    <sheetView topLeftCell="A138" workbookViewId="0">
      <selection activeCell="M165" sqref="M165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8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8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7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DIP</v>
      </c>
      <c r="D139" s="74" t="s">
        <v>317</v>
      </c>
      <c r="E139" s="80" t="str">
        <f t="shared" si="5"/>
        <v>p-dip-db-nsg</v>
      </c>
      <c r="F139" s="74" t="s">
        <v>317</v>
      </c>
      <c r="G139" s="80" t="s">
        <v>233</v>
      </c>
      <c r="H139" s="74" t="s">
        <v>258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DIP</v>
      </c>
      <c r="D140" s="73" t="s">
        <v>317</v>
      </c>
      <c r="E140" s="78" t="str">
        <f t="shared" si="5"/>
        <v>p-dip-pe-nsg</v>
      </c>
      <c r="F140" s="73" t="s">
        <v>317</v>
      </c>
      <c r="G140" s="78" t="s">
        <v>233</v>
      </c>
      <c r="H140" s="73" t="s">
        <v>259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7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74" t="str" cm="1">
        <f t="array" ref="C149">UPPER(INDEX(_xlfn.TEXTSPLIT($E149, "-"), 2))</f>
        <v>IF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A150" s="90"/>
      <c r="B150" s="78" t="s">
        <v>23</v>
      </c>
      <c r="C150" s="117" t="str" cm="1">
        <f t="array" ref="C150">UPPER(INDEX(_xlfn.TEXTSPLIT($E150, "-"), 2))</f>
        <v>COM</v>
      </c>
      <c r="D150" s="117" t="s">
        <v>317</v>
      </c>
      <c r="E150" s="73" t="str">
        <f t="shared" si="6"/>
        <v>p-com-esnweb01-nsg</v>
      </c>
      <c r="F150" s="73" t="s">
        <v>317</v>
      </c>
      <c r="G150" s="117" t="s">
        <v>345</v>
      </c>
      <c r="H150" s="117" t="s">
        <v>1045</v>
      </c>
      <c r="I150" s="117" t="s">
        <v>1036</v>
      </c>
      <c r="J150" s="117" t="s">
        <v>1035</v>
      </c>
      <c r="K150" s="73" t="str">
        <f t="shared" si="4"/>
        <v>p-com-esnweb01-nic</v>
      </c>
      <c r="L150" s="117" t="s">
        <v>226</v>
      </c>
      <c r="M150" s="117"/>
    </row>
    <row r="151" spans="1:13" x14ac:dyDescent="0.3">
      <c r="A151" s="90"/>
      <c r="B151" s="80" t="s">
        <v>23</v>
      </c>
      <c r="C151" s="118" t="str" cm="1">
        <f t="array" ref="C151">UPPER(INDEX(_xlfn.TEXTSPLIT($E151, "-"), 2))</f>
        <v>COM</v>
      </c>
      <c r="D151" s="118" t="s">
        <v>317</v>
      </c>
      <c r="E151" s="74" t="str">
        <f t="shared" si="6"/>
        <v>p-com-esnweb02-nsg</v>
      </c>
      <c r="F151" s="74" t="s">
        <v>317</v>
      </c>
      <c r="G151" s="118" t="s">
        <v>345</v>
      </c>
      <c r="H151" s="118" t="s">
        <v>240</v>
      </c>
      <c r="I151" s="118" t="s">
        <v>1037</v>
      </c>
      <c r="J151" s="118" t="s">
        <v>1035</v>
      </c>
      <c r="K151" s="74" t="str">
        <f t="shared" si="4"/>
        <v>p-com-esnweb02-nic</v>
      </c>
      <c r="L151" s="118" t="s">
        <v>226</v>
      </c>
      <c r="M151" s="118"/>
    </row>
    <row r="152" spans="1:13" x14ac:dyDescent="0.3">
      <c r="A152" s="90"/>
      <c r="B152" s="78" t="s">
        <v>23</v>
      </c>
      <c r="C152" s="117" t="str" cm="1">
        <f t="array" ref="C152">UPPER(INDEX(_xlfn.TEXTSPLIT($E152, "-"), 2))</f>
        <v>COM</v>
      </c>
      <c r="D152" s="117" t="s">
        <v>317</v>
      </c>
      <c r="E152" s="73" t="str">
        <f t="shared" si="6"/>
        <v>p-com-esnap01-nsg</v>
      </c>
      <c r="F152" s="73" t="s">
        <v>317</v>
      </c>
      <c r="G152" s="117" t="s">
        <v>338</v>
      </c>
      <c r="H152" s="117" t="s">
        <v>1054</v>
      </c>
      <c r="I152" s="117" t="s">
        <v>1038</v>
      </c>
      <c r="J152" s="117" t="s">
        <v>1035</v>
      </c>
      <c r="K152" s="73" t="str">
        <f t="shared" si="4"/>
        <v>p-com-esnap01-nic</v>
      </c>
      <c r="L152" s="117" t="s">
        <v>226</v>
      </c>
      <c r="M152" s="117"/>
    </row>
    <row r="153" spans="1:13" x14ac:dyDescent="0.3">
      <c r="A153" s="90"/>
      <c r="B153" s="80" t="s">
        <v>23</v>
      </c>
      <c r="C153" s="118" t="str" cm="1">
        <f t="array" ref="C153">UPPER(INDEX(_xlfn.TEXTSPLIT($E153, "-"), 2))</f>
        <v>COM</v>
      </c>
      <c r="D153" s="118" t="s">
        <v>317</v>
      </c>
      <c r="E153" s="74" t="str">
        <f t="shared" si="6"/>
        <v>p-com-esnap02-nsg</v>
      </c>
      <c r="F153" s="74" t="s">
        <v>317</v>
      </c>
      <c r="G153" s="118" t="s">
        <v>338</v>
      </c>
      <c r="H153" s="118" t="s">
        <v>1054</v>
      </c>
      <c r="I153" s="118" t="s">
        <v>1039</v>
      </c>
      <c r="J153" s="118" t="s">
        <v>1035</v>
      </c>
      <c r="K153" s="74" t="str">
        <f t="shared" si="4"/>
        <v>p-com-esnap02-nic</v>
      </c>
      <c r="L153" s="118" t="s">
        <v>226</v>
      </c>
      <c r="M153" s="118"/>
    </row>
    <row r="154" spans="1:13" x14ac:dyDescent="0.3">
      <c r="A154" s="90"/>
      <c r="B154" s="78" t="s">
        <v>23</v>
      </c>
      <c r="C154" s="117" t="s">
        <v>1055</v>
      </c>
      <c r="D154" s="117" t="s">
        <v>317</v>
      </c>
      <c r="E154" s="73" t="str">
        <f t="shared" si="6"/>
        <v>az-p-int-host1-nsg</v>
      </c>
      <c r="F154" s="73" t="s">
        <v>317</v>
      </c>
      <c r="G154" s="117" t="s">
        <v>338</v>
      </c>
      <c r="H154" s="117" t="s">
        <v>1063</v>
      </c>
      <c r="I154" s="117" t="s">
        <v>1057</v>
      </c>
      <c r="J154" s="117" t="s">
        <v>1056</v>
      </c>
      <c r="K154" s="73" t="str">
        <f t="shared" si="4"/>
        <v>az-p-int-host1-nic</v>
      </c>
      <c r="L154" s="117" t="s">
        <v>226</v>
      </c>
      <c r="M154" s="117"/>
    </row>
    <row r="155" spans="1:13" x14ac:dyDescent="0.3">
      <c r="A155" s="90"/>
      <c r="B155" s="80" t="s">
        <v>23</v>
      </c>
      <c r="C155" s="118" t="s">
        <v>1055</v>
      </c>
      <c r="D155" s="118" t="s">
        <v>317</v>
      </c>
      <c r="E155" s="74" t="str">
        <f t="shared" si="6"/>
        <v>az-p-int-host2-nsg</v>
      </c>
      <c r="F155" s="74" t="s">
        <v>317</v>
      </c>
      <c r="G155" s="118" t="s">
        <v>338</v>
      </c>
      <c r="H155" s="118" t="s">
        <v>1063</v>
      </c>
      <c r="I155" s="118" t="s">
        <v>1058</v>
      </c>
      <c r="J155" s="118" t="s">
        <v>1056</v>
      </c>
      <c r="K155" s="74" t="str">
        <f t="shared" si="4"/>
        <v>az-p-int-host2-nic</v>
      </c>
      <c r="L155" s="118" t="s">
        <v>226</v>
      </c>
      <c r="M155" s="118"/>
    </row>
    <row r="156" spans="1:13" x14ac:dyDescent="0.3">
      <c r="A156" s="90"/>
      <c r="B156" s="78" t="s">
        <v>23</v>
      </c>
      <c r="C156" s="117" t="s">
        <v>1055</v>
      </c>
      <c r="D156" s="117" t="s">
        <v>317</v>
      </c>
      <c r="E156" s="73" t="str">
        <f t="shared" si="6"/>
        <v>az-p-int-host3-nsg</v>
      </c>
      <c r="F156" s="73" t="s">
        <v>317</v>
      </c>
      <c r="G156" s="117" t="s">
        <v>338</v>
      </c>
      <c r="H156" s="117" t="s">
        <v>1063</v>
      </c>
      <c r="I156" s="117" t="s">
        <v>1064</v>
      </c>
      <c r="J156" s="117" t="s">
        <v>1056</v>
      </c>
      <c r="K156" s="73" t="str">
        <f t="shared" si="4"/>
        <v>az-p-int-host3-nic</v>
      </c>
      <c r="L156" s="117" t="s">
        <v>226</v>
      </c>
      <c r="M156" s="117"/>
    </row>
    <row r="157" spans="1:13" x14ac:dyDescent="0.3">
      <c r="A157" s="90"/>
      <c r="B157" s="80" t="s">
        <v>23</v>
      </c>
      <c r="C157" s="118" t="s">
        <v>1055</v>
      </c>
      <c r="D157" s="118" t="s">
        <v>317</v>
      </c>
      <c r="E157" s="74" t="str">
        <f t="shared" si="6"/>
        <v>az-p-int-host4-nsg</v>
      </c>
      <c r="F157" s="74" t="s">
        <v>317</v>
      </c>
      <c r="G157" s="118" t="s">
        <v>338</v>
      </c>
      <c r="H157" s="118" t="s">
        <v>1063</v>
      </c>
      <c r="I157" s="118" t="s">
        <v>1065</v>
      </c>
      <c r="J157" s="118" t="s">
        <v>1056</v>
      </c>
      <c r="K157" s="74" t="str">
        <f t="shared" si="4"/>
        <v>az-p-int-host4-nic</v>
      </c>
      <c r="L157" s="118" t="s">
        <v>226</v>
      </c>
      <c r="M157" s="118"/>
    </row>
    <row r="158" spans="1:13" x14ac:dyDescent="0.3">
      <c r="A158" s="90"/>
      <c r="B158" s="78" t="s">
        <v>23</v>
      </c>
      <c r="C158" s="117" t="str" cm="1">
        <f t="array" ref="C158">UPPER(INDEX(_xlfn.TEXTSPLIT($E158, "-"), 2))</f>
        <v>BDP</v>
      </c>
      <c r="D158" s="117" t="s">
        <v>317</v>
      </c>
      <c r="E158" s="73" t="str">
        <f t="shared" ref="E158:E165" si="7">IF(OR(L158="X", L158=""), SUBSTITUTE(H158,"-sbn","")&amp;"-nsg", IF(L158="O", SUBSTITUTE(I158,"hazr-","")&amp;"-nsg", ""))</f>
        <v>p-bdp-rlgcweb01-nsg</v>
      </c>
      <c r="F158" s="73" t="s">
        <v>317</v>
      </c>
      <c r="G158" s="117" t="s">
        <v>345</v>
      </c>
      <c r="H158" s="117" t="s">
        <v>1083</v>
      </c>
      <c r="I158" s="117" t="s">
        <v>1070</v>
      </c>
      <c r="J158" s="117" t="s">
        <v>1068</v>
      </c>
      <c r="K158" s="73" t="str">
        <f t="shared" ref="K158:K162" si="8">SUBSTITUTE(I158,"hazr-","")&amp;"-nic"</f>
        <v>p-bdp-rlgcweb01-nic</v>
      </c>
      <c r="L158" s="117" t="s">
        <v>226</v>
      </c>
      <c r="M158" s="117"/>
    </row>
    <row r="159" spans="1:13" x14ac:dyDescent="0.3">
      <c r="A159" s="90"/>
      <c r="B159" s="80" t="s">
        <v>23</v>
      </c>
      <c r="C159" s="118" t="str" cm="1">
        <f t="array" ref="C159">UPPER(INDEX(_xlfn.TEXTSPLIT($E159, "-"), 2))</f>
        <v>BDP</v>
      </c>
      <c r="D159" s="118" t="s">
        <v>317</v>
      </c>
      <c r="E159" s="74" t="str">
        <f t="shared" si="7"/>
        <v>p-bdp-rlgcweb02-nsg</v>
      </c>
      <c r="F159" s="74" t="s">
        <v>317</v>
      </c>
      <c r="G159" s="118" t="s">
        <v>345</v>
      </c>
      <c r="H159" s="118" t="s">
        <v>1083</v>
      </c>
      <c r="I159" s="118" t="s">
        <v>1071</v>
      </c>
      <c r="J159" s="118" t="s">
        <v>1068</v>
      </c>
      <c r="K159" s="74" t="str">
        <f t="shared" si="8"/>
        <v>p-bdp-rlgcweb02-nic</v>
      </c>
      <c r="L159" s="118" t="s">
        <v>226</v>
      </c>
      <c r="M159" s="118"/>
    </row>
    <row r="160" spans="1:13" x14ac:dyDescent="0.3">
      <c r="A160" s="90"/>
      <c r="B160" s="78" t="s">
        <v>23</v>
      </c>
      <c r="C160" s="117" t="str" cm="1">
        <f t="array" ref="C160">UPPER(INDEX(_xlfn.TEXTSPLIT($E160, "-"), 2))</f>
        <v>BDP</v>
      </c>
      <c r="D160" s="117" t="s">
        <v>317</v>
      </c>
      <c r="E160" s="73" t="str">
        <f t="shared" si="7"/>
        <v>p-bdp-rlgcap01-nsg</v>
      </c>
      <c r="F160" s="73" t="s">
        <v>317</v>
      </c>
      <c r="G160" s="117" t="s">
        <v>338</v>
      </c>
      <c r="H160" s="117" t="s">
        <v>1063</v>
      </c>
      <c r="I160" s="73" t="s">
        <v>1072</v>
      </c>
      <c r="J160" s="117" t="s">
        <v>1068</v>
      </c>
      <c r="K160" s="73" t="str">
        <f t="shared" si="8"/>
        <v>p-bdp-rlgcap01-nic</v>
      </c>
      <c r="L160" s="117" t="s">
        <v>226</v>
      </c>
      <c r="M160" s="117"/>
    </row>
    <row r="161" spans="1:13" x14ac:dyDescent="0.3">
      <c r="A161" s="90"/>
      <c r="B161" s="80" t="s">
        <v>23</v>
      </c>
      <c r="C161" s="118" t="str" cm="1">
        <f t="array" ref="C161">UPPER(INDEX(_xlfn.TEXTSPLIT($E161, "-"), 2))</f>
        <v>BDP</v>
      </c>
      <c r="D161" s="118" t="s">
        <v>317</v>
      </c>
      <c r="E161" s="74" t="str">
        <f t="shared" si="7"/>
        <v>p-bdp-rlgcap02-nsg</v>
      </c>
      <c r="F161" s="74" t="s">
        <v>317</v>
      </c>
      <c r="G161" s="118" t="s">
        <v>338</v>
      </c>
      <c r="H161" s="118" t="s">
        <v>1063</v>
      </c>
      <c r="I161" s="74" t="s">
        <v>1073</v>
      </c>
      <c r="J161" s="118" t="s">
        <v>1068</v>
      </c>
      <c r="K161" s="74" t="str">
        <f t="shared" si="8"/>
        <v>p-bdp-rlgcap02-nic</v>
      </c>
      <c r="L161" s="118" t="s">
        <v>226</v>
      </c>
      <c r="M161" s="118"/>
    </row>
    <row r="162" spans="1:13" x14ac:dyDescent="0.3">
      <c r="A162" s="90"/>
      <c r="B162" s="78" t="s">
        <v>23</v>
      </c>
      <c r="C162" s="117" t="str" cm="1">
        <f t="array" ref="C162">UPPER(INDEX(_xlfn.TEXTSPLIT($E162, "-"), 2))</f>
        <v>BDP</v>
      </c>
      <c r="D162" s="117" t="s">
        <v>317</v>
      </c>
      <c r="E162" s="73" t="str">
        <f t="shared" si="7"/>
        <v>p-bdp-rlgcap03-nsg</v>
      </c>
      <c r="F162" s="73" t="s">
        <v>317</v>
      </c>
      <c r="G162" s="117" t="s">
        <v>338</v>
      </c>
      <c r="H162" s="117" t="s">
        <v>1063</v>
      </c>
      <c r="I162" s="73" t="s">
        <v>1074</v>
      </c>
      <c r="J162" s="117" t="s">
        <v>1068</v>
      </c>
      <c r="K162" s="73" t="str">
        <f t="shared" si="8"/>
        <v>p-bdp-rlgcap03-nic</v>
      </c>
      <c r="L162" s="117" t="s">
        <v>226</v>
      </c>
      <c r="M162" s="117"/>
    </row>
    <row r="163" spans="1:13" x14ac:dyDescent="0.3">
      <c r="B163" s="118" t="s">
        <v>1095</v>
      </c>
      <c r="C163" s="118" t="str" cm="1">
        <f t="array" ref="C163">UPPER(INDEX(_xlfn.TEXTSPLIT($E163, "-"), 2))</f>
        <v>IF</v>
      </c>
      <c r="D163" s="118" t="s">
        <v>317</v>
      </c>
      <c r="E163" s="118" t="str">
        <f t="shared" si="7"/>
        <v>p-if-sastweb01-nsg</v>
      </c>
      <c r="F163" s="118" t="s">
        <v>317</v>
      </c>
      <c r="G163" s="118" t="s">
        <v>1107</v>
      </c>
      <c r="H163" s="118" t="s">
        <v>965</v>
      </c>
      <c r="I163" s="118" t="s">
        <v>1093</v>
      </c>
      <c r="J163" s="118" t="s">
        <v>925</v>
      </c>
      <c r="K163" s="118" t="str">
        <f t="shared" ref="K163:K165" si="9">SUBSTITUTE(I163,"hazr-","")&amp;"-nic"</f>
        <v>p-if-sastweb01-nic</v>
      </c>
      <c r="L163" s="118" t="s">
        <v>226</v>
      </c>
      <c r="M163" s="118"/>
    </row>
    <row r="164" spans="1:13" x14ac:dyDescent="0.3">
      <c r="B164" s="117" t="s">
        <v>1095</v>
      </c>
      <c r="C164" s="117" t="str" cm="1">
        <f t="array" ref="C164">UPPER(INDEX(_xlfn.TEXTSPLIT($E164, "-"), 2))</f>
        <v>SEC</v>
      </c>
      <c r="D164" s="117" t="s">
        <v>317</v>
      </c>
      <c r="E164" s="117" t="str">
        <f t="shared" si="7"/>
        <v>p-sec-mevrsol01-nsg</v>
      </c>
      <c r="F164" s="117" t="s">
        <v>317</v>
      </c>
      <c r="G164" s="117" t="s">
        <v>1107</v>
      </c>
      <c r="H164" s="117" t="s">
        <v>1108</v>
      </c>
      <c r="I164" s="117" t="s">
        <v>1103</v>
      </c>
      <c r="J164" s="117" t="s">
        <v>1110</v>
      </c>
      <c r="K164" s="117" t="str">
        <f t="shared" si="9"/>
        <v>p-sec-mevrsol01-nic</v>
      </c>
      <c r="L164" s="117" t="s">
        <v>226</v>
      </c>
      <c r="M164" s="117"/>
    </row>
    <row r="165" spans="1:13" x14ac:dyDescent="0.3">
      <c r="B165" s="118" t="s">
        <v>1095</v>
      </c>
      <c r="C165" s="118" t="str" cm="1">
        <f t="array" ref="C165">UPPER(INDEX(_xlfn.TEXTSPLIT($E165, "-"), 2))</f>
        <v>SEC</v>
      </c>
      <c r="D165" s="118" t="s">
        <v>317</v>
      </c>
      <c r="E165" s="118" t="str">
        <f t="shared" si="7"/>
        <v>p-sec-mevrsol02-nsg</v>
      </c>
      <c r="F165" s="118" t="s">
        <v>317</v>
      </c>
      <c r="G165" s="118" t="s">
        <v>1107</v>
      </c>
      <c r="H165" s="118" t="s">
        <v>1108</v>
      </c>
      <c r="I165" s="118" t="s">
        <v>1104</v>
      </c>
      <c r="J165" s="118" t="s">
        <v>1110</v>
      </c>
      <c r="K165" s="118" t="str">
        <f t="shared" si="9"/>
        <v>p-sec-mevrsol02-nic</v>
      </c>
      <c r="L165" s="118" t="s">
        <v>226</v>
      </c>
      <c r="M165" s="118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topLeftCell="A7"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5"/>
  <sheetViews>
    <sheetView workbookViewId="0">
      <pane xSplit="6" ySplit="1" topLeftCell="G23" activePane="bottomRight" state="frozen"/>
      <selection pane="topRight" activeCell="G1" sqref="G1"/>
      <selection pane="bottomLeft" activeCell="A2" sqref="A2"/>
      <selection pane="bottomRight" activeCell="F45" sqref="F45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1035</v>
      </c>
      <c r="E41" s="74" t="s">
        <v>24</v>
      </c>
      <c r="F41" s="74" t="s">
        <v>1046</v>
      </c>
      <c r="G41" s="74" t="s">
        <v>111</v>
      </c>
      <c r="H41" s="74" t="s">
        <v>1016</v>
      </c>
      <c r="I41" s="74" t="s">
        <v>1015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1045</v>
      </c>
      <c r="O41" s="74" t="s">
        <v>108</v>
      </c>
      <c r="P41" s="74" t="s">
        <v>1049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1035</v>
      </c>
      <c r="E42" s="82" t="s">
        <v>24</v>
      </c>
      <c r="F42" s="82" t="s">
        <v>1047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1048</v>
      </c>
      <c r="O42" s="82" t="s">
        <v>108</v>
      </c>
      <c r="P42" s="82" t="s">
        <v>1053</v>
      </c>
      <c r="Q42" s="82" t="str">
        <f t="shared" si="1"/>
        <v>p-com-esnap-lb-bp</v>
      </c>
    </row>
    <row r="43" spans="1:17" x14ac:dyDescent="0.3">
      <c r="A43" s="90"/>
      <c r="B43" s="74" t="s">
        <v>23</v>
      </c>
      <c r="C43" s="74" t="str" cm="1">
        <f t="array" ref="C43">UPPER(INDEX(_xlfn.TEXTSPLIT($F43, "-"), 3))</f>
        <v>BDP</v>
      </c>
      <c r="D43" s="74" t="s">
        <v>924</v>
      </c>
      <c r="E43" s="74" t="s">
        <v>24</v>
      </c>
      <c r="F43" s="74" t="s">
        <v>1084</v>
      </c>
      <c r="G43" s="74" t="s">
        <v>111</v>
      </c>
      <c r="H43" s="74" t="s">
        <v>1016</v>
      </c>
      <c r="I43" s="74" t="s">
        <v>1015</v>
      </c>
      <c r="J43" s="74" t="s">
        <v>102</v>
      </c>
      <c r="K43" s="74" t="str">
        <f t="shared" ref="K43:K45" si="5">SUBSTITUTE(F43, "hazr-", "")&amp;"-fe"</f>
        <v>p-bdp-rlgcweb-lb-fe</v>
      </c>
      <c r="L43" s="74" t="s">
        <v>317</v>
      </c>
      <c r="M43" s="74" t="s">
        <v>345</v>
      </c>
      <c r="N43" s="74" t="s">
        <v>968</v>
      </c>
      <c r="O43" s="74" t="s">
        <v>108</v>
      </c>
      <c r="P43" s="74" t="s">
        <v>1086</v>
      </c>
      <c r="Q43" s="74" t="str">
        <f t="shared" ref="Q43:Q45" si="6">SUBSTITUTE(F43, "hazr-", "")&amp;"-bp"</f>
        <v>p-bdp-rlgcweb-lb-bp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924</v>
      </c>
      <c r="E44" s="82" t="s">
        <v>24</v>
      </c>
      <c r="F44" s="82" t="s">
        <v>1085</v>
      </c>
      <c r="G44" s="82" t="s">
        <v>111</v>
      </c>
      <c r="H44" s="82" t="s">
        <v>1016</v>
      </c>
      <c r="I44" s="82" t="s">
        <v>1015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964</v>
      </c>
      <c r="O44" s="82" t="s">
        <v>108</v>
      </c>
      <c r="P44" s="82" t="s">
        <v>1087</v>
      </c>
      <c r="Q44" s="82" t="str">
        <f t="shared" si="6"/>
        <v>p-bdp-rlgcap-lb-bp</v>
      </c>
    </row>
    <row r="45" spans="1:17" x14ac:dyDescent="0.3">
      <c r="B45" s="127" t="s">
        <v>1095</v>
      </c>
      <c r="C45" s="127" t="str" cm="1">
        <f t="array" ref="C45">UPPER(INDEX(_xlfn.TEXTSPLIT($F45, "-"), 3))</f>
        <v>SEC</v>
      </c>
      <c r="D45" s="127" t="s">
        <v>1096</v>
      </c>
      <c r="E45" s="127" t="s">
        <v>24</v>
      </c>
      <c r="F45" s="127" t="s">
        <v>1112</v>
      </c>
      <c r="G45" s="127" t="s">
        <v>111</v>
      </c>
      <c r="H45" s="127" t="s">
        <v>1016</v>
      </c>
      <c r="I45" s="74" t="s">
        <v>1015</v>
      </c>
      <c r="J45" s="74" t="s">
        <v>102</v>
      </c>
      <c r="K45" s="127" t="str">
        <f t="shared" si="5"/>
        <v>p-sec-mevrsol-lb-fe</v>
      </c>
      <c r="L45" s="127" t="s">
        <v>1113</v>
      </c>
      <c r="M45" s="127" t="s">
        <v>1107</v>
      </c>
      <c r="N45" s="127" t="s">
        <v>1108</v>
      </c>
      <c r="O45" s="127" t="s">
        <v>108</v>
      </c>
      <c r="P45" s="127" t="s">
        <v>1114</v>
      </c>
      <c r="Q45" s="74" t="str">
        <f t="shared" si="6"/>
        <v>p-sec-mevrsol-lb-bp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72"/>
  <sheetViews>
    <sheetView topLeftCell="A46" workbookViewId="0">
      <selection activeCell="J72" sqref="J72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51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51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50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50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51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50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50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51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51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51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51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51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50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51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50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51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50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51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50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50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50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914</v>
      </c>
      <c r="F54" s="104" t="str">
        <f t="shared" ref="F54:F60" si="13">SUBSTITUTE(E54, "hazr-", "")&amp;"-pb"&amp;H54</f>
        <v>p-cs-chtap-lb-pb?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985</v>
      </c>
      <c r="F55" s="104" t="str">
        <f t="shared" si="13"/>
        <v>p-cs-chtweb-lb-pb?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B56" s="102" t="s">
        <v>984</v>
      </c>
      <c r="C56" s="102"/>
      <c r="D56" s="102" t="s">
        <v>926</v>
      </c>
      <c r="E56" s="102" t="s">
        <v>916</v>
      </c>
      <c r="F56" s="104" t="str">
        <f t="shared" si="13"/>
        <v>p-cs-chtintweb-lb-pb?</v>
      </c>
      <c r="G56" s="102" t="s">
        <v>57</v>
      </c>
      <c r="H56" s="102" t="s">
        <v>983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50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50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51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50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116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1025</v>
      </c>
      <c r="F62" s="116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119" t="str">
        <f t="shared" ref="F63:F72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119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2:11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116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2:11" x14ac:dyDescent="0.3"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116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  <row r="67" spans="2:11" x14ac:dyDescent="0.3">
      <c r="B67" s="74" t="s">
        <v>23</v>
      </c>
      <c r="C67" s="74" t="str" cm="1">
        <f t="array" ref="C67">UPPER(INDEX(_xlfn.TEXTSPLIT($D67, "-"), 3))</f>
        <v>SEC</v>
      </c>
      <c r="D67" s="74" t="s">
        <v>1110</v>
      </c>
      <c r="E67" s="74" t="s">
        <v>1115</v>
      </c>
      <c r="F67" s="74" t="str">
        <f t="shared" si="15"/>
        <v>p-sec-mevrsol-lb-pb2181</v>
      </c>
      <c r="G67" s="74" t="s">
        <v>57</v>
      </c>
      <c r="H67" s="74">
        <v>2181</v>
      </c>
      <c r="I67" s="74"/>
      <c r="J67" s="74">
        <v>5</v>
      </c>
      <c r="K67" s="74">
        <v>2</v>
      </c>
    </row>
    <row r="68" spans="2:11" x14ac:dyDescent="0.3">
      <c r="B68" s="74" t="s">
        <v>23</v>
      </c>
      <c r="C68" s="74" t="str" cm="1">
        <f t="array" ref="C68">UPPER(INDEX(_xlfn.TEXTSPLIT($D68, "-"), 3))</f>
        <v>SEC</v>
      </c>
      <c r="D68" s="74" t="s">
        <v>1110</v>
      </c>
      <c r="E68" s="74" t="s">
        <v>1115</v>
      </c>
      <c r="F68" s="74" t="str">
        <f t="shared" si="15"/>
        <v>p-sec-mevrsol-lb-pb2182</v>
      </c>
      <c r="G68" s="74" t="s">
        <v>57</v>
      </c>
      <c r="H68" s="74">
        <v>2182</v>
      </c>
      <c r="I68" s="74"/>
      <c r="J68" s="74">
        <v>5</v>
      </c>
      <c r="K68" s="74">
        <v>2</v>
      </c>
    </row>
    <row r="69" spans="2:11" x14ac:dyDescent="0.3">
      <c r="B69" s="74" t="s">
        <v>23</v>
      </c>
      <c r="C69" s="74" t="str" cm="1">
        <f t="array" ref="C69">UPPER(INDEX(_xlfn.TEXTSPLIT($D69, "-"), 3))</f>
        <v>SEC</v>
      </c>
      <c r="D69" s="74" t="s">
        <v>1110</v>
      </c>
      <c r="E69" s="74" t="s">
        <v>1115</v>
      </c>
      <c r="F69" s="74" t="str">
        <f t="shared" si="15"/>
        <v>p-sec-mevrsol-lb-pb4442</v>
      </c>
      <c r="G69" s="74" t="s">
        <v>57</v>
      </c>
      <c r="H69" s="74">
        <v>4442</v>
      </c>
      <c r="I69" s="74"/>
      <c r="J69" s="74">
        <v>5</v>
      </c>
      <c r="K69" s="74">
        <v>2</v>
      </c>
    </row>
    <row r="70" spans="2:11" x14ac:dyDescent="0.3">
      <c r="B70" s="74" t="s">
        <v>23</v>
      </c>
      <c r="C70" s="74" t="str" cm="1">
        <f t="array" ref="C70">UPPER(INDEX(_xlfn.TEXTSPLIT($D70, "-"), 3))</f>
        <v>SEC</v>
      </c>
      <c r="D70" s="74" t="s">
        <v>1110</v>
      </c>
      <c r="E70" s="74" t="s">
        <v>1115</v>
      </c>
      <c r="F70" s="74" t="str">
        <f t="shared" si="15"/>
        <v>p-sec-mevrsol-lb-pb4443</v>
      </c>
      <c r="G70" s="74" t="s">
        <v>57</v>
      </c>
      <c r="H70" s="74">
        <v>4443</v>
      </c>
      <c r="I70" s="74"/>
      <c r="J70" s="74">
        <v>5</v>
      </c>
      <c r="K70" s="74">
        <v>2</v>
      </c>
    </row>
    <row r="71" spans="2:11" x14ac:dyDescent="0.3">
      <c r="B71" s="74" t="s">
        <v>23</v>
      </c>
      <c r="C71" s="74" t="str" cm="1">
        <f t="array" ref="C71">UPPER(INDEX(_xlfn.TEXTSPLIT($D71, "-"), 3))</f>
        <v>SEC</v>
      </c>
      <c r="D71" s="74" t="s">
        <v>1110</v>
      </c>
      <c r="E71" s="74" t="s">
        <v>1115</v>
      </c>
      <c r="F71" s="74" t="str">
        <f t="shared" si="15"/>
        <v>p-sec-mevrsol-lb-pb4444</v>
      </c>
      <c r="G71" s="74" t="s">
        <v>57</v>
      </c>
      <c r="H71" s="74">
        <v>4444</v>
      </c>
      <c r="I71" s="74"/>
      <c r="J71" s="74">
        <v>5</v>
      </c>
      <c r="K71" s="74">
        <v>2</v>
      </c>
    </row>
    <row r="72" spans="2:11" x14ac:dyDescent="0.3">
      <c r="B72" s="74" t="s">
        <v>23</v>
      </c>
      <c r="C72" s="74" t="str" cm="1">
        <f t="array" ref="C72">UPPER(INDEX(_xlfn.TEXTSPLIT($D72, "-"), 3))</f>
        <v>SEC</v>
      </c>
      <c r="D72" s="74" t="s">
        <v>1110</v>
      </c>
      <c r="E72" s="74" t="s">
        <v>1115</v>
      </c>
      <c r="F72" s="74" t="str">
        <f t="shared" si="15"/>
        <v>p-sec-mevrsol-lb-pb8090</v>
      </c>
      <c r="G72" s="74" t="s">
        <v>57</v>
      </c>
      <c r="H72" s="74">
        <v>8090</v>
      </c>
      <c r="I72" s="74"/>
      <c r="J72" s="74">
        <v>5</v>
      </c>
      <c r="K72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72"/>
  <sheetViews>
    <sheetView topLeftCell="E46" workbookViewId="0">
      <selection activeCell="P54" sqref="P54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914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983</v>
      </c>
      <c r="J54" s="102" t="b">
        <v>0</v>
      </c>
      <c r="K54" s="102" t="str">
        <f t="shared" si="17"/>
        <v>p-cs-chtap-lb-bp</v>
      </c>
      <c r="L54" s="102" t="s">
        <v>983</v>
      </c>
      <c r="M54" s="102" t="str">
        <f t="shared" si="11"/>
        <v>p-cs-chtap-lb-pb?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985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983</v>
      </c>
      <c r="J55" s="102" t="b">
        <v>0</v>
      </c>
      <c r="K55" s="102" t="str">
        <f t="shared" si="17"/>
        <v>p-cs-chtweb-lb-bp</v>
      </c>
      <c r="L55" s="102" t="s">
        <v>983</v>
      </c>
      <c r="M55" s="102" t="str">
        <f t="shared" si="11"/>
        <v>p-cs-chtweb-lb-pb?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984</v>
      </c>
      <c r="C56" s="102"/>
      <c r="D56" s="102" t="s">
        <v>926</v>
      </c>
      <c r="E56" s="102" t="s">
        <v>916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983</v>
      </c>
      <c r="J56" s="102" t="b">
        <v>0</v>
      </c>
      <c r="K56" s="102" t="str">
        <f t="shared" si="17"/>
        <v>p-cs-chtintweb-lb-bp</v>
      </c>
      <c r="L56" s="102" t="s">
        <v>983</v>
      </c>
      <c r="M56" s="102" t="str">
        <f t="shared" si="11"/>
        <v>p-cs-chtintweb-lb-pb?</v>
      </c>
      <c r="N56" s="102" t="s">
        <v>57</v>
      </c>
      <c r="O56" s="102" t="s">
        <v>983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1027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2:19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2:19" x14ac:dyDescent="0.3"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  <row r="67" spans="2:19" x14ac:dyDescent="0.3">
      <c r="B67" s="74" t="s">
        <v>23</v>
      </c>
      <c r="C67" s="74" t="str" cm="1">
        <f t="array" ref="C67">UPPER(INDEX(_xlfn.TEXTSPLIT($D67, "-"), 3))</f>
        <v>SEC</v>
      </c>
      <c r="D67" s="74" t="s">
        <v>1110</v>
      </c>
      <c r="E67" s="74" t="s">
        <v>1111</v>
      </c>
      <c r="F67" s="74" t="str">
        <f t="shared" ref="F67" si="26">SUBSTITUTE(E67, "hazr-", "")&amp;"-rule"&amp;O67</f>
        <v>p-sec-mevrsol-lb-rule2181</v>
      </c>
      <c r="G67" s="74" t="str">
        <f t="shared" ref="G67" si="27">SUBSTITUTE(E67, "hazr-", "")&amp;"-fe"</f>
        <v>p-sec-mevrsol-lb-fe</v>
      </c>
      <c r="H67" s="74" t="s">
        <v>57</v>
      </c>
      <c r="I67" s="74">
        <v>2181</v>
      </c>
      <c r="J67" s="74" t="b">
        <v>0</v>
      </c>
      <c r="K67" s="74" t="str">
        <f t="shared" ref="K67" si="28">SUBSTITUTE(E67, "hazr-", "")&amp;"-bp"</f>
        <v>p-sec-mevrsol-lb-bp</v>
      </c>
      <c r="L67" s="74">
        <v>2181</v>
      </c>
      <c r="M67" s="74" t="str">
        <f t="shared" ref="M67" si="29">SUBSTITUTE(E67, "hazr-", "")&amp;"-pb"&amp;IF(O67="", "", O67)</f>
        <v>p-sec-mevrsol-lb-pb2181</v>
      </c>
      <c r="N67" s="74" t="s">
        <v>57</v>
      </c>
      <c r="O67" s="74">
        <v>2181</v>
      </c>
      <c r="P67" s="74">
        <v>4</v>
      </c>
      <c r="Q67" s="74" t="s">
        <v>123</v>
      </c>
      <c r="R67" s="74" t="b">
        <v>1</v>
      </c>
      <c r="S67" s="74" t="b">
        <v>0</v>
      </c>
    </row>
    <row r="68" spans="2:19" x14ac:dyDescent="0.3">
      <c r="B68" s="74" t="s">
        <v>23</v>
      </c>
      <c r="C68" s="74" t="str" cm="1">
        <f t="array" ref="C68">UPPER(INDEX(_xlfn.TEXTSPLIT($D68, "-"), 3))</f>
        <v>SEC</v>
      </c>
      <c r="D68" s="74" t="s">
        <v>1110</v>
      </c>
      <c r="E68" s="74" t="s">
        <v>1111</v>
      </c>
      <c r="F68" s="74" t="str">
        <f t="shared" ref="F68:F72" si="30">SUBSTITUTE(E68, "hazr-", "")&amp;"-rule"&amp;O68</f>
        <v>p-sec-mevrsol-lb-rule2182</v>
      </c>
      <c r="G68" s="74" t="str">
        <f t="shared" ref="G68:G72" si="31">SUBSTITUTE(E68, "hazr-", "")&amp;"-fe"</f>
        <v>p-sec-mevrsol-lb-fe</v>
      </c>
      <c r="H68" s="74" t="s">
        <v>57</v>
      </c>
      <c r="I68" s="74">
        <v>2182</v>
      </c>
      <c r="J68" s="74" t="b">
        <v>0</v>
      </c>
      <c r="K68" s="74" t="str">
        <f t="shared" ref="K68:K72" si="32">SUBSTITUTE(E68, "hazr-", "")&amp;"-bp"</f>
        <v>p-sec-mevrsol-lb-bp</v>
      </c>
      <c r="L68" s="74">
        <v>2182</v>
      </c>
      <c r="M68" s="74" t="str">
        <f t="shared" ref="M68:M72" si="33">SUBSTITUTE(E68, "hazr-", "")&amp;"-pb"&amp;IF(O68="", "", O68)</f>
        <v>p-sec-mevrsol-lb-pb2182</v>
      </c>
      <c r="N68" s="74" t="s">
        <v>57</v>
      </c>
      <c r="O68" s="74">
        <v>2182</v>
      </c>
      <c r="P68" s="74">
        <v>4</v>
      </c>
      <c r="Q68" s="74" t="s">
        <v>123</v>
      </c>
      <c r="R68" s="74" t="b">
        <v>1</v>
      </c>
      <c r="S68" s="74" t="b">
        <v>0</v>
      </c>
    </row>
    <row r="69" spans="2:19" x14ac:dyDescent="0.3">
      <c r="B69" s="74" t="s">
        <v>23</v>
      </c>
      <c r="C69" s="74" t="str" cm="1">
        <f t="array" ref="C69">UPPER(INDEX(_xlfn.TEXTSPLIT($D69, "-"), 3))</f>
        <v>SEC</v>
      </c>
      <c r="D69" s="74" t="s">
        <v>1110</v>
      </c>
      <c r="E69" s="74" t="s">
        <v>1111</v>
      </c>
      <c r="F69" s="74" t="str">
        <f t="shared" si="30"/>
        <v>p-sec-mevrsol-lb-rule4442</v>
      </c>
      <c r="G69" s="74" t="str">
        <f t="shared" si="31"/>
        <v>p-sec-mevrsol-lb-fe</v>
      </c>
      <c r="H69" s="74" t="s">
        <v>57</v>
      </c>
      <c r="I69" s="74">
        <v>4442</v>
      </c>
      <c r="J69" s="74" t="b">
        <v>0</v>
      </c>
      <c r="K69" s="74" t="str">
        <f t="shared" si="32"/>
        <v>p-sec-mevrsol-lb-bp</v>
      </c>
      <c r="L69" s="74">
        <v>4442</v>
      </c>
      <c r="M69" s="74" t="str">
        <f t="shared" si="33"/>
        <v>p-sec-mevrsol-lb-pb4442</v>
      </c>
      <c r="N69" s="74" t="s">
        <v>57</v>
      </c>
      <c r="O69" s="74">
        <v>4442</v>
      </c>
      <c r="P69" s="74">
        <v>4</v>
      </c>
      <c r="Q69" s="74" t="s">
        <v>123</v>
      </c>
      <c r="R69" s="74" t="b">
        <v>1</v>
      </c>
      <c r="S69" s="74" t="b">
        <v>0</v>
      </c>
    </row>
    <row r="70" spans="2:19" x14ac:dyDescent="0.3">
      <c r="B70" s="74" t="s">
        <v>23</v>
      </c>
      <c r="C70" s="74" t="str" cm="1">
        <f t="array" ref="C70">UPPER(INDEX(_xlfn.TEXTSPLIT($D70, "-"), 3))</f>
        <v>SEC</v>
      </c>
      <c r="D70" s="74" t="s">
        <v>1110</v>
      </c>
      <c r="E70" s="74" t="s">
        <v>1111</v>
      </c>
      <c r="F70" s="74" t="str">
        <f t="shared" si="30"/>
        <v>p-sec-mevrsol-lb-rule4443</v>
      </c>
      <c r="G70" s="74" t="str">
        <f t="shared" si="31"/>
        <v>p-sec-mevrsol-lb-fe</v>
      </c>
      <c r="H70" s="74" t="s">
        <v>57</v>
      </c>
      <c r="I70" s="74">
        <v>4443</v>
      </c>
      <c r="J70" s="74" t="b">
        <v>0</v>
      </c>
      <c r="K70" s="74" t="str">
        <f t="shared" si="32"/>
        <v>p-sec-mevrsol-lb-bp</v>
      </c>
      <c r="L70" s="74">
        <v>4443</v>
      </c>
      <c r="M70" s="74" t="str">
        <f t="shared" si="33"/>
        <v>p-sec-mevrsol-lb-pb4443</v>
      </c>
      <c r="N70" s="74" t="s">
        <v>57</v>
      </c>
      <c r="O70" s="74">
        <v>4443</v>
      </c>
      <c r="P70" s="74">
        <v>4</v>
      </c>
      <c r="Q70" s="74" t="s">
        <v>123</v>
      </c>
      <c r="R70" s="74" t="b">
        <v>1</v>
      </c>
      <c r="S70" s="74" t="b">
        <v>0</v>
      </c>
    </row>
    <row r="71" spans="2:19" x14ac:dyDescent="0.3">
      <c r="B71" s="74" t="s">
        <v>23</v>
      </c>
      <c r="C71" s="74" t="str" cm="1">
        <f t="array" ref="C71">UPPER(INDEX(_xlfn.TEXTSPLIT($D71, "-"), 3))</f>
        <v>SEC</v>
      </c>
      <c r="D71" s="74" t="s">
        <v>1110</v>
      </c>
      <c r="E71" s="74" t="s">
        <v>1111</v>
      </c>
      <c r="F71" s="74" t="str">
        <f t="shared" si="30"/>
        <v>p-sec-mevrsol-lb-rule4444</v>
      </c>
      <c r="G71" s="74" t="str">
        <f t="shared" si="31"/>
        <v>p-sec-mevrsol-lb-fe</v>
      </c>
      <c r="H71" s="74" t="s">
        <v>57</v>
      </c>
      <c r="I71" s="74">
        <v>4444</v>
      </c>
      <c r="J71" s="74" t="b">
        <v>0</v>
      </c>
      <c r="K71" s="74" t="str">
        <f t="shared" si="32"/>
        <v>p-sec-mevrsol-lb-bp</v>
      </c>
      <c r="L71" s="74">
        <v>4444</v>
      </c>
      <c r="M71" s="74" t="str">
        <f t="shared" si="33"/>
        <v>p-sec-mevrsol-lb-pb4444</v>
      </c>
      <c r="N71" s="74" t="s">
        <v>57</v>
      </c>
      <c r="O71" s="74">
        <v>4444</v>
      </c>
      <c r="P71" s="74">
        <v>4</v>
      </c>
      <c r="Q71" s="74" t="s">
        <v>123</v>
      </c>
      <c r="R71" s="74" t="b">
        <v>1</v>
      </c>
      <c r="S71" s="74" t="b">
        <v>0</v>
      </c>
    </row>
    <row r="72" spans="2:19" x14ac:dyDescent="0.3">
      <c r="B72" s="74" t="s">
        <v>23</v>
      </c>
      <c r="C72" s="74" t="str" cm="1">
        <f t="array" ref="C72">UPPER(INDEX(_xlfn.TEXTSPLIT($D72, "-"), 3))</f>
        <v>SEC</v>
      </c>
      <c r="D72" s="74" t="s">
        <v>1110</v>
      </c>
      <c r="E72" s="74" t="s">
        <v>1111</v>
      </c>
      <c r="F72" s="74" t="str">
        <f t="shared" si="30"/>
        <v>p-sec-mevrsol-lb-rule8090</v>
      </c>
      <c r="G72" s="74" t="str">
        <f t="shared" si="31"/>
        <v>p-sec-mevrsol-lb-fe</v>
      </c>
      <c r="H72" s="74" t="s">
        <v>57</v>
      </c>
      <c r="I72" s="74">
        <v>8090</v>
      </c>
      <c r="J72" s="74" t="b">
        <v>0</v>
      </c>
      <c r="K72" s="74" t="str">
        <f t="shared" si="32"/>
        <v>p-sec-mevrsol-lb-bp</v>
      </c>
      <c r="L72" s="74">
        <v>8090</v>
      </c>
      <c r="M72" s="74" t="str">
        <f t="shared" si="33"/>
        <v>p-sec-mevrsol-lb-pb8090</v>
      </c>
      <c r="N72" s="74" t="s">
        <v>57</v>
      </c>
      <c r="O72" s="74">
        <v>8090</v>
      </c>
      <c r="P72" s="74">
        <v>4</v>
      </c>
      <c r="Q72" s="74" t="s">
        <v>123</v>
      </c>
      <c r="R72" s="74" t="b">
        <v>1</v>
      </c>
      <c r="S72" s="74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2026-09-01T05:27:39Z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