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F2DD4CF9-149B-4DB1-86EF-B47F2200E515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11" l="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/>
  <c r="C70" i="10" a="1"/>
  <c r="C70" i="10"/>
  <c r="C71" i="10" a="1"/>
  <c r="C71" i="10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<sst xmlns="http://schemas.openxmlformats.org/spreadsheetml/2006/main" count="7487" uniqueCount="1116">
  <si>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</si>
  <si>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</si>
  <si>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</si>
  <si>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</si>
  <si>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</si>
  <si>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</si>
  <si>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</si>
  <si>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</si>
  <si>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</si>
  <si>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</si>
  <si>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</si>
  <si>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</si>
  <si>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</si>
  <si>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</si>
  <si>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</si>
  <si>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</si>
  <si>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</si>
  <si>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</si>
  <si>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</si>
  <si>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</si>
  <si>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</si>
  <si>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</si>
  <si>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</si>
  <si>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</si>
  <si>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</si>
  <si>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</si>
  <si>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</si>
  <si>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</si>
  <si>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</si>
  <si>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</si>
  <si>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</si>
  <si>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</si>
  <si>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</si>
  <si>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</si>
  <si>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</si>
  <si>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</si>
  <si>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</si>
  <si>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</si>
  <si>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</si>
  <si>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</si>
  <si>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</si>
  <si>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</si>
  <si>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</si>
  <si>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</si>
  <si>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</si>
  <si>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</si>
  <si>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</si>
  <si>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</si>
  <si>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</si>
  <si>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</si>
  <si>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</si>
  <si>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</si>
  <si>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</si>
  <si>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</si>
  <si>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</si>
  <si>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</si>
  <si>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</si>
  <si>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</si>
  <si>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</si>
  <si>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</si>
  <si>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</si>
  <si>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</si>
  <si>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</si>
  <si>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</si>
  <si>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</si>
  <si>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</si>
  <si>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</si>
  <si>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</si>
  <si>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</si>
  <si>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</si>
  <si>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</si>
  <si>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</si>
  <si>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</si>
  <si>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</si>
  <si>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</si>
  <si>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</si>
  <si>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</si>
  <si>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</si>
  <si>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</si>
  <si>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</si>
  <si>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</si>
  <si>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</si>
  <si>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</si>
  <si>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</si>
  <si>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</si>
  <si>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</si>
  <si>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</si>
  <si>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</si>
  <si>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</si>
  <si>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</si>
  <si>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</si>
  <si>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</si>
  <si>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</si>
  <si>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</si>
  <si>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</si>
  <si>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</si>
  <si>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</si>
  <si>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</si>
  <si>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</si>
  <si>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</si>
  <si>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</si>
  <si>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</si>
  <si>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</si>
  <si>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</si>
  <si>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</si>
  <si>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</si>
  <si>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</si>
  <si>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</si>
  <si>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</si>
  <si>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</si>
  <si>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</si>
  <si>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</si>
  <si>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</si>
  <si>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</si>
  <si>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</si>
  <si>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</si>
  <si>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</si>
  <si>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</si>
  <si>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</si>
  <si>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</si>
  <si>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</si>
  <si>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</si>
  <si>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</si>
  <si>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</si>
  <si>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</si>
  <si>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</si>
  <si>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</si>
  <si>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</si>
  <si>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</si>
  <si>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</si>
  <si>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</si>
  <si>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</si>
  <si>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</si>
  <si>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</si>
  <si>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</si>
  <si>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</si>
  <si>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</si>
  <si>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</si>
  <si>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</si>
  <si>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</si>
  <si>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</si>
  <si>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</si>
  <si>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</si>
  <si>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</si>
  <si>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</si>
  <si>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</si>
  <si>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</si>
  <si>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</si>
  <si>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</si>
  <si>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</si>
  <si>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</si>
  <si>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</si>
  <si>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</si>
  <si>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</si>
  <si>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</si>
  <si>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</si>
  <si>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</si>
  <si>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</si>
  <si>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</si>
  <si>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</si>
  <si>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</si>
  <si>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</si>
  <si>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</si>
  <si>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</si>
  <si>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</si>
  <si>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</si>
  <si>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</si>
  <si>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</si>
  <si>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</si>
  <si>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</si>
  <si>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</si>
  <si>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</si>
  <si>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</si>
  <si>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</si>
  <si>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</si>
  <si>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</si>
  <si>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</si>
  <si>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</si>
  <si>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</si>
  <si>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</si>
  <si>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</si>
  <si>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</si>
  <si>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</si>
  <si>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</si>
  <si>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</si>
  <si>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</si>
  <si>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</si>
  <si>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</si>
  <si>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</si>
  <si>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</si>
  <si>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</si>
  <si>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</si>
  <si>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</si>
  <si>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</si>
  <si>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</si>
  <si>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</si>
  <si>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</si>
  <si>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</si>
  <si>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</si>
  <si>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</si>
  <si>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</si>
  <si>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</si>
  <si>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</si>
  <si>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</si>
  <si>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</si>
  <si>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</si>
  <si>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</si>
  <si>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</si>
  <si>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</si>
  <si>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</si>
  <si>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</si>
  <si>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</si>
  <si>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</si>
  <si>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</si>
  <si>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</si>
  <si>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</si>
  <si>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</si>
  <si>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</si>
  <si>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</si>
  <si>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</si>
  <si>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</si>
  <si>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</si>
  <si>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</si>
  <si>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</si>
  <si>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</si>
  <si>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</si>
  <si>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</si>
  <si>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</si>
  <si>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</si>
  <si>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</si>
  <si>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</si>
  <si>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</si>
  <si>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</si>
  <si>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</si>
  <si>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</si>
  <si>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</si>
  <si>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</si>
  <si>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</si>
  <si>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</si>
  <si>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</si>
  <si>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</si>
  <si>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</si>
  <si>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</si>
  <si>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</si>
  <si>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</si>
  <si>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</si>
  <si>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</si>
  <si>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</si>
  <si>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</si>
  <si>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</si>
  <si>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</si>
  <si>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</si>
  <si>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</si>
  <si>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</si>
  <si>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</si>
  <si>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</si>
  <si>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</si>
  <si>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</si>
  <si>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</si>
  <si>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</si>
  <si>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</si>
  <si>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</si>
  <si>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</si>
  <si>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</si>
  <si>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</si>
  <si>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</si>
  <si>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</si>
  <si>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</si>
  <si>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</si>
  <si>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</si>
  <si>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</si>
  <si>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</si>
  <si>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</si>
  <si>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</si>
  <si>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</si>
  <si>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</si>
  <si>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</si>
  <si>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</si>
  <si>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</si>
  <si>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</si>
  <si>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</si>
  <si>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</si>
  <si>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</si>
  <si>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</si>
  <si>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</si>
  <si>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</si>
  <si>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</si>
  <si>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</si>
  <si>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</si>
  <si>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</si>
  <si>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</si>
  <si>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</si>
  <si>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</si>
  <si>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</si>
  <si>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</si>
  <si>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</si>
  <si>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</si>
  <si>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</si>
  <si>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</si>
  <si>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</si>
  <si>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</si>
  <si>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</si>
  <si>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</si>
  <si>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</si>
  <si>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</si>
  <si>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</si>
  <si>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</si>
  <si>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</si>
  <si>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</si>
  <si>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</si>
  <si>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</si>
  <si>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</si>
  <si>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</si>
  <si>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</si>
  <si>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</si>
  <si>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</si>
  <si>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</si>
  <si>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</si>
  <si>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</si>
  <si>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</si>
  <si>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</si>
  <si>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</si>
  <si>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</si>
  <si>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</si>
  <si>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</si>
  <si>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</si>
  <si>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</si>
  <si>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</si>
  <si>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</si>
  <si>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</si>
  <si>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</si>
  <si>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</si>
  <si>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</si>
  <si>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</si>
  <si>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</si>
  <si>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</si>
  <si>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</si>
  <si>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</si>
  <si>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</si>
  <si>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</si>
  <si>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</si>
  <si>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</si>
  <si>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</si>
  <si>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</si>
  <si>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</si>
  <si>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</si>
  <si>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</si>
  <si>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</si>
  <si>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</si>
  <si>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</si>
  <si>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</si>
  <si>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</si>
  <si>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</si>
  <si>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</si>
  <si>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</si>
  <si>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</si>
  <si>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</si>
  <si>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</si>
  <si>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</si>
  <si>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</si>
  <si>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</si>
  <si>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</si>
  <si>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</si>
  <si>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</si>
  <si>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</si>
  <si>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</si>
  <si>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</si>
  <si>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</si>
  <si>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</si>
  <si>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</si>
  <si>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</si>
  <si>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</si>
  <si>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</si>
  <si>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</si>
  <si>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</si>
  <si>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</si>
  <si>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</si>
  <si>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</si>
  <si>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</si>
  <si>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</si>
  <si>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</si>
  <si>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</si>
  <si>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</si>
  <si>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</si>
  <si>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</si>
  <si>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</si>
  <si>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</si>
  <si>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</si>
  <si>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</si>
  <si>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</si>
  <si>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</si>
  <si>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</si>
  <si>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</si>
  <si>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</si>
  <si>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</si>
  <si>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</si>
  <si>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</si>
  <si>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</si>
  <si>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</si>
  <si>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</si>
  <si>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</si>
  <si>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</si>
  <si>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</si>
  <si>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</si>
  <si>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</si>
  <si>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</si>
  <si>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</si>
  <si>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</si>
  <si>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</si>
  <si>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</si>
  <si>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</si>
  <si>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</si>
  <si>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</si>
  <si>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</si>
  <si>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</si>
  <si>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</si>
  <si>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</si>
  <si>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</si>
  <si>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</si>
  <si>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</si>
  <si>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</si>
  <si>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</si>
  <si>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</si>
  <si>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</si>
  <si>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</si>
  <si>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</si>
  <si>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</si>
  <si>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</si>
  <si>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</si>
  <si>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</si>
  <si>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</si>
  <si>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</si>
  <si>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</si>
  <si>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</si>
  <si>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</si>
  <si>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</si>
  <si>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</si>
  <si>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</si>
  <si>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</si>
  <si>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</si>
  <si>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</si>
  <si>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</si>
  <si>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</si>
  <si>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</si>
  <si>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</si>
  <si>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</si>
  <si>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</si>
  <si>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</si>
  <si>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</si>
  <si>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</si>
  <si>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</si>
  <si>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</si>
  <si>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</si>
  <si>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</si>
  <si>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</si>
  <si>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</si>
  <si>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</si>
  <si>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</si>
  <si>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</si>
  <si>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</si>
  <si>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</si>
  <si>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</si>
  <si>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</si>
  <si>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</si>
  <si>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</si>
  <si>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</si>
  <si>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</si>
  <si>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</si>
  <si>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</si>
  <si>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</si>
  <si>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</si>
  <si>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</si>
  <si>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</si>
  <si>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</si>
  <si>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</si>
  <si>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</si>
  <si>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</si>
  <si>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</si>
  <si>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</si>
  <si>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</si>
  <si>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</si>
  <si>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</si>
  <si>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</si>
  <si>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</si>
  <si>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</si>
  <si>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</si>
  <si>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</si>
  <si>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</si>
  <si>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</si>
  <si>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</si>
  <si>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</si>
  <si>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</si>
  <si>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</si>
  <si>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</si>
  <si>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</si>
  <si>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</si>
  <si>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</si>
  <si>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</si>
  <si>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</si>
  <si>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</si>
  <si>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</si>
  <si>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</si>
  <si>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</si>
  <si>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</si>
  <si>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</si>
  <si>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</si>
  <si>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</si>
  <si>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</si>
  <si>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</si>
  <si>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</si>
  <si>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</si>
  <si>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</si>
  <si>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</si>
  <si>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</si>
  <si>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</si>
  <si>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</si>
  <si>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</si>
  <si>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</si>
  <si>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</si>
  <si>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</si>
  <si>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</si>
  <si>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</si>
  <si>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</si>
  <si>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</si>
  <si>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</si>
  <si>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</si>
  <si>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</si>
  <si>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</si>
  <si>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</si>
  <si>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</si>
  <si>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</si>
  <si>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</si>
  <si>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</si>
  <si>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</si>
  <si>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</si>
  <si>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</si>
  <si>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</si>
  <si>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</si>
  <si>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</si>
  <si>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</si>
  <si>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</si>
  <si>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</si>
  <si>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</si>
  <si>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</si>
  <si>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</si>
  <si>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</si>
  <si>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</si>
  <si>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</si>
  <si>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</si>
  <si>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</si>
  <si>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</si>
  <si>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</si>
  <si>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</si>
  <si>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</si>
  <si>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</si>
  <si>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</si>
  <si>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</si>
  <si>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</si>
  <si>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</si>
  <si>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</si>
  <si>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</si>
  <si>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</si>
  <si>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</si>
  <si>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</si>
  <si>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</si>
  <si>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</si>
  <si>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</si>
  <si>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</si>
  <si>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</si>
  <si>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</si>
  <si>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</si>
  <si>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</si>
  <si>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</si>
  <si>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</si>
  <si>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</si>
  <si>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</si>
  <si>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</si>
  <si>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</si>
  <si>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</si>
  <si>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</si>
  <si>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</si>
  <si>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</si>
  <si>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</si>
  <si>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</si>
  <si>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</si>
  <si>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</si>
  <si>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</si>
  <si>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</si>
  <si>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</si>
  <si>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</si>
  <si>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</si>
  <si>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</si>
  <si>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</si>
  <si>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</si>
  <si>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</si>
  <si>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</si>
  <si>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</si>
  <si>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</si>
  <si>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</si>
  <si>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</si>
  <si>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</si>
  <si>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</si>
  <si>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</si>
  <si>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</si>
  <si>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</si>
  <si>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</si>
  <si>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</si>
  <si>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</si>
  <si>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</si>
  <si>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</si>
  <si>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</si>
  <si>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</si>
  <si>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</si>
  <si>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</si>
  <si>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</si>
  <si>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</si>
  <si>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</si>
  <si>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</si>
  <si>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</si>
  <si>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</si>
  <si>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</si>
  <si>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</si>
  <si>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</si>
  <si>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</si>
  <si>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</si>
  <si>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</si>
  <si>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</si>
  <si>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</si>
  <si>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</si>
  <si>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</si>
  <si>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</si>
  <si>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</si>
  <si>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</si>
  <si>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</si>
  <si>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</si>
  <si>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</si>
  <si>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</si>
  <si>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</si>
  <si>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</si>
  <si>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</si>
  <si>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</si>
  <si>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</si>
  <si>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</si>
  <si>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</si>
  <si>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</si>
  <si>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</si>
  <si>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</si>
  <si>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</si>
  <si>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</si>
  <si>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</si>
  <si>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</si>
  <si>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</si>
  <si>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</si>
  <si>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</si>
  <si>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</si>
  <si>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</si>
  <si>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</si>
  <si>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</si>
  <si>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</si>
  <si>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</si>
  <si>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</si>
  <si>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</si>
  <si>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</si>
  <si>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</si>
  <si>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</si>
  <si>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</si>
  <si>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</si>
  <si>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</si>
  <si>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</si>
  <si>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</si>
  <si>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</si>
  <si>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</si>
  <si>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</si>
  <si>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</si>
  <si>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</si>
  <si>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</si>
  <si>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</si>
  <si>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</si>
  <si>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</si>
  <si>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</si>
  <si>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</si>
  <si>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</si>
  <si>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</si>
  <si>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</si>
  <si>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</si>
  <si>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</si>
  <si>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</si>
  <si>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</si>
  <si>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</si>
  <si>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</si>
  <si>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</si>
  <si>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</si>
  <si>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</si>
  <si>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</si>
  <si>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</si>
  <si>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</si>
  <si>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</si>
  <si>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</si>
  <si>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</si>
  <si>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</si>
  <si>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</si>
  <si>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</si>
  <si>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</si>
  <si>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</si>
  <si>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</si>
  <si>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</si>
  <si>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</si>
  <si>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</si>
  <si>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</si>
  <si>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</si>
  <si>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</si>
  <si>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</si>
  <si>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</si>
  <si>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</si>
  <si>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</si>
  <si>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</si>
  <si>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</si>
  <si>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</si>
  <si>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</si>
  <si>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</si>
  <si>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</si>
  <si>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</si>
  <si>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</si>
  <si>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</si>
  <si>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</si>
  <si>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</si>
  <si>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</si>
  <si>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</si>
  <si>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</si>
  <si>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</si>
  <si>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</si>
  <si>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</si>
  <si>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</si>
  <si>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</si>
  <si>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</si>
  <si>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</si>
  <si>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</si>
  <si>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</si>
  <si>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</si>
  <si>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</si>
  <si>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</si>
  <si>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</si>
  <si>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</si>
  <si>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</si>
  <si>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</si>
  <si>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</si>
  <si>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</si>
  <si>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</si>
  <si>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</si>
  <si>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</si>
  <si>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</si>
  <si>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</si>
  <si>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</si>
  <si>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</si>
  <si>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</si>
  <si>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</si>
  <si>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</si>
  <si>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</si>
  <si>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</si>
  <si>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</si>
  <si>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</si>
  <si>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</si>
  <si>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</si>
  <si>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</si>
  <si>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</si>
  <si>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</si>
  <si>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</si>
  <si>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</si>
  <si>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</si>
  <si>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</si>
  <si>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</si>
  <si>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</si>
  <si>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</si>
  <si>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</si>
  <si>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</si>
  <si>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</si>
  <si>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</si>
  <si>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</si>
  <si>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</si>
  <si>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</si>
  <si>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</si>
  <si>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</si>
  <si>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</si>
  <si>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</si>
  <si>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</si>
  <si>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</si>
  <si>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</si>
  <si>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</si>
  <si>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</si>
  <si>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</si>
  <si>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</si>
  <si>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</si>
  <si>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</si>
  <si>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</si>
  <si>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</si>
  <si>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</si>
  <si>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</si>
  <si>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</si>
  <si>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</si>
  <si>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</si>
  <si>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</si>
  <si>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</si>
  <si>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</si>
  <si>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</si>
  <si>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</si>
  <si>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</si>
  <si>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</si>
  <si>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</si>
  <si>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</si>
  <si>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</si>
  <si>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</si>
  <si>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</si>
  <si>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</si>
  <si>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</si>
  <si>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</si>
  <si>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</si>
  <si>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</si>
  <si>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</si>
  <si>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</si>
  <si>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</si>
  <si>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</si>
  <si>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</si>
  <si>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</si>
  <si>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</si>
  <si>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</si>
  <si>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</si>
  <si>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</si>
  <si>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</si>
  <si>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</si>
  <si>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</si>
  <si>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</si>
  <si>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</si>
  <si>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</si>
  <si>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</si>
  <si>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</si>
  <si>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</si>
  <si>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</si>
  <si>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</si>
  <si>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</si>
  <si>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</si>
  <si>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</si>
  <si>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</si>
  <si>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</si>
  <si>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</si>
  <si>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</si>
  <si>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</si>
  <si>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</si>
  <si>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</si>
  <si>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</si>
  <si>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</si>
  <si>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</si>
  <si>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</si>
  <si>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</si>
  <si>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</si>
  <si>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</si>
  <si>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</si>
  <si>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</si>
  <si>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</si>
  <si>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</si>
  <si>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</si>
  <si>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</si>
  <si>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</si>
  <si>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</si>
  <si>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</si>
  <si>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</si>
  <si>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</si>
  <si>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</si>
  <si>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</si>
  <si>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</si>
  <si>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</si>
  <si>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</si>
  <si>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</si>
  <si>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</si>
  <si>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</si>
  <si>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</si>
  <si>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</si>
  <si>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</si>
  <si>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</si>
  <si>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</si>
  <si>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</si>
  <si>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</si>
  <si>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</si>
  <si>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</si>
  <si>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</si>
  <si>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</si>
  <si>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</si>
  <si>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</si>
  <si>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</si>
  <si>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</si>
  <si>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</si>
  <si>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</si>
  <si>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</si>
  <si>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</si>
  <si>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</si>
  <si>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</si>
  <si>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</si>
  <si>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</si>
  <si>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</si>
  <si>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</si>
  <si>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</si>
  <si>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</si>
  <si>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</si>
  <si>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</si>
  <si>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</si>
  <si>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</si>
  <si>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</si>
  <si>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</si>
  <si>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</si>
  <si>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</si>
  <si>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</si>
  <si>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</si>
  <si>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</si>
  <si>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</si>
  <si>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</si>
  <si>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</si>
  <si>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</si>
  <si>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</si>
  <si>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</si>
  <si>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</si>
  <si>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</si>
  <si>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</si>
  <si>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</si>
  <si>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</si>
  <si>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</si>
  <si>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</si>
  <si>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</si>
  <si>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</si>
  <si>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</si>
  <si>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</si>
  <si>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</si>
  <si>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</si>
  <si>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</si>
  <si>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</si>
  <si>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</si>
  <si>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</si>
  <si>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</si>
  <si>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</si>
  <si>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</si>
  <si>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</si>
  <si>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</si>
  <si>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</si>
  <si>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</si>
  <si>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</si>
  <si>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</si>
  <si>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</si>
  <si>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</si>
  <si>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</si>
  <si>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</si>
  <si>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</si>
  <si>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</si>
  <si>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</si>
  <si>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</si>
  <si>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</si>
  <si>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</si>
  <si>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</si>
  <si>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</si>
  <si>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</si>
  <si>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</si>
  <si>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</si>
  <si>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</si>
  <si>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</si>
  <si>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</si>
  <si>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</si>
  <si>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</si>
  <si>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</si>
  <si>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</si>
  <si>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</si>
  <si>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</si>
  <si>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</si>
  <si>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</si>
  <si>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</si>
  <si>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</si>
  <si>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</si>
  <si>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</si>
  <si>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</si>
  <si>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</si>
  <si>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</si>
  <si>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</si>
  <si>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</si>
  <si>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</si>
  <si>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</si>
  <si>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</si>
  <si>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</si>
  <si>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</si>
  <si>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</si>
  <si>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</si>
  <si>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</si>
  <si>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</si>
  <si>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</si>
  <si>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</si>
  <si>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</si>
  <si>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</si>
  <si>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</si>
  <si>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</si>
  <si>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</si>
  <si>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</si>
  <si>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</si>
  <si>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</si>
  <si>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</si>
  <si>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</si>
  <si>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</si>
  <si>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</si>
  <si>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</si>
  <si>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</si>
  <si>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</si>
  <si>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</si>
  <si>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</si>
  <si>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</si>
  <si>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</si>
  <si>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</si>
  <si>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</si>
  <si>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</si>
  <si>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</si>
  <si>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</si>
  <si>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</si>
  <si>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</si>
  <si>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</si>
  <si>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</si>
  <si>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</si>
  <si>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</si>
  <si>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</si>
  <si>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</si>
  <si>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</si>
  <si>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</si>
  <si>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</si>
  <si>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</si>
  <si>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</si>
  <si>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</si>
  <si>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</si>
  <si>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</si>
  <si>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</si>
  <si>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</si>
  <si>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</si>
  <si>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</si>
  <si>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</si>
  <si>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</si>
  <si>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</si>
  <si>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</si>
  <si>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</si>
  <si>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</si>
  <si>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</si>
  <si>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</si>
  <si>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</si>
  <si>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</si>
  <si>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</si>
  <si>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</si>
  <si>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</si>
  <si>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</si>
  <si>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</si>
  <si>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</si>
  <si>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</si>
  <si>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</si>
  <si>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</si>
  <si>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</si>
  <si>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</si>
  <si>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</si>
  <si>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</si>
  <si>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</si>
  <si>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</si>
  <si>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</si>
  <si>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</si>
  <si>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</si>
  <si>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</si>
  <si>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</si>
  <si>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</si>
  <si>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</si>
  <si>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</si>
  <si>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</si>
  <si>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</si>
  <si>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</si>
  <si>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</si>
  <si>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</si>
  <si>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</si>
  <si>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</si>
  <si>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</si>
  <si>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</si>
  <si>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</si>
  <si>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</si>
  <si>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</si>
  <si>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</si>
  <si>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</si>
  <si>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</si>
  <si>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</si>
  <si>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</si>
  <si>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</si>
  <si>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</si>
  <si>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</si>
  <si>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</si>
  <si>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</si>
  <si>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</si>
  <si>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</si>
  <si>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</si>
  <si>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</si>
  <si>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</si>
  <si>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</si>
  <si>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</si>
  <si>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</si>
  <si>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</si>
  <si>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</si>
  <si>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</si>
  <si>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</si>
  <si>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</si>
  <si>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</si>
  <si>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</si>
  <si>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</si>
  <si>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</si>
  <si>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TURE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</si>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</sst>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7" totalsRowShown="0" headerRowDxfId="32" dataDxfId="31">
  <autoFilter ref="B1:AF147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7"/>
  <sheetViews>
    <sheetView zoomScaleNormal="100" zoomScaleSheetLayoutView="100" workbookViewId="0">
      <pane xSplit="6" ySplit="1" topLeftCell="G130" activePane="bottomRight" state="frozen"/>
      <selection pane="topRight"/>
      <selection pane="bottomLeft"/>
      <selection pane="bottomRight" activeCell="Y146" sqref="G146:Y148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3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4">
        <v>64</v>
      </c>
      <c r="Q129" s="115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4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3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4">
        <v>64</v>
      </c>
      <c r="Q131" s="115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4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3" t="s">
        <v>178</v>
      </c>
      <c r="M132" s="95" t="s">
        <v>992</v>
      </c>
      <c r="N132" s="121" t="s">
        <v>1050</v>
      </c>
      <c r="O132" s="74" t="str">
        <f t="shared" si="12"/>
        <v>p-com-esnweb01-osdisk</v>
      </c>
      <c r="P132" s="80">
        <v>64</v>
      </c>
      <c r="Q132" s="115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3" t="s">
        <v>178</v>
      </c>
      <c r="M133" s="95" t="s">
        <v>992</v>
      </c>
      <c r="N133" s="121" t="s">
        <v>1050</v>
      </c>
      <c r="O133" s="74" t="str">
        <f t="shared" si="12"/>
        <v>p-com-esnweb02-osdisk</v>
      </c>
      <c r="P133" s="80">
        <v>64</v>
      </c>
      <c r="Q133" s="115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3" t="s">
        <v>178</v>
      </c>
      <c r="M134" s="95" t="s">
        <v>992</v>
      </c>
      <c r="N134" s="121" t="s">
        <v>1050</v>
      </c>
      <c r="O134" s="74" t="str">
        <f t="shared" si="12"/>
        <v>p-com-esnap01-osdisk</v>
      </c>
      <c r="P134" s="114">
        <v>64</v>
      </c>
      <c r="Q134" s="115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3" t="s">
        <v>178</v>
      </c>
      <c r="M135" s="95" t="s">
        <v>992</v>
      </c>
      <c r="N135" s="121" t="s">
        <v>1050</v>
      </c>
      <c r="O135" s="74" t="str">
        <f t="shared" si="12"/>
        <v>p-com-esnap02-osdisk</v>
      </c>
      <c r="P135" s="80">
        <v>64</v>
      </c>
      <c r="Q135" s="115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3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4">
        <v>64</v>
      </c>
      <c r="Q136" s="115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3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4">
        <v>64</v>
      </c>
      <c r="Q137" s="115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3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4">
        <v>64</v>
      </c>
      <c r="Q138" s="115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3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4">
        <v>64</v>
      </c>
      <c r="Q139" s="115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3" t="s">
        <v>178</v>
      </c>
      <c r="M140" s="95" t="s">
        <v>1081</v>
      </c>
      <c r="N140" s="121" t="s">
        <v>1082</v>
      </c>
      <c r="O140" s="74" t="str">
        <f t="shared" si="14"/>
        <v>p-bdp-rlgcweb01-osdisk</v>
      </c>
      <c r="P140" s="114">
        <v>512</v>
      </c>
      <c r="Q140" s="115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4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3" t="s">
        <v>178</v>
      </c>
      <c r="M141" s="95" t="s">
        <v>1081</v>
      </c>
      <c r="N141" s="121" t="s">
        <v>1082</v>
      </c>
      <c r="O141" s="74" t="str">
        <f t="shared" si="14"/>
        <v>p-bdp-rlgcweb02-osdisk</v>
      </c>
      <c r="P141" s="114">
        <v>512</v>
      </c>
      <c r="Q141" s="115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4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2" t="s">
        <v>178</v>
      </c>
      <c r="M142" s="74" t="s">
        <v>1081</v>
      </c>
      <c r="N142" s="122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2" t="s">
        <v>178</v>
      </c>
      <c r="M143" s="74" t="s">
        <v>1081</v>
      </c>
      <c r="N143" s="119" t="s">
        <v>1082</v>
      </c>
      <c r="O143" s="120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2" t="s">
        <v>178</v>
      </c>
      <c r="M144" s="74" t="s">
        <v>1081</v>
      </c>
      <c r="N144" s="119" t="s">
        <v>1082</v>
      </c>
      <c r="O144" s="120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2:32" x14ac:dyDescent="0.3"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3" t="s">
        <v>178</v>
      </c>
      <c r="M145" s="95" t="s">
        <v>1091</v>
      </c>
      <c r="N145" s="119" t="s">
        <v>1105</v>
      </c>
      <c r="O145" s="123" t="str">
        <f>SUBSTITUTE(F145,"hazr-","")&amp;"-osdisk"</f>
        <v>p-if-sastweb01-osdisk</v>
      </c>
      <c r="P145" s="114">
        <v>64</v>
      </c>
      <c r="Q145" s="115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1107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4">
        <v>1</v>
      </c>
      <c r="AE145" s="95"/>
      <c r="AF145" s="95"/>
    </row>
    <row r="146" spans="2:32" x14ac:dyDescent="0.3"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3" t="s">
        <v>178</v>
      </c>
      <c r="M146" s="95" t="s">
        <v>1101</v>
      </c>
      <c r="N146" s="124" t="s">
        <v>1102</v>
      </c>
      <c r="O146" s="123" t="str">
        <f>SUBSTITUTE(F146,"hazr-","")&amp;"-osdisk"</f>
        <v>p-sec-mevrsol01-osdisk</v>
      </c>
      <c r="P146" s="114">
        <v>64</v>
      </c>
      <c r="Q146" s="115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1107</v>
      </c>
      <c r="Z146" s="95" t="s">
        <v>1109</v>
      </c>
      <c r="AA146" s="95" t="b">
        <v>1</v>
      </c>
      <c r="AB146" s="95" t="s">
        <v>317</v>
      </c>
      <c r="AC146" s="95" t="s">
        <v>318</v>
      </c>
      <c r="AD146" s="114">
        <v>1</v>
      </c>
      <c r="AE146" s="95"/>
      <c r="AF146" s="95"/>
    </row>
    <row r="147" spans="2:32" x14ac:dyDescent="0.3"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3" t="s">
        <v>178</v>
      </c>
      <c r="M147" s="95" t="s">
        <v>1101</v>
      </c>
      <c r="N147" s="124" t="s">
        <v>1102</v>
      </c>
      <c r="O147" s="123" t="str">
        <f>SUBSTITUTE(F147,"hazr-","")&amp;"-osdisk"</f>
        <v>p-sec-mevrsol02-osdisk</v>
      </c>
      <c r="P147" s="114">
        <v>64</v>
      </c>
      <c r="Q147" s="115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s">
        <v>1106</v>
      </c>
      <c r="W147" s="95" t="s">
        <v>1106</v>
      </c>
      <c r="X147" s="95" t="s">
        <v>317</v>
      </c>
      <c r="Y147" s="95" t="s">
        <v>1107</v>
      </c>
      <c r="Z147" s="95" t="s">
        <v>1109</v>
      </c>
      <c r="AA147" s="95" t="b">
        <v>1</v>
      </c>
      <c r="AB147" s="95" t="s">
        <v>317</v>
      </c>
      <c r="AC147" s="95" t="s">
        <v>318</v>
      </c>
      <c r="AD147" s="114">
        <v>2</v>
      </c>
      <c r="AE147" s="95"/>
      <c r="AF147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56"/>
  <sheetViews>
    <sheetView workbookViewId="0">
      <pane xSplit="6" ySplit="1" topLeftCell="G142" activePane="bottomRight" state="frozen"/>
      <selection pane="topRight" activeCell="G1" sqref="G1"/>
      <selection pane="bottomLeft" activeCell="A2" sqref="A2"/>
      <selection pane="bottomRight" activeCell="B133" sqref="B133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7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8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8" t="s">
        <v>1093</v>
      </c>
      <c r="G154" s="74" t="str">
        <f t="shared" ref="G154:G15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B155" s="78" t="s">
        <v>23</v>
      </c>
      <c r="C155" s="73" t="str" cm="1">
        <f t="array" ref="C155">UPPER(INDEX(_xlfn.TEXTSPLIT($D155, "-"), 3))</f>
        <v>SEC</v>
      </c>
      <c r="D155" s="78" t="s">
        <v>1110</v>
      </c>
      <c r="E155" s="78" t="s">
        <v>24</v>
      </c>
      <c r="F155" s="117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B156" s="80" t="s">
        <v>23</v>
      </c>
      <c r="C156" s="74" t="str" cm="1">
        <f t="array" ref="C156">UPPER(INDEX(_xlfn.TEXTSPLIT($D156, "-"), 3))</f>
        <v>SEC</v>
      </c>
      <c r="D156" s="80" t="s">
        <v>1110</v>
      </c>
      <c r="E156" s="80" t="s">
        <v>24</v>
      </c>
      <c r="F156" s="118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5"/>
  <sheetViews>
    <sheetView topLeftCell="A138" workbookViewId="0">
      <selection activeCell="E164" sqref="E164:M167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7" t="str" cm="1">
        <f t="array" ref="C150">UPPER(INDEX(_xlfn.TEXTSPLIT($E150, "-"), 2))</f>
        <v>COM</v>
      </c>
      <c r="D150" s="117" t="s">
        <v>317</v>
      </c>
      <c r="E150" s="73" t="str">
        <f t="shared" si="6"/>
        <v>p-com-esnweb01-nsg</v>
      </c>
      <c r="F150" s="73" t="s">
        <v>317</v>
      </c>
      <c r="G150" s="117" t="s">
        <v>345</v>
      </c>
      <c r="H150" s="117" t="s">
        <v>1045</v>
      </c>
      <c r="I150" s="117" t="s">
        <v>1036</v>
      </c>
      <c r="J150" s="117" t="s">
        <v>1035</v>
      </c>
      <c r="K150" s="73" t="str">
        <f t="shared" si="4"/>
        <v>p-com-esnweb01-nic</v>
      </c>
      <c r="L150" s="117" t="s">
        <v>226</v>
      </c>
      <c r="M150" s="117"/>
    </row>
    <row r="151" spans="1:13" x14ac:dyDescent="0.3">
      <c r="A151" s="90"/>
      <c r="B151" s="80" t="s">
        <v>23</v>
      </c>
      <c r="C151" s="118" t="str" cm="1">
        <f t="array" ref="C151">UPPER(INDEX(_xlfn.TEXTSPLIT($E151, "-"), 2))</f>
        <v>COM</v>
      </c>
      <c r="D151" s="118" t="s">
        <v>317</v>
      </c>
      <c r="E151" s="74" t="str">
        <f t="shared" si="6"/>
        <v>p-com-esnweb02-nsg</v>
      </c>
      <c r="F151" s="74" t="s">
        <v>317</v>
      </c>
      <c r="G151" s="118" t="s">
        <v>345</v>
      </c>
      <c r="H151" s="118" t="s">
        <v>240</v>
      </c>
      <c r="I151" s="118" t="s">
        <v>1037</v>
      </c>
      <c r="J151" s="118" t="s">
        <v>1035</v>
      </c>
      <c r="K151" s="74" t="str">
        <f t="shared" si="4"/>
        <v>p-com-esnweb02-nic</v>
      </c>
      <c r="L151" s="118" t="s">
        <v>226</v>
      </c>
      <c r="M151" s="118"/>
    </row>
    <row r="152" spans="1:13" x14ac:dyDescent="0.3">
      <c r="A152" s="90"/>
      <c r="B152" s="78" t="s">
        <v>23</v>
      </c>
      <c r="C152" s="117" t="str" cm="1">
        <f t="array" ref="C152">UPPER(INDEX(_xlfn.TEXTSPLIT($E152, "-"), 2))</f>
        <v>COM</v>
      </c>
      <c r="D152" s="117" t="s">
        <v>317</v>
      </c>
      <c r="E152" s="73" t="str">
        <f t="shared" si="6"/>
        <v>p-com-esnap01-nsg</v>
      </c>
      <c r="F152" s="73" t="s">
        <v>317</v>
      </c>
      <c r="G152" s="117" t="s">
        <v>338</v>
      </c>
      <c r="H152" s="117" t="s">
        <v>1054</v>
      </c>
      <c r="I152" s="117" t="s">
        <v>1038</v>
      </c>
      <c r="J152" s="117" t="s">
        <v>1035</v>
      </c>
      <c r="K152" s="73" t="str">
        <f t="shared" si="4"/>
        <v>p-com-esnap01-nic</v>
      </c>
      <c r="L152" s="117" t="s">
        <v>226</v>
      </c>
      <c r="M152" s="117"/>
    </row>
    <row r="153" spans="1:13" x14ac:dyDescent="0.3">
      <c r="A153" s="90"/>
      <c r="B153" s="80" t="s">
        <v>23</v>
      </c>
      <c r="C153" s="118" t="str" cm="1">
        <f t="array" ref="C153">UPPER(INDEX(_xlfn.TEXTSPLIT($E153, "-"), 2))</f>
        <v>COM</v>
      </c>
      <c r="D153" s="118" t="s">
        <v>317</v>
      </c>
      <c r="E153" s="74" t="str">
        <f t="shared" si="6"/>
        <v>p-com-esnap02-nsg</v>
      </c>
      <c r="F153" s="74" t="s">
        <v>317</v>
      </c>
      <c r="G153" s="118" t="s">
        <v>338</v>
      </c>
      <c r="H153" s="118" t="s">
        <v>1054</v>
      </c>
      <c r="I153" s="118" t="s">
        <v>1039</v>
      </c>
      <c r="J153" s="118" t="s">
        <v>1035</v>
      </c>
      <c r="K153" s="74" t="str">
        <f t="shared" si="4"/>
        <v>p-com-esnap02-nic</v>
      </c>
      <c r="L153" s="118" t="s">
        <v>226</v>
      </c>
      <c r="M153" s="118"/>
    </row>
    <row r="154" spans="1:13" x14ac:dyDescent="0.3">
      <c r="A154" s="90"/>
      <c r="B154" s="78" t="s">
        <v>23</v>
      </c>
      <c r="C154" s="117" t="s">
        <v>1055</v>
      </c>
      <c r="D154" s="117" t="s">
        <v>317</v>
      </c>
      <c r="E154" s="73" t="str">
        <f t="shared" si="6"/>
        <v>az-p-int-host1-nsg</v>
      </c>
      <c r="F154" s="73" t="s">
        <v>317</v>
      </c>
      <c r="G154" s="117" t="s">
        <v>338</v>
      </c>
      <c r="H154" s="117" t="s">
        <v>1063</v>
      </c>
      <c r="I154" s="117" t="s">
        <v>1057</v>
      </c>
      <c r="J154" s="117" t="s">
        <v>1056</v>
      </c>
      <c r="K154" s="73" t="str">
        <f t="shared" si="4"/>
        <v>az-p-int-host1-nic</v>
      </c>
      <c r="L154" s="117" t="s">
        <v>226</v>
      </c>
      <c r="M154" s="117"/>
    </row>
    <row r="155" spans="1:13" x14ac:dyDescent="0.3">
      <c r="A155" s="90"/>
      <c r="B155" s="80" t="s">
        <v>23</v>
      </c>
      <c r="C155" s="118" t="s">
        <v>1055</v>
      </c>
      <c r="D155" s="118" t="s">
        <v>317</v>
      </c>
      <c r="E155" s="74" t="str">
        <f t="shared" si="6"/>
        <v>az-p-int-host2-nsg</v>
      </c>
      <c r="F155" s="74" t="s">
        <v>317</v>
      </c>
      <c r="G155" s="118" t="s">
        <v>338</v>
      </c>
      <c r="H155" s="118" t="s">
        <v>1063</v>
      </c>
      <c r="I155" s="118" t="s">
        <v>1058</v>
      </c>
      <c r="J155" s="118" t="s">
        <v>1056</v>
      </c>
      <c r="K155" s="74" t="str">
        <f t="shared" si="4"/>
        <v>az-p-int-host2-nic</v>
      </c>
      <c r="L155" s="118" t="s">
        <v>226</v>
      </c>
      <c r="M155" s="118"/>
    </row>
    <row r="156" spans="1:13" x14ac:dyDescent="0.3">
      <c r="A156" s="90"/>
      <c r="B156" s="78" t="s">
        <v>23</v>
      </c>
      <c r="C156" s="117" t="s">
        <v>1055</v>
      </c>
      <c r="D156" s="117" t="s">
        <v>317</v>
      </c>
      <c r="E156" s="73" t="str">
        <f t="shared" si="6"/>
        <v>az-p-int-host3-nsg</v>
      </c>
      <c r="F156" s="73" t="s">
        <v>317</v>
      </c>
      <c r="G156" s="117" t="s">
        <v>338</v>
      </c>
      <c r="H156" s="117" t="s">
        <v>1063</v>
      </c>
      <c r="I156" s="117" t="s">
        <v>1064</v>
      </c>
      <c r="J156" s="117" t="s">
        <v>1056</v>
      </c>
      <c r="K156" s="73" t="str">
        <f t="shared" si="4"/>
        <v>az-p-int-host3-nic</v>
      </c>
      <c r="L156" s="117" t="s">
        <v>226</v>
      </c>
      <c r="M156" s="117"/>
    </row>
    <row r="157" spans="1:13" x14ac:dyDescent="0.3">
      <c r="A157" s="90"/>
      <c r="B157" s="80" t="s">
        <v>23</v>
      </c>
      <c r="C157" s="118" t="s">
        <v>1055</v>
      </c>
      <c r="D157" s="118" t="s">
        <v>317</v>
      </c>
      <c r="E157" s="74" t="str">
        <f t="shared" si="6"/>
        <v>az-p-int-host4-nsg</v>
      </c>
      <c r="F157" s="74" t="s">
        <v>317</v>
      </c>
      <c r="G157" s="118" t="s">
        <v>338</v>
      </c>
      <c r="H157" s="118" t="s">
        <v>1063</v>
      </c>
      <c r="I157" s="118" t="s">
        <v>1065</v>
      </c>
      <c r="J157" s="118" t="s">
        <v>1056</v>
      </c>
      <c r="K157" s="74" t="str">
        <f t="shared" si="4"/>
        <v>az-p-int-host4-nic</v>
      </c>
      <c r="L157" s="118" t="s">
        <v>226</v>
      </c>
      <c r="M157" s="118"/>
    </row>
    <row r="158" spans="1:13" x14ac:dyDescent="0.3">
      <c r="A158" s="90"/>
      <c r="B158" s="78" t="s">
        <v>23</v>
      </c>
      <c r="C158" s="117" t="str" cm="1">
        <f t="array" ref="C158">UPPER(INDEX(_xlfn.TEXTSPLIT($E158, "-"), 2))</f>
        <v>BDP</v>
      </c>
      <c r="D158" s="117" t="s">
        <v>317</v>
      </c>
      <c r="E158" s="73" t="str">
        <f t="shared" ref="E158:E165" si="7">IF(OR(L158="X", L158=""), SUBSTITUTE(H158,"-sbn","")&amp;"-nsg", IF(L158="O", SUBSTITUTE(I158,"hazr-","")&amp;"-nsg", ""))</f>
        <v>p-bdp-rlgcweb01-nsg</v>
      </c>
      <c r="F158" s="73" t="s">
        <v>317</v>
      </c>
      <c r="G158" s="117" t="s">
        <v>345</v>
      </c>
      <c r="H158" s="117" t="s">
        <v>1083</v>
      </c>
      <c r="I158" s="117" t="s">
        <v>1070</v>
      </c>
      <c r="J158" s="117" t="s">
        <v>1068</v>
      </c>
      <c r="K158" s="73" t="str">
        <f t="shared" ref="K158:K162" si="8">SUBSTITUTE(I158,"hazr-","")&amp;"-nic"</f>
        <v>p-bdp-rlgcweb01-nic</v>
      </c>
      <c r="L158" s="117" t="s">
        <v>226</v>
      </c>
      <c r="M158" s="117"/>
    </row>
    <row r="159" spans="1:13" x14ac:dyDescent="0.3">
      <c r="A159" s="90"/>
      <c r="B159" s="80" t="s">
        <v>23</v>
      </c>
      <c r="C159" s="118" t="str" cm="1">
        <f t="array" ref="C159">UPPER(INDEX(_xlfn.TEXTSPLIT($E159, "-"), 2))</f>
        <v>BDP</v>
      </c>
      <c r="D159" s="118" t="s">
        <v>317</v>
      </c>
      <c r="E159" s="74" t="str">
        <f t="shared" si="7"/>
        <v>p-bdp-rlgcweb02-nsg</v>
      </c>
      <c r="F159" s="74" t="s">
        <v>317</v>
      </c>
      <c r="G159" s="118" t="s">
        <v>345</v>
      </c>
      <c r="H159" s="118" t="s">
        <v>1083</v>
      </c>
      <c r="I159" s="118" t="s">
        <v>1071</v>
      </c>
      <c r="J159" s="118" t="s">
        <v>1068</v>
      </c>
      <c r="K159" s="74" t="str">
        <f t="shared" si="8"/>
        <v>p-bdp-rlgcweb02-nic</v>
      </c>
      <c r="L159" s="118" t="s">
        <v>226</v>
      </c>
      <c r="M159" s="118"/>
    </row>
    <row r="160" spans="1:13" x14ac:dyDescent="0.3">
      <c r="A160" s="90"/>
      <c r="B160" s="78" t="s">
        <v>23</v>
      </c>
      <c r="C160" s="117" t="str" cm="1">
        <f t="array" ref="C160">UPPER(INDEX(_xlfn.TEXTSPLIT($E160, "-"), 2))</f>
        <v>BDP</v>
      </c>
      <c r="D160" s="117" t="s">
        <v>317</v>
      </c>
      <c r="E160" s="73" t="str">
        <f t="shared" si="7"/>
        <v>p-bdp-rlgcap01-nsg</v>
      </c>
      <c r="F160" s="73" t="s">
        <v>317</v>
      </c>
      <c r="G160" s="117" t="s">
        <v>338</v>
      </c>
      <c r="H160" s="117" t="s">
        <v>1063</v>
      </c>
      <c r="I160" s="73" t="s">
        <v>1072</v>
      </c>
      <c r="J160" s="117" t="s">
        <v>1068</v>
      </c>
      <c r="K160" s="73" t="str">
        <f t="shared" si="8"/>
        <v>p-bdp-rlgcap01-nic</v>
      </c>
      <c r="L160" s="117" t="s">
        <v>226</v>
      </c>
      <c r="M160" s="117"/>
    </row>
    <row r="161" spans="1:13" x14ac:dyDescent="0.3">
      <c r="A161" s="90"/>
      <c r="B161" s="80" t="s">
        <v>23</v>
      </c>
      <c r="C161" s="118" t="str" cm="1">
        <f t="array" ref="C161">UPPER(INDEX(_xlfn.TEXTSPLIT($E161, "-"), 2))</f>
        <v>BDP</v>
      </c>
      <c r="D161" s="118" t="s">
        <v>317</v>
      </c>
      <c r="E161" s="74" t="str">
        <f t="shared" si="7"/>
        <v>p-bdp-rlgcap02-nsg</v>
      </c>
      <c r="F161" s="74" t="s">
        <v>317</v>
      </c>
      <c r="G161" s="118" t="s">
        <v>338</v>
      </c>
      <c r="H161" s="118" t="s">
        <v>1063</v>
      </c>
      <c r="I161" s="74" t="s">
        <v>1073</v>
      </c>
      <c r="J161" s="118" t="s">
        <v>1068</v>
      </c>
      <c r="K161" s="74" t="str">
        <f t="shared" si="8"/>
        <v>p-bdp-rlgcap02-nic</v>
      </c>
      <c r="L161" s="118" t="s">
        <v>226</v>
      </c>
      <c r="M161" s="118"/>
    </row>
    <row r="162" spans="1:13" x14ac:dyDescent="0.3">
      <c r="A162" s="90"/>
      <c r="B162" s="78" t="s">
        <v>23</v>
      </c>
      <c r="C162" s="117" t="str" cm="1">
        <f t="array" ref="C162">UPPER(INDEX(_xlfn.TEXTSPLIT($E162, "-"), 2))</f>
        <v>BDP</v>
      </c>
      <c r="D162" s="117" t="s">
        <v>317</v>
      </c>
      <c r="E162" s="73" t="str">
        <f t="shared" si="7"/>
        <v>p-bdp-rlgcap03-nsg</v>
      </c>
      <c r="F162" s="73" t="s">
        <v>317</v>
      </c>
      <c r="G162" s="117" t="s">
        <v>338</v>
      </c>
      <c r="H162" s="117" t="s">
        <v>1063</v>
      </c>
      <c r="I162" s="73" t="s">
        <v>1074</v>
      </c>
      <c r="J162" s="117" t="s">
        <v>1068</v>
      </c>
      <c r="K162" s="73" t="str">
        <f t="shared" si="8"/>
        <v>p-bdp-rlgcap03-nic</v>
      </c>
      <c r="L162" s="117" t="s">
        <v>226</v>
      </c>
      <c r="M162" s="117"/>
    </row>
    <row r="163" spans="1:13" x14ac:dyDescent="0.3">
      <c r="B163" s="118" t="s">
        <v>1095</v>
      </c>
      <c r="C163" s="118" t="str" cm="1">
        <f t="array" ref="C163">UPPER(INDEX(_xlfn.TEXTSPLIT($E163, "-"), 2))</f>
        <v>IF</v>
      </c>
      <c r="D163" s="118" t="s">
        <v>317</v>
      </c>
      <c r="E163" s="118" t="str">
        <f t="shared" si="7"/>
        <v>p-if-sastweb01-nsg</v>
      </c>
      <c r="F163" s="118" t="s">
        <v>317</v>
      </c>
      <c r="G163" s="118" t="s">
        <v>1107</v>
      </c>
      <c r="H163" s="118" t="s">
        <v>965</v>
      </c>
      <c r="I163" s="118" t="s">
        <v>1093</v>
      </c>
      <c r="J163" s="118" t="s">
        <v>925</v>
      </c>
      <c r="K163" s="118" t="str">
        <f t="shared" ref="K163:K165" si="9">SUBSTITUTE(I163,"hazr-","")&amp;"-nic"</f>
        <v>p-if-sastweb01-nic</v>
      </c>
      <c r="L163" s="118" t="s">
        <v>226</v>
      </c>
      <c r="M163" s="118"/>
    </row>
    <row r="164" spans="1:13" x14ac:dyDescent="0.3">
      <c r="B164" s="117" t="s">
        <v>1095</v>
      </c>
      <c r="C164" s="117" t="str" cm="1">
        <f t="array" ref="C164">UPPER(INDEX(_xlfn.TEXTSPLIT($E164, "-"), 2))</f>
        <v>SEC</v>
      </c>
      <c r="D164" s="117" t="s">
        <v>317</v>
      </c>
      <c r="E164" s="117" t="str">
        <f t="shared" si="7"/>
        <v>p-sec-mevrsol01-nsg</v>
      </c>
      <c r="F164" s="117" t="s">
        <v>317</v>
      </c>
      <c r="G164" s="117" t="s">
        <v>1107</v>
      </c>
      <c r="H164" s="117" t="s">
        <v>1108</v>
      </c>
      <c r="I164" s="117" t="s">
        <v>1103</v>
      </c>
      <c r="J164" s="117" t="s">
        <v>1110</v>
      </c>
      <c r="K164" s="117" t="str">
        <f t="shared" si="9"/>
        <v>p-sec-mevrsol01-nic</v>
      </c>
      <c r="L164" s="117" t="s">
        <v>226</v>
      </c>
      <c r="M164" s="117"/>
    </row>
    <row r="165" spans="1:13" x14ac:dyDescent="0.3">
      <c r="B165" s="118" t="s">
        <v>1095</v>
      </c>
      <c r="C165" s="118" t="str" cm="1">
        <f t="array" ref="C165">UPPER(INDEX(_xlfn.TEXTSPLIT($E165, "-"), 2))</f>
        <v>SEC</v>
      </c>
      <c r="D165" s="118" t="s">
        <v>317</v>
      </c>
      <c r="E165" s="118" t="str">
        <f t="shared" si="7"/>
        <v>p-sec-mevrsol02-nsg</v>
      </c>
      <c r="F165" s="118" t="s">
        <v>317</v>
      </c>
      <c r="G165" s="118" t="s">
        <v>1107</v>
      </c>
      <c r="H165" s="118" t="s">
        <v>1108</v>
      </c>
      <c r="I165" s="118" t="s">
        <v>1104</v>
      </c>
      <c r="J165" s="118" t="s">
        <v>1110</v>
      </c>
      <c r="K165" s="118" t="str">
        <f t="shared" si="9"/>
        <v>p-sec-mevrsol02-nic</v>
      </c>
      <c r="L165" s="118" t="s">
        <v>226</v>
      </c>
      <c r="M165" s="118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7"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5"/>
  <sheetViews>
    <sheetView tabSelected="1" workbookViewId="0">
      <pane xSplit="6" ySplit="1" topLeftCell="G23" activePane="bottomRight" state="frozen"/>
      <selection pane="topRight" activeCell="G1" sqref="G1"/>
      <selection pane="bottomLeft" activeCell="A2" sqref="A2"/>
      <selection pane="bottomRight" activeCell="P46" sqref="P46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45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45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1112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1113</v>
      </c>
      <c r="M45" s="74" t="s">
        <v>1107</v>
      </c>
      <c r="N45" s="74" t="s">
        <v>1108</v>
      </c>
      <c r="O45" s="74" t="s">
        <v>108</v>
      </c>
      <c r="P45" s="74" t="s">
        <v>1115</v>
      </c>
      <c r="Q45" s="74" t="str">
        <f t="shared" si="6"/>
        <v>p-sec-mevrsol-lb-bp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72"/>
  <sheetViews>
    <sheetView topLeftCell="A46" workbookViewId="0">
      <selection activeCell="J72" sqref="J72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51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50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51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50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51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50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51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50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51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50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51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50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4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4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4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50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51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50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6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116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19" t="str">
        <f t="shared" ref="F63:F72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119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6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2:11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116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2:11" x14ac:dyDescent="0.3">
      <c r="B67" s="74" t="s">
        <v>23</v>
      </c>
      <c r="C67" s="74" t="str" cm="1">
        <f t="array" ref="C67">UPPER(INDEX(_xlfn.TEXTSPLIT($D67, "-"), 3))</f>
        <v>SEC</v>
      </c>
      <c r="D67" s="74" t="s">
        <v>1110</v>
      </c>
      <c r="E67" s="74" t="s">
        <v>1114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2:11" x14ac:dyDescent="0.3">
      <c r="B68" s="74" t="s">
        <v>23</v>
      </c>
      <c r="C68" s="74" t="str" cm="1">
        <f t="array" ref="C68">UPPER(INDEX(_xlfn.TEXTSPLIT($D68, "-"), 3))</f>
        <v>SEC</v>
      </c>
      <c r="D68" s="74" t="s">
        <v>1110</v>
      </c>
      <c r="E68" s="74" t="s">
        <v>1114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2:11" x14ac:dyDescent="0.3">
      <c r="B69" s="74" t="s">
        <v>23</v>
      </c>
      <c r="C69" s="74" t="str" cm="1">
        <f t="array" ref="C69">UPPER(INDEX(_xlfn.TEXTSPLIT($D69, "-"), 3))</f>
        <v>SEC</v>
      </c>
      <c r="D69" s="74" t="s">
        <v>1110</v>
      </c>
      <c r="E69" s="74" t="s">
        <v>1114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2:11" x14ac:dyDescent="0.3">
      <c r="B70" s="74" t="s">
        <v>23</v>
      </c>
      <c r="C70" s="74" t="str" cm="1">
        <f t="array" ref="C70">UPPER(INDEX(_xlfn.TEXTSPLIT($D70, "-"), 3))</f>
        <v>SEC</v>
      </c>
      <c r="D70" s="74" t="s">
        <v>1110</v>
      </c>
      <c r="E70" s="74" t="s">
        <v>1114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2:11" x14ac:dyDescent="0.3">
      <c r="B71" s="74" t="s">
        <v>23</v>
      </c>
      <c r="C71" s="74" t="str" cm="1">
        <f t="array" ref="C71">UPPER(INDEX(_xlfn.TEXTSPLIT($D71, "-"), 3))</f>
        <v>SEC</v>
      </c>
      <c r="D71" s="74" t="s">
        <v>1110</v>
      </c>
      <c r="E71" s="74" t="s">
        <v>1114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2:11" x14ac:dyDescent="0.3">
      <c r="B72" s="74" t="s">
        <v>23</v>
      </c>
      <c r="C72" s="74" t="str" cm="1">
        <f t="array" ref="C72">UPPER(INDEX(_xlfn.TEXTSPLIT($D72, "-"), 3))</f>
        <v>SEC</v>
      </c>
      <c r="D72" s="74" t="s">
        <v>1110</v>
      </c>
      <c r="E72" s="74" t="s">
        <v>1114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72"/>
  <sheetViews>
    <sheetView topLeftCell="E46" workbookViewId="0">
      <selection activeCell="P54" sqref="P54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2:19" x14ac:dyDescent="0.3"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2:19" x14ac:dyDescent="0.3">
      <c r="B67" s="74" t="s">
        <v>23</v>
      </c>
      <c r="C67" s="74" t="str" cm="1">
        <f t="array" ref="C67">UPPER(INDEX(_xlfn.TEXTSPLIT($D67, "-"), 3))</f>
        <v>SEC</v>
      </c>
      <c r="D67" s="74" t="s">
        <v>1110</v>
      </c>
      <c r="E67" s="74" t="s">
        <v>1111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2:19" x14ac:dyDescent="0.3">
      <c r="B68" s="74" t="s">
        <v>23</v>
      </c>
      <c r="C68" s="74" t="str" cm="1">
        <f t="array" ref="C68">UPPER(INDEX(_xlfn.TEXTSPLIT($D68, "-"), 3))</f>
        <v>SEC</v>
      </c>
      <c r="D68" s="74" t="s">
        <v>1110</v>
      </c>
      <c r="E68" s="74" t="s">
        <v>1111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2:19" x14ac:dyDescent="0.3">
      <c r="B69" s="74" t="s">
        <v>23</v>
      </c>
      <c r="C69" s="74" t="str" cm="1">
        <f t="array" ref="C69">UPPER(INDEX(_xlfn.TEXTSPLIT($D69, "-"), 3))</f>
        <v>SEC</v>
      </c>
      <c r="D69" s="74" t="s">
        <v>1110</v>
      </c>
      <c r="E69" s="74" t="s">
        <v>1111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2:19" x14ac:dyDescent="0.3">
      <c r="B70" s="74" t="s">
        <v>23</v>
      </c>
      <c r="C70" s="74" t="str" cm="1">
        <f t="array" ref="C70">UPPER(INDEX(_xlfn.TEXTSPLIT($D70, "-"), 3))</f>
        <v>SEC</v>
      </c>
      <c r="D70" s="74" t="s">
        <v>1110</v>
      </c>
      <c r="E70" s="74" t="s">
        <v>1111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2:19" x14ac:dyDescent="0.3">
      <c r="B71" s="74" t="s">
        <v>23</v>
      </c>
      <c r="C71" s="74" t="str" cm="1">
        <f t="array" ref="C71">UPPER(INDEX(_xlfn.TEXTSPLIT($D71, "-"), 3))</f>
        <v>SEC</v>
      </c>
      <c r="D71" s="74" t="s">
        <v>1110</v>
      </c>
      <c r="E71" s="74" t="s">
        <v>1111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2:19" x14ac:dyDescent="0.3">
      <c r="B72" s="74" t="s">
        <v>23</v>
      </c>
      <c r="C72" s="74" t="str" cm="1">
        <f t="array" ref="C72">UPPER(INDEX(_xlfn.TEXTSPLIT($D72, "-"), 3))</f>
        <v>SEC</v>
      </c>
      <c r="D72" s="74" t="s">
        <v>1110</v>
      </c>
      <c r="E72" s="74" t="s">
        <v>1111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2026-09-01T05:44:59Z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