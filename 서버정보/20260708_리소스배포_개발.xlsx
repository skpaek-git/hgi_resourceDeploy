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6FC9F94-0CB1-4F93-B108-81A331053F5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<sst xmlns="http://schemas.openxmlformats.org/spreadsheetml/2006/main" count="2069" uniqueCount="396">
  <si>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</si>
  <si>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</si>
  <si>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</si>
  <si>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</si>
  <si>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</si>
  <si>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</si>
  <si>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</si>
  <si>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</si>
  <si>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</si>
  <si>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</si>
  <si>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</si>
  <si>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</si>
  <si>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</si>
  <si>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</si>
  <si>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</si>
  <si>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</si>
  <si>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</si>
  <si>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</si>
  <si>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</si>
  <si>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</si>
  <si>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</si>
  <si>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</si>
  <si>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</si>
  <si>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</si>
  <si>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</si>
  <si>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</si>
  <si>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</si>
  <si>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</si>
  <si>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</si>
  <si>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</si>
  <si>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</si>
  <si>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</si>
  <si>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</si>
  <si>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</si>
  <si>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</si>
  <si>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</si>
  <si>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</si>
  <si>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</si>
  <si>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</si>
  <si>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</si>
  <si>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</si>
  <si>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</si>
  <si>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</si>
  <si>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</si>
  <si>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</si>
  <si>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</si>
  <si>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</si>
  <si>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</si>
  <si>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</si>
  <si>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</si>
  <si>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</si>
  <si>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</si>
  <si>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</si>
  <si>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</si>
  <si>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</si>
  <si>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</si>
  <si>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</si>
  <si>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</si>
  <si>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</si>
  <si>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</si>
  <si>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</si>
  <si>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</si>
  <si>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</si>
  <si>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</si>
  <si>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</si>
  <si>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</si>
  <si>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</si>
  <si>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</si>
  <si>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</si>
  <si>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</si>
  <si>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</si>
  <si>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</si>
  <si>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</si>
  <si>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</si>
  <si>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</si>
  <si>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</si>
  <si>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</si>
  <si>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</si>
  <si>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</si>
  <si>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</si>
  <si>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</si>
  <si>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</si>
  <si>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</si>
  <si>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</si>
  <si>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</si>
  <si>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</si>
  <si>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</si>
  <si>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</si>
  <si>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</si>
  <si>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</si>
  <si>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</si>
  <si>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</si>
  <si>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</si>
  <si>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</si>
  <si>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</si>
  <si>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</si>
  <si>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</si>
  <si>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</si>
  <si>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</si>
  <si>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</si>
  <si>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</si>
  <si>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</si>
  <si>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</si>
  <si>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</si>
  <si>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</si>
  <si>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</si>
  <si>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</si>
  <si>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</si>
  <si>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</si>
  <si>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</si>
  <si>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</si>
  <si>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</si>
  <si>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</si>
  <si>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</si>
  <si>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</si>
  <si>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</si>
  <si>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</si>
  <si>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</si>
  <si>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</si>
  <si>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</si>
  <si>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</si>
  <si>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</si>
  <si>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</si>
  <si>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</si>
  <si>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</si>
  <si>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</si>
  <si>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</si>
  <si>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</si>
  <si>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</si>
  <si>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</si>
  <si>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</si>
  <si>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</si>
  <si>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</si>
  <si>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</si>
  <si>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</si>
  <si>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</si>
  <si>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</si>
  <si>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</si>
  <si>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</si>
  <si>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</si>
  <si>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</si>
  <si>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</si>
  <si>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</si>
  <si>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</si>
  <si>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</si>
  <si>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</si>
  <si>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</si>
  <si>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</si>
  <si>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</si>
  <si>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</si>
  <si>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</si>
  <si>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</si>
  <si>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</si>
  <si>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</si>
  <si>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</si>
  <si>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</si>
  <si>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</si>
  <si>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</si>
  <si>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</si>
  <si>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</si>
  <si>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</si>
  <si>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</si>
  <si>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</si>
  <si>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</si>
  <si>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</si>
  <si>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</si>
  <si>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</si>
  <si>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</si>
  <si>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</si>
  <si>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</si>
  <si>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</si>
  <si>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</si>
  <si>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</si>
  <si>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</si>
  <si>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</si>
  <si>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</si>
  <si>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</si>
  <si>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</si>
  <si>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</si>
  <si>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</si>
  <si>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</si>
  <si>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</si>
  <si>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</si>
  <si>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</si>
  <si>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</si>
  <si>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</si>
  <si>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</si>
  <si>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</si>
  <si>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</si>
  <si>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</si>
  <si>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</si>
  <si>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</si>
  <si>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</si>
  <si>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</si>
  <si>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</si>
  <si>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</si>
  <si>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</si>
  <si>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</si>
  <si>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</si>
  <si>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</si>
  <si>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</si>
  <si>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</si>
  <si>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</si>
  <si>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</si>
  <si>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</si>
  <si>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</si>
  <si>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</si>
  <si>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</si>
  <si>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</si>
  <si>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</si>
  <si>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</si>
  <si>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</si>
  <si>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</si>
  <si>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</si>
  <si>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</si>
  <si>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</si>
  <si>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</si>
  <si>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</si>
  <si>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</si>
  <si>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</si>
  <si>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</si>
  <si>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</si>
  <si>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</si>
  <si>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</si>
  <si>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</si>
  <si>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</si>
  <si>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</si>
  <si>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</si>
  <si>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</si>
  <si>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</si>
  <si>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</si>
  <si>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</si>
  <si>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</si>
  <si>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</si>
  <si>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</si>
  <si>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</si>
  <si>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</si>
  <si>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</si>
  <si>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</si>
  <si>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</si>
  <si>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</si>
  <si>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</si>
  <si>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</si>
  <si>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</si>
  <si>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</si>
  <si>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</si>
  <si>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</si>
  <si>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</si>
  <si>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</si>
  <si>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</si>
  <si>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</si>
  <si>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</si>
  <si>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</si>
  <si>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</si>
  <si>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</si>
  <si>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</si>
  <si>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</si>
  <si>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</si>
  <si>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</si>
  <si>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</si>
  <si>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</si>
  <si>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</si>
  <si>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</si>
  <si>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</si>
  <si>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</si>
  <si>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</si>
  <si>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</si>
  <si>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</si>
  <si>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</si>
  <si>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</si>
  <si>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</si>
  <si>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</si>
  <si>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</si>
  <si>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</si>
  <si>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</si>
  <si>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</si>
  <si>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</si>
  <si>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</si>
  <si>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</si>
  <si>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</si>
  <si>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</si>
  <si>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</si>
  <si>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</si>
  <si>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</si>
  <si>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</si>
  <si>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</si>
  <si>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</si>
  <si>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</si>
  <si>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</si>
  <si>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</si>
  <si>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</si>
  <si>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</si>
  <si>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</si>
  <si>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</si>
  <si>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</si>
  <si>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</si>
  <si>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</si>
  <si>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</si>
  <si>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</si>
  <si>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</si>
  <si>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</si>
  <si>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</si>
  <si>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</si>
  <si>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</si>
  <si>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</si>
  <si>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</si>
  <si>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</si>
  <si>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</si>
  <si>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</si>
  <si>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</si>
  <si>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</si>
  <si>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</si>
  <si>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</si>
  <si>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</si>
  <si>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</si>
  <si>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</si>
  <si>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</si>
  <si>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</si>
  <si>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</si>
  <si>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</si>
  <si>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</si>
  <si>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</si>
  <si>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</si>
  <si>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</si>
  <si>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</si>
  <si>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</si>
  <si>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</si>
  <si>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</si>
  <si>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</si>
  <si>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</si>
  <si>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</si>
  <si>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</si>
  <si>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</si>
  <si>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</si>
  <si>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</si>
  <si>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</si>
  <si>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</si>
  <si>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</si>
  <si>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</si>
  <si>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</si>
  <si>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</si>
  <si>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</si>
  <si>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</si>
  <si>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</si>
  <si>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</si>
  <si>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</si>
  <si>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</si>
  <si>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</si>
  <si>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</si>
  <si>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</si>
  <si>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</si>
  <si>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</si>
  <si>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</si>
  <si>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</si>
  <si>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</si>
  <si>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</si>
  <si>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</si>
  <si>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</si>
  <si>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</si>
  <si>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</si>
  <si>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</si>
  <si>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</si>
  <si>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</si>
  <si>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</si>
  <si>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</si>
  <si>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</si>
  <si>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</si>
  <si>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</si>
  <si>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</si>
  <si>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</si>
  <si>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</si>
  <si>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</si>
  <si>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</si>
  <si>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</si>
  <si>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</si>
  <si>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</si>
  <si>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</si>
  <si>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</si>
  <si>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</si>
  <si>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</si>
  <si>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</si>
  <si>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</si>
  <si>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</si>
  <si>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</si>
  <si>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</si>
  <si>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</si>
  <si>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</si>
  <si>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</si>
  <si>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</si>
  <si>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</si>
  <si>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</si>
  <si>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</si>
  <si>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hazr-d-bdp-ext-vnet</t>
    <phoneticPr fontId="1" type="noConversion"/>
  </si>
  <si>
    <t>hazr-d-bdp-int-vnet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</si>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</sst>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3" totalsRowShown="0" headerRowDxfId="33" dataDxfId="32">
  <autoFilter ref="B1:AF5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3"/>
  <sheetViews>
    <sheetView tabSelected="1" topLeftCell="J36" zoomScaleNormal="100" zoomScaleSheetLayoutView="100" workbookViewId="0">
      <selection activeCell="N52" sqref="N52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378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380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380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378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378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378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378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378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380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380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378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380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378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378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378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378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378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378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380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380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378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378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380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378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378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378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378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378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378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380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378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378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380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378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380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380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378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380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380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380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380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372</v>
      </c>
      <c r="G43" s="1" t="s">
        <v>373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380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378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380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378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378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38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374</v>
      </c>
      <c r="G48" s="1" t="s">
        <v>375</v>
      </c>
      <c r="H48" s="10" t="s">
        <v>376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377</v>
      </c>
      <c r="N48" s="1" t="s">
        <v>379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38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394</v>
      </c>
      <c r="G49" s="1" t="s">
        <v>381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377</v>
      </c>
      <c r="N49" s="1" t="s">
        <v>379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38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382</v>
      </c>
      <c r="G50" s="1" t="s">
        <v>383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377</v>
      </c>
      <c r="N50" s="1" t="s">
        <v>379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38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384</v>
      </c>
      <c r="G51" s="1" t="s">
        <v>385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377</v>
      </c>
      <c r="N51" s="1" t="s">
        <v>379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386</v>
      </c>
      <c r="G52" s="1" t="s">
        <v>388</v>
      </c>
      <c r="H52" s="10" t="s">
        <v>390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377</v>
      </c>
      <c r="N52" s="1" t="s">
        <v>395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387</v>
      </c>
      <c r="G53" s="1" t="s">
        <v>389</v>
      </c>
      <c r="H53" s="10" t="s">
        <v>391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377</v>
      </c>
      <c r="N53" s="1" t="s">
        <v>395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3"/>
  <sheetViews>
    <sheetView topLeftCell="A31" workbookViewId="0">
      <selection activeCell="D49" sqref="D49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372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53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53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38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374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38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394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38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382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38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384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386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387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0"/>
  <sheetViews>
    <sheetView topLeftCell="A43" zoomScaleNormal="100" workbookViewId="0">
      <selection activeCell="E70" sqref="E70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37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22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37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24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37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22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37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24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37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22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37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22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37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24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37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24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37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22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37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24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37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22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37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24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37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22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37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24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37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22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37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24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37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22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37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24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37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22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37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24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37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22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37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24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37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22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37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24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37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22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37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24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37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22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37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24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37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22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37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24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37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22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37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24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37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22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37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24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37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22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37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24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37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22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37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24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37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22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37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24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37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22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37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24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37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22" t="s">
        <v>372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37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22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37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22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37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24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37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22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37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369</v>
      </c>
    </row>
    <row r="50" spans="1:12" x14ac:dyDescent="0.3">
      <c r="A50" s="37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369</v>
      </c>
    </row>
    <row r="51" spans="1:12" x14ac:dyDescent="0.3">
      <c r="A51" s="37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369</v>
      </c>
    </row>
    <row r="52" spans="1:12" x14ac:dyDescent="0.3">
      <c r="A52" s="37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369</v>
      </c>
    </row>
    <row r="53" spans="1:12" x14ac:dyDescent="0.3">
      <c r="A53" s="37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369</v>
      </c>
    </row>
    <row r="54" spans="1:12" x14ac:dyDescent="0.3">
      <c r="A54" s="37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369</v>
      </c>
    </row>
    <row r="55" spans="1:12" x14ac:dyDescent="0.3">
      <c r="A55" s="37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369</v>
      </c>
    </row>
    <row r="56" spans="1:12" x14ac:dyDescent="0.3">
      <c r="A56" s="37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369</v>
      </c>
    </row>
    <row r="57" spans="1:12" x14ac:dyDescent="0.3">
      <c r="A57" s="37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369</v>
      </c>
    </row>
    <row r="58" spans="1:12" x14ac:dyDescent="0.3">
      <c r="A58" s="37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369</v>
      </c>
    </row>
    <row r="59" spans="1:12" x14ac:dyDescent="0.3">
      <c r="A59" s="37"/>
      <c r="B59" s="35" t="s">
        <v>31</v>
      </c>
      <c r="C59" s="35" t="str" cm="1">
        <f t="array" ref="C59">UPPER(INDEX(_xlfn.TEXTSPLIT($E59, "-"), 2))</f>
        <v>DIP</v>
      </c>
      <c r="D59" s="32" t="s">
        <v>49</v>
      </c>
      <c r="E59" s="32" t="str">
        <f t="shared" si="3"/>
        <v>d-dip-db-nsg</v>
      </c>
      <c r="F59" s="32" t="s">
        <v>49</v>
      </c>
      <c r="G59" s="32" t="s">
        <v>187</v>
      </c>
      <c r="H59" s="32" t="s">
        <v>364</v>
      </c>
      <c r="I59" s="32"/>
      <c r="J59" s="32"/>
      <c r="K59" s="32"/>
      <c r="L59" s="32" t="s">
        <v>369</v>
      </c>
    </row>
    <row r="60" spans="1:12" x14ac:dyDescent="0.3">
      <c r="A60" s="37"/>
      <c r="B60" s="34" t="s">
        <v>31</v>
      </c>
      <c r="C60" s="34" t="s">
        <v>370</v>
      </c>
      <c r="D60" s="34" t="s">
        <v>49</v>
      </c>
      <c r="E60" s="34" t="s">
        <v>371</v>
      </c>
      <c r="F60" s="34" t="s">
        <v>49</v>
      </c>
      <c r="G60" s="34" t="s">
        <v>57</v>
      </c>
      <c r="H60" s="34" t="s">
        <v>156</v>
      </c>
      <c r="I60" s="34"/>
      <c r="J60" s="34"/>
      <c r="K60" s="34"/>
      <c r="L60" s="34" t="s">
        <v>369</v>
      </c>
    </row>
    <row r="61" spans="1:12" x14ac:dyDescent="0.3">
      <c r="A61" s="37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365</v>
      </c>
      <c r="I61" s="32"/>
      <c r="J61" s="32"/>
      <c r="K61" s="32"/>
      <c r="L61" s="32" t="s">
        <v>369</v>
      </c>
    </row>
    <row r="62" spans="1:12" x14ac:dyDescent="0.3">
      <c r="A62" s="37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366</v>
      </c>
      <c r="I62" s="34"/>
      <c r="J62" s="34"/>
      <c r="K62" s="34"/>
      <c r="L62" s="34" t="s">
        <v>369</v>
      </c>
    </row>
    <row r="63" spans="1:12" x14ac:dyDescent="0.3">
      <c r="A63" s="37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367</v>
      </c>
      <c r="I63" s="32"/>
      <c r="J63" s="32"/>
      <c r="K63" s="32"/>
      <c r="L63" s="32" t="s">
        <v>369</v>
      </c>
    </row>
    <row r="64" spans="1:12" x14ac:dyDescent="0.3">
      <c r="A64" s="37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368</v>
      </c>
      <c r="I64" s="34"/>
      <c r="J64" s="34"/>
      <c r="K64" s="34"/>
      <c r="L64" s="34" t="s">
        <v>369</v>
      </c>
    </row>
    <row r="65" spans="1:12" x14ac:dyDescent="0.3">
      <c r="A65" s="37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70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374</v>
      </c>
      <c r="J65" s="16" t="s">
        <v>50</v>
      </c>
      <c r="K65" s="32" t="str">
        <f t="shared" ref="K65:K70" si="5">SUBSTITUTE($I65,"hazr-","")&amp;"-nic"</f>
        <v>d-com-esnweb01-nic</v>
      </c>
      <c r="L65" s="33" t="s">
        <v>341</v>
      </c>
    </row>
    <row r="66" spans="1:12" x14ac:dyDescent="0.3">
      <c r="A66" s="37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394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37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382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37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384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392</v>
      </c>
      <c r="H69" s="32" t="s">
        <v>78</v>
      </c>
      <c r="I69" s="16" t="s">
        <v>386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393</v>
      </c>
      <c r="H70" s="34" t="s">
        <v>127</v>
      </c>
      <c r="I70" s="17" t="s">
        <v>387</v>
      </c>
      <c r="J70" s="17" t="s">
        <v>183</v>
      </c>
      <c r="K70" s="34" t="str">
        <f t="shared" si="5"/>
        <v>d-bdp-rlgcap01-nic</v>
      </c>
      <c r="L70" s="36" t="s">
        <v>341</v>
      </c>
    </row>
  </sheetData>
  <phoneticPr fontId="1" type="noConversion"/>
  <conditionalFormatting sqref="E2:E70">
    <cfRule type="duplicateValues" dxfId="0" priority="7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2026-07-27T06:21:35Z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