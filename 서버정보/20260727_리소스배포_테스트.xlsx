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4CF8D779-D737-45A3-9E22-F6C78FA079B0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LB_Probe!$B$1:$K$54</definedName>
    <definedName name="_xlnm._FilterDatabase" localSheetId="9" hidden="1">LB_Rule!$A$1:$R$54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1" l="1"/>
  <c r="F57" i="11"/>
  <c r="J57" i="11"/>
  <c r="L57" i="11"/>
  <c r="E58" i="11"/>
  <c r="F58" i="11"/>
  <c r="J58" i="11"/>
  <c r="L58" i="11"/>
  <c r="B57" i="11" a="1"/>
  <c r="B57" i="11" s="1"/>
  <c r="B58" i="11" a="1"/>
  <c r="B58" i="11" s="1"/>
  <c r="C58" i="10" a="1"/>
  <c r="C58" i="10" s="1"/>
  <c r="C57" i="10" a="1"/>
  <c r="C57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6" i="11"/>
  <c r="J56" i="11"/>
  <c r="F56" i="11"/>
  <c r="E56" i="11"/>
  <c r="B56" i="11" a="1"/>
  <c r="B56" i="11" s="1"/>
  <c r="L55" i="11"/>
  <c r="J55" i="11"/>
  <c r="F55" i="11"/>
  <c r="E55" i="11"/>
  <c r="B55" i="11" a="1"/>
  <c r="B55" i="11" s="1"/>
  <c r="F56" i="10"/>
  <c r="C56" i="10" a="1"/>
  <c r="C56" i="10" s="1"/>
  <c r="F55" i="10"/>
  <c r="C55" i="10" a="1"/>
  <c r="C55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7" i="11"/>
  <c r="E48" i="11"/>
  <c r="E49" i="11"/>
  <c r="E50" i="11"/>
  <c r="E51" i="11"/>
  <c r="E52" i="11"/>
  <c r="E53" i="11"/>
  <c r="E54" i="11"/>
  <c r="E2" i="11"/>
  <c r="B47" i="11" a="1"/>
  <c r="B47" i="11" s="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7" i="11"/>
  <c r="L48" i="11"/>
  <c r="L49" i="11"/>
  <c r="L50" i="11"/>
  <c r="L51" i="11"/>
  <c r="L52" i="11"/>
  <c r="L53" i="11"/>
  <c r="L54" i="11"/>
  <c r="L2" i="11"/>
  <c r="F44" i="11"/>
  <c r="F45" i="11"/>
  <c r="F46" i="11"/>
  <c r="F47" i="11"/>
  <c r="F48" i="11"/>
  <c r="F49" i="11"/>
  <c r="F50" i="11"/>
  <c r="F51" i="11"/>
  <c r="F52" i="11"/>
  <c r="F53" i="11"/>
  <c r="F54" i="11"/>
  <c r="J44" i="11"/>
  <c r="J45" i="11"/>
  <c r="J46" i="11"/>
  <c r="J47" i="11"/>
  <c r="J48" i="11"/>
  <c r="J49" i="11"/>
  <c r="J50" i="11"/>
  <c r="J51" i="11"/>
  <c r="J52" i="11"/>
  <c r="J53" i="11"/>
  <c r="J54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C48" i="10" a="1"/>
  <c r="C48" i="10" s="1"/>
  <c r="F48" i="10"/>
  <c r="C49" i="10" a="1"/>
  <c r="C49" i="10" s="1"/>
  <c r="F49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3" i="10"/>
  <c r="C33" i="10" a="1"/>
  <c r="C33" i="10" s="1"/>
  <c r="F29" i="10"/>
  <c r="C29" i="10" a="1"/>
  <c r="C29" i="10" s="1"/>
  <c r="F47" i="10"/>
  <c r="F53" i="10"/>
  <c r="F54" i="10"/>
  <c r="F50" i="10"/>
  <c r="F51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31" i="10"/>
  <c r="F38" i="10"/>
  <c r="F39" i="10"/>
  <c r="F40" i="10"/>
  <c r="F41" i="10"/>
  <c r="F43" i="10"/>
  <c r="F36" i="10"/>
  <c r="F34" i="10"/>
  <c r="F35" i="10"/>
  <c r="F42" i="10"/>
  <c r="F44" i="10"/>
  <c r="F52" i="10"/>
  <c r="F11" i="10"/>
  <c r="F2" i="10"/>
  <c r="F4" i="10"/>
  <c r="F32" i="10"/>
  <c r="F28" i="10"/>
  <c r="F37" i="10"/>
  <c r="F46" i="10"/>
  <c r="C41" i="10" a="1"/>
  <c r="C41" i="10" s="1"/>
  <c r="C40" i="10" a="1"/>
  <c r="C40" i="10" s="1"/>
  <c r="F4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29" i="11" a="1"/>
  <c r="B29" i="11" s="1"/>
  <c r="B28" i="11" a="1"/>
  <c r="B28" i="11" s="1"/>
  <c r="B16" i="11" a="1"/>
  <c r="B16" i="11" s="1"/>
  <c r="B15" i="11" a="1"/>
  <c r="B15" i="11" s="1"/>
  <c r="B14" i="11" a="1"/>
  <c r="B14" i="11" s="1"/>
  <c r="B40" i="11" a="1"/>
  <c r="B40" i="11" s="1"/>
  <c r="B38" i="11" a="1"/>
  <c r="B3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3" i="11" a="1"/>
  <c r="B43" i="11" s="1"/>
  <c r="B42" i="11" a="1"/>
  <c r="B42" i="11" s="1"/>
  <c r="B41" i="11" a="1"/>
  <c r="B41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39" i="11" a="1"/>
  <c r="B39" i="11" s="1"/>
  <c r="B37" i="11" a="1"/>
  <c r="B37" i="11" s="1"/>
  <c r="B36" i="11" a="1"/>
  <c r="B36" i="11" s="1"/>
  <c r="C47" i="10" a="1"/>
  <c r="C47" i="10" s="1"/>
  <c r="C53" i="10" a="1"/>
  <c r="C53" i="10" s="1"/>
  <c r="C54" i="10" a="1"/>
  <c r="C54" i="10" s="1"/>
  <c r="C50" i="10" a="1"/>
  <c r="C50" i="10" s="1"/>
  <c r="C51" i="10" a="1"/>
  <c r="C51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0" i="10" a="1"/>
  <c r="C30" i="10" s="1"/>
  <c r="C31" i="10" a="1"/>
  <c r="C31" i="10" s="1"/>
  <c r="C38" i="10" a="1"/>
  <c r="C38" i="10" s="1"/>
  <c r="C39" i="10" a="1"/>
  <c r="C39" i="10" s="1"/>
  <c r="C43" i="10" a="1"/>
  <c r="C43" i="10" s="1"/>
  <c r="C36" i="10" a="1"/>
  <c r="C36" i="10" s="1"/>
  <c r="C34" i="10" a="1"/>
  <c r="C34" i="10" s="1"/>
  <c r="C35" i="10" a="1"/>
  <c r="C35" i="10" s="1"/>
  <c r="C42" i="10" a="1"/>
  <c r="C42" i="10" s="1"/>
  <c r="C52" i="10" a="1"/>
  <c r="C52" i="10" s="1"/>
  <c r="C11" i="10" a="1"/>
  <c r="C11" i="10" s="1"/>
  <c r="C2" i="10" a="1"/>
  <c r="C2" i="10" s="1"/>
  <c r="C4" i="10" a="1"/>
  <c r="C4" i="10" s="1"/>
  <c r="C32" i="10" a="1"/>
  <c r="C32" i="10" s="1"/>
  <c r="C28" i="10" a="1"/>
  <c r="C28" i="10" s="1"/>
  <c r="C37" i="10" a="1"/>
  <c r="C37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<sst xmlns="http://schemas.openxmlformats.org/spreadsheetml/2006/main" count="3915" uniqueCount="576">
  <si>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</si>
  <si>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</si>
  <si>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</si>
  <si>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</si>
  <si>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</si>
  <si>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</si>
  <si>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</si>
  <si>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</si>
  <si>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</si>
  <si>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</si>
  <si>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</si>
  <si>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</si>
  <si>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</si>
  <si>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</si>
  <si>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</si>
  <si>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</si>
  <si>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</si>
  <si>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</si>
  <si>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</si>
  <si>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</si>
  <si>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</si>
  <si>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</si>
  <si>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</si>
  <si>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</si>
  <si>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</si>
  <si>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</si>
  <si>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</si>
  <si>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</si>
  <si>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</si>
  <si>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</si>
  <si>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</si>
  <si>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</si>
  <si>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</si>
  <si>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</si>
  <si>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</si>
  <si>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</si>
  <si>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</si>
  <si>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</si>
  <si>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</si>
  <si>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</si>
  <si>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</si>
  <si>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</si>
  <si>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</si>
  <si>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</si>
  <si>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</si>
  <si>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</si>
  <si>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</si>
  <si>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</si>
  <si>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</si>
  <si>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</si>
  <si>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</si>
  <si>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</si>
  <si>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</si>
  <si>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</si>
  <si>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</si>
  <si>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</si>
  <si>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</si>
  <si>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</si>
  <si>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</si>
  <si>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</si>
  <si>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</si>
  <si>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</si>
  <si>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</si>
  <si>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</si>
  <si>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</si>
  <si>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</si>
  <si>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</si>
  <si>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</si>
  <si>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</si>
  <si>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</si>
  <si>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</si>
  <si>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</si>
  <si>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</si>
  <si>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</si>
  <si>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</si>
  <si>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</si>
  <si>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</si>
  <si>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</si>
  <si>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</si>
  <si>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</si>
  <si>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</si>
  <si>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</si>
  <si>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</si>
  <si>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</si>
  <si>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</si>
  <si>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</si>
  <si>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</si>
  <si>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</si>
  <si>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</si>
  <si>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</si>
  <si>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</si>
  <si>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</si>
  <si>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</si>
  <si>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</si>
  <si>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</si>
  <si>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</si>
  <si>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</si>
  <si>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</si>
  <si>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</si>
  <si>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</si>
  <si>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</si>
  <si>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</si>
  <si>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</si>
  <si>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</si>
  <si>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</si>
  <si>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</si>
  <si>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</si>
  <si>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</si>
  <si>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</si>
  <si>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</si>
  <si>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</si>
  <si>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</si>
  <si>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</si>
  <si>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</si>
  <si>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</si>
  <si>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</si>
  <si>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</si>
  <si>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</si>
  <si>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</si>
  <si>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</si>
  <si>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</si>
  <si>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</si>
  <si>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</si>
  <si>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</si>
  <si>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</si>
  <si>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</si>
  <si>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</si>
  <si>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</si>
  <si>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</si>
  <si>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</si>
  <si>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</si>
  <si>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</si>
  <si>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</si>
  <si>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</si>
  <si>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</si>
  <si>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</si>
  <si>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</si>
  <si>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</si>
  <si>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</si>
  <si>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</si>
  <si>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</si>
  <si>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</si>
  <si>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</si>
  <si>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</si>
  <si>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</si>
  <si>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</si>
  <si>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</si>
  <si>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</si>
  <si>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</si>
  <si>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</si>
  <si>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</si>
  <si>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</si>
  <si>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</si>
  <si>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</si>
  <si>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</si>
  <si>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</si>
  <si>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</si>
  <si>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</si>
  <si>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</si>
  <si>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</si>
  <si>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</si>
  <si>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</si>
  <si>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</si>
  <si>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</si>
  <si>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</si>
  <si>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</si>
  <si>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</si>
  <si>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</si>
  <si>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</si>
  <si>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</si>
  <si>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</si>
  <si>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</si>
  <si>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</si>
  <si>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</si>
  <si>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</si>
  <si>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</si>
  <si>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</si>
  <si>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</si>
  <si>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</si>
  <si>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</si>
  <si>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</si>
  <si>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</si>
  <si>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</si>
  <si>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</si>
  <si>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</si>
  <si>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</si>
  <si>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</si>
  <si>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</si>
  <si>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</si>
  <si>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</si>
  <si>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</si>
  <si>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</si>
  <si>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</si>
  <si>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</si>
  <si>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</si>
  <si>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</si>
  <si>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</si>
  <si>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</si>
  <si>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</si>
  <si>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</si>
  <si>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</si>
  <si>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</si>
  <si>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</si>
  <si>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</si>
  <si>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</si>
  <si>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</si>
  <si>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</si>
  <si>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</si>
  <si>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</si>
  <si>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</si>
  <si>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</si>
  <si>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</si>
  <si>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</si>
  <si>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</si>
  <si>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</si>
  <si>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</si>
  <si>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</si>
  <si>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</si>
  <si>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</si>
  <si>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</si>
  <si>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</si>
  <si>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</si>
  <si>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</si>
  <si>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</si>
  <si>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</si>
  <si>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</si>
  <si>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</si>
  <si>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</si>
  <si>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</si>
  <si>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</si>
  <si>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</si>
  <si>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</si>
  <si>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</si>
  <si>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</si>
  <si>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</si>
  <si>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</si>
  <si>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</si>
  <si>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</si>
  <si>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</si>
  <si>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</si>
  <si>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</si>
  <si>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</si>
  <si>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</si>
  <si>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</si>
  <si>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</si>
  <si>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</si>
  <si>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</si>
  <si>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</si>
  <si>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</si>
  <si>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</si>
  <si>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</si>
  <si>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</si>
  <si>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</si>
  <si>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</si>
  <si>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</si>
  <si>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</si>
  <si>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</si>
  <si>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</si>
  <si>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</si>
  <si>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</si>
  <si>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</si>
  <si>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</si>
  <si>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</si>
  <si>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</si>
  <si>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</si>
  <si>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</si>
  <si>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</si>
  <si>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</si>
  <si>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</si>
  <si>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</si>
  <si>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</si>
  <si>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</si>
  <si>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</si>
  <si>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</si>
  <si>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</si>
  <si>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</si>
  <si>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</si>
  <si>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</si>
  <si>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</si>
  <si>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</si>
  <si>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</si>
  <si>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</si>
  <si>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</si>
  <si>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</si>
  <si>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</si>
  <si>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</si>
  <si>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</si>
  <si>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</si>
  <si>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</si>
  <si>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</si>
  <si>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</si>
  <si>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</si>
  <si>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</si>
  <si>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</si>
  <si>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</si>
  <si>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</si>
  <si>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</si>
  <si>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</si>
  <si>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</si>
  <si>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</si>
  <si>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</si>
  <si>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</si>
  <si>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</si>
  <si>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</si>
  <si>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</si>
  <si>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</si>
  <si>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</si>
  <si>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</si>
  <si>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</si>
  <si>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</si>
  <si>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</si>
  <si>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</si>
  <si>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</si>
  <si>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</si>
  <si>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</si>
  <si>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</si>
  <si>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</si>
  <si>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</si>
  <si>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</si>
  <si>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</si>
  <si>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</si>
  <si>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</si>
  <si>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</si>
  <si>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</si>
  <si>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</si>
  <si>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</si>
  <si>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</si>
  <si>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</si>
  <si>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</si>
  <si>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</si>
  <si>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</si>
  <si>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</si>
  <si>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</si>
  <si>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</si>
  <si>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</si>
  <si>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</si>
  <si>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</si>
  <si>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</si>
  <si>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</si>
  <si>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</si>
  <si>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</si>
  <si>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</si>
  <si>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</si>
  <si>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</si>
  <si>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</si>
  <si>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</si>
  <si>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</si>
  <si>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</si>
  <si>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</si>
  <si>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</si>
  <si>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</si>
  <si>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</si>
  <si>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</si>
  <si>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</si>
  <si>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</si>
  <si>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</si>
  <si>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</si>
  <si>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</si>
  <si>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</si>
  <si>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</si>
  <si>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</si>
  <si>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</si>
  <si>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</si>
  <si>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</si>
  <si>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</si>
  <si>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</si>
  <si>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</si>
  <si>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</si>
  <si>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</si>
  <si>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</si>
  <si>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</si>
  <si>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</si>
  <si>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</si>
  <si>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</si>
  <si>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</si>
  <si>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</si>
  <si>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</si>
  <si>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</si>
  <si>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</si>
  <si>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</si>
  <si>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</si>
  <si>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</si>
  <si>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</si>
  <si>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</si>
  <si>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</si>
  <si>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</si>
  <si>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</si>
  <si>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</si>
  <si>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</si>
  <si>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</si>
  <si>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</si>
  <si>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</si>
  <si>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</si>
  <si>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</si>
  <si>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</si>
  <si>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</si>
  <si>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</si>
  <si>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</si>
  <si>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</si>
  <si>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</si>
  <si>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</si>
  <si>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</si>
  <si>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</si>
  <si>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</si>
  <si>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</si>
  <si>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</si>
  <si>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</si>
  <si>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</si>
  <si>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</si>
  <si>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</si>
  <si>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</si>
  <si>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</si>
  <si>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</si>
  <si>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</si>
  <si>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</si>
  <si>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</si>
  <si>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</si>
  <si>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</si>
  <si>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</si>
  <si>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</si>
  <si>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</si>
  <si>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</si>
  <si>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</si>
  <si>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</si>
  <si>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</si>
  <si>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</si>
  <si>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</si>
  <si>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</si>
  <si>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</si>
  <si>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</si>
  <si>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</si>
  <si>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</si>
  <si>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</si>
  <si>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</si>
  <si>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</si>
  <si>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</si>
  <si>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</si>
  <si>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</si>
  <si>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</si>
  <si>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</si>
  <si>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</si>
  <si>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</si>
  <si>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</si>
  <si>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</si>
  <si>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</si>
  <si>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</si>
  <si>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</si>
  <si>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</si>
  <si>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</si>
  <si>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</si>
  <si>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</si>
  <si>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</si>
  <si>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</si>
  <si>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</si>
  <si>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</si>
  <si>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</si>
  <si>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</si>
  <si>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</si>
  <si>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</si>
  <si>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</si>
  <si>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</si>
  <si>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</si>
  <si>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</si>
  <si>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</si>
  <si>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</si>
  <si>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</si>
  <si>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</si>
  <si>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</si>
  <si>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</si>
  <si>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</si>
  <si>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</si>
  <si>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</si>
  <si>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</si>
  <si>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</si>
  <si>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</si>
  <si>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</si>
  <si>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</si>
  <si>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</si>
  <si>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</si>
  <si>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</si>
  <si>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</si>
  <si>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</si>
  <si>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</si>
  <si>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</si>
  <si>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</si>
  <si>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</si>
  <si>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</si>
  <si>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</si>
  <si>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</si>
  <si>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</si>
  <si>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</si>
  <si>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</si>
  <si>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</si>
  <si>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</si>
  <si>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</si>
  <si>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</si>
  <si>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</si>
  <si>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</si>
  <si>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</si>
  <si>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</si>
  <si>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</si>
  <si>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</si>
  <si>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</si>
  <si>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</si>
  <si>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</si>
  <si>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</si>
  <si>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</si>
  <si>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</si>
  <si>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</si>
  <si>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</si>
  <si>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</si>
  <si>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</si>
  <si>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</si>
  <si>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</si>
  <si>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</si>
  <si>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</si>
  <si>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</si>
  <si>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</si>
  <si>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</si>
  <si>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</si>
  <si>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</si>
  <si>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</si>
  <si>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</si>
  <si>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</si>
  <si>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</si>
  <si>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</si>
  <si>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</si>
  <si>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</si>
  <si>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</si>
  <si>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</si>
  <si>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</si>
  <si>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</si>
  <si>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</si>
  <si>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</si>
  <si>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</si>
  <si>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</si>
  <si>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</si>
  <si>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</si>
  <si>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</si>
  <si>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</si>
  <si>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</si>
  <si>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</si>
  <si>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</si>
  <si>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</si>
  <si>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</si>
  <si>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</si>
  <si>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</si>
  <si>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</si>
  <si>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</si>
  <si>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</si>
  <si>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</si>
  <si>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</si>
  <si>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</si>
  <si>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</si>
  <si>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</si>
  <si>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</si>
  <si>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</si>
  <si>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</si>
  <si>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</si>
  <si>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</si>
  <si>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</si>
  <si>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</si>
  <si>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</si>
  <si>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</si>
  <si>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</si>
  <si>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TREU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</si>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</sst>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7" totalsRowShown="0" headerRowDxfId="33" dataDxfId="32">
  <autoFilter ref="B1:AF5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P3" sqref="P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7"/>
  <sheetViews>
    <sheetView zoomScaleNormal="100" zoomScaleSheetLayoutView="100" workbookViewId="0">
      <pane xSplit="6" ySplit="1" topLeftCell="N4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N47" sqref="N47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575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575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s">
        <v>565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7"/>
  <sheetViews>
    <sheetView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A56" sqref="A56:A57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5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5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75"/>
  <sheetViews>
    <sheetView topLeftCell="A47" workbookViewId="0">
      <selection activeCell="A73" sqref="A73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4"/>
        <v>t-dip-db-nsg</v>
      </c>
      <c r="F61" s="82" t="s">
        <v>198</v>
      </c>
      <c r="G61" s="74" t="s">
        <v>450</v>
      </c>
      <c r="H61" s="74" t="s">
        <v>316</v>
      </c>
      <c r="I61" s="74"/>
      <c r="J61" s="74"/>
      <c r="K61" s="74"/>
      <c r="L61" s="74" t="s">
        <v>519</v>
      </c>
      <c r="M61" s="74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DIP</v>
      </c>
      <c r="D62" s="80" t="s">
        <v>198</v>
      </c>
      <c r="E62" s="80" t="str">
        <f t="shared" si="4"/>
        <v>t-dip-pe-nsg</v>
      </c>
      <c r="F62" s="80" t="s">
        <v>198</v>
      </c>
      <c r="G62" s="73" t="s">
        <v>450</v>
      </c>
      <c r="H62" s="73" t="s">
        <v>317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75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566</v>
      </c>
    </row>
    <row r="75" spans="1:13" x14ac:dyDescent="0.3"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566</v>
      </c>
    </row>
  </sheetData>
  <phoneticPr fontId="1" type="noConversion"/>
  <conditionalFormatting sqref="E1:E71 E76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topLeftCell="A10"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0"/>
  <sheetViews>
    <sheetView topLeftCell="A16" workbookViewId="0">
      <selection activeCell="A40" sqref="A39:A40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567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568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570</v>
      </c>
      <c r="Q39" s="85" t="str">
        <f t="shared" si="3"/>
        <v>t-bdp-rlgcweb-lb-bp</v>
      </c>
    </row>
    <row r="40" spans="1:17" x14ac:dyDescent="0.3">
      <c r="A40" s="97"/>
      <c r="B40" s="74" t="s">
        <v>567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569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571</v>
      </c>
      <c r="Q40" s="87" t="str">
        <f t="shared" ref="Q40" si="5">SUBSTITUTE(F40, "hazr-", "")&amp;"-bp"</f>
        <v>t-bdp-rlgcap-lb-bp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58"/>
  <sheetViews>
    <sheetView topLeftCell="A34" workbookViewId="0">
      <selection activeCell="E57" sqref="E57:E58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29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74" t="s">
        <v>182</v>
      </c>
      <c r="C28" s="74" t="str" cm="1">
        <f t="array" ref="C28">UPPER(INDEX(_xlfn.TEXTSPLIT($D28, "-"), 3))</f>
        <v>DIS</v>
      </c>
      <c r="D28" s="74" t="s">
        <v>286</v>
      </c>
      <c r="E28" s="74" t="s">
        <v>289</v>
      </c>
      <c r="F28" s="74" t="str">
        <f t="shared" si="0"/>
        <v>t-dis-web-lb-pb80</v>
      </c>
      <c r="G28" s="74" t="s">
        <v>57</v>
      </c>
      <c r="H28" s="74">
        <v>80</v>
      </c>
      <c r="I28" s="74"/>
      <c r="J28" s="74">
        <v>5</v>
      </c>
      <c r="K28" s="74">
        <v>2</v>
      </c>
    </row>
    <row r="29" spans="1:11" x14ac:dyDescent="0.3">
      <c r="A29" s="97"/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t-dis-web-lb-pb443</v>
      </c>
      <c r="G29" s="74" t="s">
        <v>57</v>
      </c>
      <c r="H29" s="74">
        <v>443</v>
      </c>
      <c r="I29" s="74"/>
      <c r="J29" s="74">
        <v>5</v>
      </c>
      <c r="K29" s="74">
        <v>2</v>
      </c>
    </row>
    <row r="30" spans="1:11" x14ac:dyDescent="0.3">
      <c r="A30" s="97"/>
      <c r="B30" s="84" t="s">
        <v>182</v>
      </c>
      <c r="C30" s="84" t="str" cm="1">
        <f t="array" ref="C30">UPPER(INDEX(_xlfn.TEXTSPLIT($D30, "-"), 3))</f>
        <v>DIS</v>
      </c>
      <c r="D30" s="84" t="s">
        <v>286</v>
      </c>
      <c r="E30" s="84" t="s">
        <v>346</v>
      </c>
      <c r="F30" s="84" t="str">
        <f t="shared" ref="F30:F43" si="2">SUBSTITUTE(E30, "hazr-", "")&amp;"-pb"&amp;H30</f>
        <v>t-dis-drvmsgap-lb-pb8080</v>
      </c>
      <c r="G30" s="84" t="s">
        <v>527</v>
      </c>
      <c r="H30" s="84">
        <v>8080</v>
      </c>
      <c r="I30" s="84"/>
      <c r="J30" s="84">
        <v>5</v>
      </c>
      <c r="K30" s="84">
        <v>2</v>
      </c>
    </row>
    <row r="31" spans="1:11" x14ac:dyDescent="0.3">
      <c r="A31" s="97"/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345</v>
      </c>
      <c r="F31" s="74" t="str">
        <f t="shared" si="2"/>
        <v>t-dis-drvcltap-lb-pb8081</v>
      </c>
      <c r="G31" s="74" t="s">
        <v>57</v>
      </c>
      <c r="H31" s="74">
        <v>8081</v>
      </c>
      <c r="I31" s="74"/>
      <c r="J31" s="74">
        <v>5</v>
      </c>
      <c r="K31" s="74">
        <v>2</v>
      </c>
    </row>
    <row r="32" spans="1:11" x14ac:dyDescent="0.3">
      <c r="A32" s="97"/>
      <c r="B32" s="84" t="s">
        <v>182</v>
      </c>
      <c r="C32" s="84" t="str" cm="1">
        <f t="array" ref="C32">UPPER(INDEX(_xlfn.TEXTSPLIT($D32, "-"), 3))</f>
        <v>DIS</v>
      </c>
      <c r="D32" s="84" t="s">
        <v>286</v>
      </c>
      <c r="E32" s="84" t="s">
        <v>349</v>
      </c>
      <c r="F32" s="84" t="str">
        <f t="shared" si="2"/>
        <v>t-dis-cmsweb-lb-pb80</v>
      </c>
      <c r="G32" s="84" t="s">
        <v>57</v>
      </c>
      <c r="H32" s="84">
        <v>80</v>
      </c>
      <c r="I32" s="84"/>
      <c r="J32" s="84">
        <v>5</v>
      </c>
      <c r="K32" s="8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2"/>
        <v>t-dis-cmsweb-lb-pb443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74" t="s">
        <v>182</v>
      </c>
      <c r="C34" s="74" t="str" cm="1">
        <f t="array" ref="C34">UPPER(INDEX(_xlfn.TEXTSPLIT($D34, "-"), 3))</f>
        <v>DIS</v>
      </c>
      <c r="D34" s="74" t="s">
        <v>286</v>
      </c>
      <c r="E34" s="74" t="s">
        <v>348</v>
      </c>
      <c r="F34" s="74" t="str">
        <f t="shared" si="2"/>
        <v>t-dis-cmsap-lb-pb4001</v>
      </c>
      <c r="G34" s="74" t="s">
        <v>57</v>
      </c>
      <c r="H34" s="74">
        <v>4001</v>
      </c>
      <c r="I34" s="74"/>
      <c r="J34" s="74">
        <v>5</v>
      </c>
      <c r="K34" s="74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347</v>
      </c>
      <c r="F35" s="84" t="str">
        <f t="shared" si="2"/>
        <v>t-dis-cmsadm-lb-pb443</v>
      </c>
      <c r="G35" s="84" t="s">
        <v>57</v>
      </c>
      <c r="H35" s="84">
        <v>443</v>
      </c>
      <c r="I35" s="84"/>
      <c r="J35" s="84">
        <v>5</v>
      </c>
      <c r="K35" s="84">
        <v>2</v>
      </c>
    </row>
    <row r="36" spans="1:11" x14ac:dyDescent="0.3">
      <c r="A36" s="97"/>
      <c r="B36" s="74" t="s">
        <v>182</v>
      </c>
      <c r="C36" s="74" t="str" cm="1">
        <f t="array" ref="C36">UPPER(INDEX(_xlfn.TEXTSPLIT($D36, "-"), 3))</f>
        <v>DIS</v>
      </c>
      <c r="D36" s="74" t="s">
        <v>286</v>
      </c>
      <c r="E36" s="74" t="s">
        <v>350</v>
      </c>
      <c r="F36" s="74" t="str">
        <f t="shared" si="2"/>
        <v>t-dis-cmbsap-lb-pb8080</v>
      </c>
      <c r="G36" s="74" t="s">
        <v>527</v>
      </c>
      <c r="H36" s="74">
        <v>8080</v>
      </c>
      <c r="I36" s="74"/>
      <c r="J36" s="74">
        <v>5</v>
      </c>
      <c r="K36" s="74">
        <v>2</v>
      </c>
    </row>
    <row r="37" spans="1:11" x14ac:dyDescent="0.3">
      <c r="A37" s="97"/>
      <c r="B37" s="84" t="s">
        <v>182</v>
      </c>
      <c r="C37" s="84" t="str" cm="1">
        <f t="array" ref="C37">UPPER(INDEX(_xlfn.TEXTSPLIT($D37, "-"), 3))</f>
        <v>DIS</v>
      </c>
      <c r="D37" s="84" t="s">
        <v>286</v>
      </c>
      <c r="E37" s="84" t="s">
        <v>342</v>
      </c>
      <c r="F37" s="84" t="str">
        <f t="shared" si="2"/>
        <v>t-dis-bbiweb-lb-pb443</v>
      </c>
      <c r="G37" s="84" t="s">
        <v>57</v>
      </c>
      <c r="H37" s="84">
        <v>443</v>
      </c>
      <c r="I37" s="84"/>
      <c r="J37" s="84">
        <v>5</v>
      </c>
      <c r="K37" s="84">
        <v>2</v>
      </c>
    </row>
    <row r="38" spans="1:11" x14ac:dyDescent="0.3">
      <c r="A38" s="97"/>
      <c r="B38" s="74" t="s">
        <v>182</v>
      </c>
      <c r="C38" s="74" t="str" cm="1">
        <f t="array" ref="C38">UPPER(INDEX(_xlfn.TEXTSPLIT($D38, "-"), 3))</f>
        <v>DIS</v>
      </c>
      <c r="D38" s="74" t="s">
        <v>286</v>
      </c>
      <c r="E38" s="74" t="s">
        <v>344</v>
      </c>
      <c r="F38" s="74" t="str">
        <f t="shared" si="2"/>
        <v>t-dis-bbimsgap-lb-pb20030</v>
      </c>
      <c r="G38" s="74" t="s">
        <v>527</v>
      </c>
      <c r="H38" s="74">
        <v>20030</v>
      </c>
      <c r="I38" s="74"/>
      <c r="J38" s="74">
        <v>5</v>
      </c>
      <c r="K38" s="74">
        <v>2</v>
      </c>
    </row>
    <row r="39" spans="1:11" x14ac:dyDescent="0.3">
      <c r="A39" s="97"/>
      <c r="B39" s="84" t="s">
        <v>182</v>
      </c>
      <c r="C39" s="84" t="str" cm="1">
        <f t="array" ref="C39">UPPER(INDEX(_xlfn.TEXTSPLIT($D39, "-"), 3))</f>
        <v>DIS</v>
      </c>
      <c r="D39" s="84" t="s">
        <v>286</v>
      </c>
      <c r="E39" s="84" t="s">
        <v>343</v>
      </c>
      <c r="F39" s="84" t="str">
        <f t="shared" si="2"/>
        <v>t-dis-bbicltap-lb-pb20000</v>
      </c>
      <c r="G39" s="84" t="s">
        <v>527</v>
      </c>
      <c r="H39" s="84">
        <v>20000</v>
      </c>
      <c r="I39" s="84"/>
      <c r="J39" s="84">
        <v>5</v>
      </c>
      <c r="K39" s="8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2"/>
        <v>t-dis-bbicltap-lb-pb21000</v>
      </c>
      <c r="G40" s="84" t="s">
        <v>527</v>
      </c>
      <c r="H40" s="84">
        <v>21000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2"/>
        <v>t-dis-bbicltap-lb-pb22000</v>
      </c>
      <c r="G41" s="84" t="s">
        <v>527</v>
      </c>
      <c r="H41" s="84">
        <v>22000</v>
      </c>
      <c r="I41" s="84"/>
      <c r="J41" s="84">
        <v>5</v>
      </c>
      <c r="K41" s="84">
        <v>2</v>
      </c>
    </row>
    <row r="42" spans="1:11" x14ac:dyDescent="0.3">
      <c r="B42" s="74" t="s">
        <v>182</v>
      </c>
      <c r="C42" s="74" t="str" cm="1">
        <f t="array" ref="C42">UPPER(INDEX(_xlfn.TEXTSPLIT($D42, "-"), 3))</f>
        <v>DIS</v>
      </c>
      <c r="D42" s="74" t="s">
        <v>286</v>
      </c>
      <c r="E42" s="74" t="s">
        <v>287</v>
      </c>
      <c r="F42" s="74" t="str">
        <f t="shared" si="2"/>
        <v>t-dis-ap-lb-pb8080</v>
      </c>
      <c r="G42" s="74" t="s">
        <v>57</v>
      </c>
      <c r="H42" s="74">
        <v>8080</v>
      </c>
      <c r="I42" s="74"/>
      <c r="J42" s="74">
        <v>5</v>
      </c>
      <c r="K42" s="74">
        <v>2</v>
      </c>
    </row>
    <row r="43" spans="1:11" x14ac:dyDescent="0.3">
      <c r="B43" s="84" t="s">
        <v>182</v>
      </c>
      <c r="C43" s="84" t="str" cm="1">
        <f t="array" ref="C43">UPPER(INDEX(_xlfn.TEXTSPLIT($D43, "-"), 3))</f>
        <v>DIS</v>
      </c>
      <c r="D43" s="84" t="s">
        <v>286</v>
      </c>
      <c r="E43" s="84" t="s">
        <v>341</v>
      </c>
      <c r="F43" s="84" t="str">
        <f t="shared" si="2"/>
        <v>t-dis-adm-lb-pb443</v>
      </c>
      <c r="G43" s="84" t="s">
        <v>57</v>
      </c>
      <c r="H43" s="84">
        <v>443</v>
      </c>
      <c r="I43" s="84"/>
      <c r="J43" s="84">
        <v>5</v>
      </c>
      <c r="K43" s="84">
        <v>2</v>
      </c>
    </row>
    <row r="44" spans="1:11" x14ac:dyDescent="0.3">
      <c r="B44" s="74" t="s">
        <v>182</v>
      </c>
      <c r="C44" s="74"/>
      <c r="D44" s="74" t="s">
        <v>205</v>
      </c>
      <c r="E44" s="74" t="s">
        <v>369</v>
      </c>
      <c r="F44" s="74" t="str">
        <f t="shared" ref="F44:F54" si="3">SUBSTITUTE(E44, "hazr-", "")&amp;"-pb"&amp;H44</f>
        <v>t-cs-chtweb-lb-pb</v>
      </c>
      <c r="G44" s="74"/>
      <c r="H44" s="74"/>
      <c r="I44" s="74"/>
      <c r="J44" s="74">
        <v>5</v>
      </c>
      <c r="K44" s="74">
        <v>2</v>
      </c>
    </row>
    <row r="45" spans="1:11" x14ac:dyDescent="0.3">
      <c r="B45" s="84" t="s">
        <v>182</v>
      </c>
      <c r="C45" s="84"/>
      <c r="D45" s="84" t="s">
        <v>205</v>
      </c>
      <c r="E45" s="84" t="s">
        <v>370</v>
      </c>
      <c r="F45" s="84" t="str">
        <f t="shared" si="3"/>
        <v>t-cs-chtintweb-lb-pb</v>
      </c>
      <c r="G45" s="84"/>
      <c r="H45" s="84"/>
      <c r="I45" s="84"/>
      <c r="J45" s="84">
        <v>5</v>
      </c>
      <c r="K45" s="84">
        <v>2</v>
      </c>
    </row>
    <row r="46" spans="1:11" x14ac:dyDescent="0.3">
      <c r="B46" s="74" t="s">
        <v>182</v>
      </c>
      <c r="C46" s="74"/>
      <c r="D46" s="74" t="s">
        <v>205</v>
      </c>
      <c r="E46" s="74" t="s">
        <v>368</v>
      </c>
      <c r="F46" s="74" t="str">
        <f t="shared" si="3"/>
        <v>t-cs-chtap-lb-pb</v>
      </c>
      <c r="G46" s="74"/>
      <c r="H46" s="74"/>
      <c r="I46" s="74"/>
      <c r="J46" s="74">
        <v>5</v>
      </c>
      <c r="K46" s="74">
        <v>2</v>
      </c>
    </row>
    <row r="47" spans="1:11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534</v>
      </c>
      <c r="F47" s="74" t="str">
        <f t="shared" si="3"/>
        <v>t-if-auth-lb-pb8088</v>
      </c>
      <c r="G47" s="74" t="s">
        <v>57</v>
      </c>
      <c r="H47" s="74">
        <v>8088</v>
      </c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3"/>
        <v>t-if-auth-lb-pb9003</v>
      </c>
      <c r="G48" s="74" t="s">
        <v>57</v>
      </c>
      <c r="H48" s="74">
        <v>9003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3"/>
        <v>t-if-auth-lb-pb9005</v>
      </c>
      <c r="G49" s="74" t="s">
        <v>57</v>
      </c>
      <c r="H49" s="74">
        <v>9005</v>
      </c>
      <c r="I49" s="74"/>
      <c r="J49" s="74">
        <v>5</v>
      </c>
      <c r="K49" s="74">
        <v>2</v>
      </c>
    </row>
    <row r="50" spans="1:11" x14ac:dyDescent="0.3">
      <c r="A50" s="97"/>
      <c r="B50" s="84" t="s">
        <v>182</v>
      </c>
      <c r="C50" s="84" t="str" cm="1">
        <f t="array" ref="C50">UPPER(INDEX(_xlfn.TEXTSPLIT($D50, "-"), 3))</f>
        <v>BDP</v>
      </c>
      <c r="D50" s="84" t="s">
        <v>375</v>
      </c>
      <c r="E50" s="84" t="s">
        <v>367</v>
      </c>
      <c r="F50" s="84" t="str">
        <f t="shared" si="3"/>
        <v>t-bdp-slap-lb-pb443</v>
      </c>
      <c r="G50" s="84" t="s">
        <v>527</v>
      </c>
      <c r="H50" s="84">
        <v>443</v>
      </c>
      <c r="I50" s="84"/>
      <c r="J50" s="84">
        <v>5</v>
      </c>
      <c r="K50" s="84">
        <v>2</v>
      </c>
    </row>
    <row r="51" spans="1:11" x14ac:dyDescent="0.3">
      <c r="A51" s="97"/>
      <c r="B51" s="74" t="s">
        <v>182</v>
      </c>
      <c r="C51" s="74" t="str" cm="1">
        <f t="array" ref="C51">UPPER(INDEX(_xlfn.TEXTSPLIT($D51, "-"), 3))</f>
        <v>BDP</v>
      </c>
      <c r="D51" s="74" t="s">
        <v>375</v>
      </c>
      <c r="E51" s="74" t="s">
        <v>366</v>
      </c>
      <c r="F51" s="74" t="str">
        <f t="shared" si="3"/>
        <v>t-bdp-cxmadm-lb-pb443</v>
      </c>
      <c r="G51" s="74" t="s">
        <v>527</v>
      </c>
      <c r="H51" s="74">
        <v>443</v>
      </c>
      <c r="I51" s="74"/>
      <c r="J51" s="74">
        <v>5</v>
      </c>
      <c r="K51" s="74">
        <v>2</v>
      </c>
    </row>
    <row r="52" spans="1:11" x14ac:dyDescent="0.3">
      <c r="A52" s="97"/>
      <c r="B52" s="84" t="s">
        <v>182</v>
      </c>
      <c r="C52" s="84" t="str" cm="1">
        <f t="array" ref="C52">UPPER(INDEX(_xlfn.TEXTSPLIT($D52, "-"), 3))</f>
        <v>BDP</v>
      </c>
      <c r="D52" s="84" t="s">
        <v>375</v>
      </c>
      <c r="E52" s="84" t="s">
        <v>371</v>
      </c>
      <c r="F52" s="84" t="str">
        <f t="shared" si="3"/>
        <v>t-bdp-crkweb-lb-pb443</v>
      </c>
      <c r="G52" s="84" t="s">
        <v>57</v>
      </c>
      <c r="H52" s="84">
        <v>443</v>
      </c>
      <c r="I52" s="84"/>
      <c r="J52" s="84">
        <v>5</v>
      </c>
      <c r="K52" s="84">
        <v>2</v>
      </c>
    </row>
    <row r="53" spans="1:11" x14ac:dyDescent="0.3">
      <c r="A53" s="97"/>
      <c r="B53" s="74" t="s">
        <v>182</v>
      </c>
      <c r="C53" s="74" t="str" cm="1">
        <f t="array" ref="C53">UPPER(INDEX(_xlfn.TEXTSPLIT($D53, "-"), 3))</f>
        <v>BDP</v>
      </c>
      <c r="D53" s="74" t="s">
        <v>375</v>
      </c>
      <c r="E53" s="74" t="s">
        <v>373</v>
      </c>
      <c r="F53" s="74" t="str">
        <f t="shared" si="3"/>
        <v>t-bdp-crkml-lb-pb8082</v>
      </c>
      <c r="G53" s="74" t="s">
        <v>57</v>
      </c>
      <c r="H53" s="74">
        <v>8082</v>
      </c>
      <c r="I53" s="74"/>
      <c r="J53" s="74">
        <v>5</v>
      </c>
      <c r="K53" s="74">
        <v>2</v>
      </c>
    </row>
    <row r="54" spans="1:11" x14ac:dyDescent="0.3">
      <c r="A54" s="97"/>
      <c r="B54" s="84" t="s">
        <v>182</v>
      </c>
      <c r="C54" s="84" t="str" cm="1">
        <f t="array" ref="C54">UPPER(INDEX(_xlfn.TEXTSPLIT($D54, "-"), 3))</f>
        <v>BDP</v>
      </c>
      <c r="D54" s="84" t="s">
        <v>375</v>
      </c>
      <c r="E54" s="84" t="s">
        <v>372</v>
      </c>
      <c r="F54" s="84" t="str">
        <f t="shared" si="3"/>
        <v>t-bdp-crkap-lb-pb8085</v>
      </c>
      <c r="G54" s="84" t="s">
        <v>57</v>
      </c>
      <c r="H54" s="84">
        <v>8085</v>
      </c>
      <c r="I54" s="84"/>
      <c r="J54" s="84">
        <v>5</v>
      </c>
      <c r="K54" s="8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DTG</v>
      </c>
      <c r="D55" s="74" t="s">
        <v>374</v>
      </c>
      <c r="E55" s="74" t="s">
        <v>553</v>
      </c>
      <c r="F55" s="74" t="str">
        <f t="shared" ref="F55" si="4">SUBSTITUTE(E55, "hazr-", "")&amp;"-pb"&amp;H55</f>
        <v>t-dtg-bbigeoap-lb-pb8089</v>
      </c>
      <c r="G55" s="74" t="s">
        <v>57</v>
      </c>
      <c r="H55" s="74">
        <v>8089</v>
      </c>
      <c r="I55" s="74"/>
      <c r="J55" s="74">
        <v>5</v>
      </c>
      <c r="K55" s="7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" si="5">SUBSTITUTE(E56, "hazr-", "")&amp;"-pb"&amp;H56</f>
        <v>t-dtg-bbigeoap-lb-pb9089</v>
      </c>
      <c r="G56" s="74" t="s">
        <v>57</v>
      </c>
      <c r="H56" s="74">
        <v>9089</v>
      </c>
      <c r="I56" s="74"/>
      <c r="J56" s="74">
        <v>5</v>
      </c>
      <c r="K56" s="74">
        <v>2</v>
      </c>
    </row>
    <row r="57" spans="1:11" x14ac:dyDescent="0.3">
      <c r="B57" s="84" t="s">
        <v>567</v>
      </c>
      <c r="C57" s="84" t="str" cm="1">
        <f t="array" ref="C57">UPPER(INDEX(_xlfn.TEXTSPLIT($D57, "-"), 3))</f>
        <v>BDP</v>
      </c>
      <c r="D57" s="84" t="s">
        <v>572</v>
      </c>
      <c r="E57" s="84" t="s">
        <v>568</v>
      </c>
      <c r="F57" s="84"/>
      <c r="G57" s="84" t="s">
        <v>573</v>
      </c>
      <c r="H57" s="84"/>
      <c r="I57" s="84"/>
      <c r="J57" s="84">
        <v>5</v>
      </c>
      <c r="K57" s="84">
        <v>2</v>
      </c>
    </row>
    <row r="58" spans="1:11" x14ac:dyDescent="0.3">
      <c r="B58" s="74" t="s">
        <v>182</v>
      </c>
      <c r="C58" s="74" t="str" cm="1">
        <f t="array" ref="C58">UPPER(INDEX(_xlfn.TEXTSPLIT($D58, "-"), 3))</f>
        <v>BDP</v>
      </c>
      <c r="D58" s="74" t="s">
        <v>375</v>
      </c>
      <c r="E58" s="74" t="s">
        <v>569</v>
      </c>
      <c r="F58" s="74"/>
      <c r="G58" s="74" t="s">
        <v>57</v>
      </c>
      <c r="H58" s="74"/>
      <c r="I58" s="74"/>
      <c r="J58" s="74">
        <v>5</v>
      </c>
      <c r="K58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58"/>
  <sheetViews>
    <sheetView tabSelected="1" topLeftCell="F43" workbookViewId="0">
      <selection activeCell="L57" sqref="L57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29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29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DIS</v>
      </c>
      <c r="C28" s="74" t="s">
        <v>286</v>
      </c>
      <c r="D28" s="74" t="s">
        <v>289</v>
      </c>
      <c r="E28" s="74" t="str">
        <f t="shared" ref="E28:E43" si="8">SUBSTITUTE(D28, "hazr-", "")&amp;"-rule"&amp;N28</f>
        <v>t-dis-web-lb-rule80</v>
      </c>
      <c r="F28" s="74" t="str">
        <f t="shared" si="1"/>
        <v>t-dis-web-lb-fe</v>
      </c>
      <c r="G28" s="74" t="s">
        <v>57</v>
      </c>
      <c r="H28" s="74">
        <v>80</v>
      </c>
      <c r="I28" s="74" t="b">
        <v>0</v>
      </c>
      <c r="J28" s="74" t="str">
        <f t="shared" si="2"/>
        <v>t-dis-web-lb-bp</v>
      </c>
      <c r="K28" s="74">
        <v>80</v>
      </c>
      <c r="L28" s="74" t="str">
        <f t="shared" ref="L28:L43" si="9">SUBSTITUTE(D28, "hazr-", "")&amp;"-pb"&amp;IF(N28="", "", N28)</f>
        <v>t-dis-web-lb-pb80</v>
      </c>
      <c r="M28" s="74" t="s">
        <v>57</v>
      </c>
      <c r="N28" s="74">
        <v>80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si="8"/>
        <v>t-dis-web-lb-rule443</v>
      </c>
      <c r="F29" s="74" t="str">
        <f t="shared" si="1"/>
        <v>t-dis-web-lb-fe</v>
      </c>
      <c r="G29" s="74" t="s">
        <v>57</v>
      </c>
      <c r="H29" s="74">
        <v>443</v>
      </c>
      <c r="I29" s="74" t="b">
        <v>0</v>
      </c>
      <c r="J29" s="74" t="str">
        <f t="shared" si="2"/>
        <v>t-dis-web-lb-bp</v>
      </c>
      <c r="K29" s="74">
        <v>443</v>
      </c>
      <c r="L29" s="74" t="str">
        <f t="shared" si="9"/>
        <v>t-dis-web-lb-pb443</v>
      </c>
      <c r="M29" s="74" t="s">
        <v>57</v>
      </c>
      <c r="N29" s="74">
        <v>443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84" t="s">
        <v>182</v>
      </c>
      <c r="B30" s="84" t="str" cm="1">
        <f t="array" ref="B30">UPPER(INDEX(_xlfn.TEXTSPLIT($C30, "-"), 3))</f>
        <v>DIS</v>
      </c>
      <c r="C30" s="84" t="s">
        <v>286</v>
      </c>
      <c r="D30" s="84" t="s">
        <v>346</v>
      </c>
      <c r="E30" s="84" t="str">
        <f t="shared" si="8"/>
        <v>t-dis-drvmsgap-lb-rule8080</v>
      </c>
      <c r="F30" s="84" t="str">
        <f t="shared" ref="F30:F43" si="10">SUBSTITUTE(D30, "hazr-", "")&amp;"-fe"</f>
        <v>t-dis-drvmsgap-lb-fe</v>
      </c>
      <c r="G30" s="84" t="s">
        <v>57</v>
      </c>
      <c r="H30" s="84">
        <v>8080</v>
      </c>
      <c r="I30" s="84" t="b">
        <v>0</v>
      </c>
      <c r="J30" s="84" t="str">
        <f t="shared" ref="J30:J43" si="11">SUBSTITUTE(D30, "hazr-", "")&amp;"-bp"</f>
        <v>t-dis-drvmsgap-lb-bp</v>
      </c>
      <c r="K30" s="84">
        <v>8080</v>
      </c>
      <c r="L30" s="84" t="str">
        <f t="shared" si="9"/>
        <v>t-dis-drvmsgap-lb-pb8080</v>
      </c>
      <c r="M30" s="84" t="s">
        <v>527</v>
      </c>
      <c r="N30" s="84">
        <v>8080</v>
      </c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345</v>
      </c>
      <c r="E31" s="74" t="str">
        <f t="shared" si="8"/>
        <v>t-dis-drvcltap-lb-rule8081</v>
      </c>
      <c r="F31" s="74" t="str">
        <f t="shared" si="10"/>
        <v>t-dis-drvcltap-lb-fe</v>
      </c>
      <c r="G31" s="74" t="s">
        <v>57</v>
      </c>
      <c r="H31" s="74">
        <v>8081</v>
      </c>
      <c r="I31" s="74" t="b">
        <v>0</v>
      </c>
      <c r="J31" s="74" t="str">
        <f t="shared" si="11"/>
        <v>t-dis-drvcltap-lb-bp</v>
      </c>
      <c r="K31" s="74">
        <v>8081</v>
      </c>
      <c r="L31" s="74" t="str">
        <f t="shared" si="9"/>
        <v>t-dis-drvcltap-lb-pb8081</v>
      </c>
      <c r="M31" s="74" t="s">
        <v>57</v>
      </c>
      <c r="N31" s="74">
        <v>8081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84" t="s">
        <v>182</v>
      </c>
      <c r="B32" s="84" t="str" cm="1">
        <f t="array" ref="B32">UPPER(INDEX(_xlfn.TEXTSPLIT($C32, "-"), 3))</f>
        <v>DIS</v>
      </c>
      <c r="C32" s="84" t="s">
        <v>286</v>
      </c>
      <c r="D32" s="84" t="s">
        <v>349</v>
      </c>
      <c r="E32" s="84" t="str">
        <f t="shared" si="8"/>
        <v>t-dis-cmsweb-lb-rule80</v>
      </c>
      <c r="F32" s="84" t="str">
        <f t="shared" si="10"/>
        <v>t-dis-cmsweb-lb-fe</v>
      </c>
      <c r="G32" s="84" t="s">
        <v>57</v>
      </c>
      <c r="H32" s="84">
        <v>80</v>
      </c>
      <c r="I32" s="84" t="b">
        <v>0</v>
      </c>
      <c r="J32" s="84" t="str">
        <f t="shared" si="11"/>
        <v>t-dis-cmsweb-lb-bp</v>
      </c>
      <c r="K32" s="84">
        <v>80</v>
      </c>
      <c r="L32" s="84" t="str">
        <f t="shared" si="9"/>
        <v>t-dis-cmsweb-lb-pb80</v>
      </c>
      <c r="M32" s="84" t="s">
        <v>57</v>
      </c>
      <c r="N32" s="84">
        <v>80</v>
      </c>
      <c r="O32" s="84">
        <v>4</v>
      </c>
      <c r="P32" s="84" t="s">
        <v>123</v>
      </c>
      <c r="Q32" s="84" t="b">
        <v>1</v>
      </c>
      <c r="R32" s="8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8"/>
        <v>t-dis-cmsweb-lb-rule443</v>
      </c>
      <c r="F33" s="84" t="str">
        <f t="shared" si="10"/>
        <v>t-dis-cmsweb-lb-fe</v>
      </c>
      <c r="G33" s="84" t="s">
        <v>57</v>
      </c>
      <c r="H33" s="84">
        <v>443</v>
      </c>
      <c r="I33" s="84" t="b">
        <v>0</v>
      </c>
      <c r="J33" s="84" t="str">
        <f t="shared" si="11"/>
        <v>t-dis-cmsweb-lb-bp</v>
      </c>
      <c r="K33" s="84">
        <v>443</v>
      </c>
      <c r="L33" s="84" t="str">
        <f t="shared" si="9"/>
        <v>t-dis-cmsweb-lb-pb443</v>
      </c>
      <c r="M33" s="84" t="s">
        <v>57</v>
      </c>
      <c r="N33" s="84">
        <v>443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74" t="s">
        <v>182</v>
      </c>
      <c r="B34" s="74" t="str" cm="1">
        <f t="array" ref="B34">UPPER(INDEX(_xlfn.TEXTSPLIT($C34, "-"), 3))</f>
        <v>DIS</v>
      </c>
      <c r="C34" s="74" t="s">
        <v>286</v>
      </c>
      <c r="D34" s="74" t="s">
        <v>348</v>
      </c>
      <c r="E34" s="74" t="str">
        <f t="shared" si="8"/>
        <v>t-dis-cmsap-lb-rule4001</v>
      </c>
      <c r="F34" s="74" t="str">
        <f t="shared" si="10"/>
        <v>t-dis-cmsap-lb-fe</v>
      </c>
      <c r="G34" s="74" t="s">
        <v>57</v>
      </c>
      <c r="H34" s="74">
        <v>4001</v>
      </c>
      <c r="I34" s="74" t="b">
        <v>0</v>
      </c>
      <c r="J34" s="74" t="str">
        <f t="shared" si="11"/>
        <v>t-dis-cmsap-lb-bp</v>
      </c>
      <c r="K34" s="74">
        <v>4001</v>
      </c>
      <c r="L34" s="74" t="str">
        <f t="shared" si="9"/>
        <v>t-dis-cmsap-lb-pb4001</v>
      </c>
      <c r="M34" s="74" t="s">
        <v>57</v>
      </c>
      <c r="N34" s="74">
        <v>4001</v>
      </c>
      <c r="O34" s="74">
        <v>4</v>
      </c>
      <c r="P34" s="74" t="s">
        <v>123</v>
      </c>
      <c r="Q34" s="74" t="b">
        <v>1</v>
      </c>
      <c r="R34" s="74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347</v>
      </c>
      <c r="E35" s="84" t="str">
        <f t="shared" si="8"/>
        <v>t-dis-cmsadm-lb-rule443</v>
      </c>
      <c r="F35" s="84" t="str">
        <f t="shared" si="10"/>
        <v>t-dis-cmsadm-lb-fe</v>
      </c>
      <c r="G35" s="84" t="s">
        <v>57</v>
      </c>
      <c r="H35" s="84">
        <v>443</v>
      </c>
      <c r="I35" s="84" t="b">
        <v>0</v>
      </c>
      <c r="J35" s="84" t="str">
        <f t="shared" si="11"/>
        <v>t-dis-cmsadm-lb-bp</v>
      </c>
      <c r="K35" s="84">
        <v>443</v>
      </c>
      <c r="L35" s="84" t="str">
        <f t="shared" si="9"/>
        <v>t-dis-cmsadm-lb-pb443</v>
      </c>
      <c r="M35" s="84" t="s">
        <v>57</v>
      </c>
      <c r="N35" s="84">
        <v>443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74" t="s">
        <v>182</v>
      </c>
      <c r="B36" s="74" t="str" cm="1">
        <f t="array" ref="B36">UPPER(INDEX(_xlfn.TEXTSPLIT($C36, "-"), 3))</f>
        <v>DIS</v>
      </c>
      <c r="C36" s="74" t="s">
        <v>286</v>
      </c>
      <c r="D36" s="74" t="s">
        <v>350</v>
      </c>
      <c r="E36" s="74" t="str">
        <f t="shared" si="8"/>
        <v>t-dis-cmbsap-lb-rule8080</v>
      </c>
      <c r="F36" s="74" t="str">
        <f t="shared" si="10"/>
        <v>t-dis-cmbsap-lb-fe</v>
      </c>
      <c r="G36" s="74" t="s">
        <v>57</v>
      </c>
      <c r="H36" s="74">
        <v>8080</v>
      </c>
      <c r="I36" s="74" t="b">
        <v>0</v>
      </c>
      <c r="J36" s="74" t="str">
        <f t="shared" si="11"/>
        <v>t-dis-cmbsap-lb-bp</v>
      </c>
      <c r="K36" s="74">
        <v>8080</v>
      </c>
      <c r="L36" s="74" t="str">
        <f t="shared" si="9"/>
        <v>t-dis-cmbsap-lb-pb8080</v>
      </c>
      <c r="M36" s="74" t="s">
        <v>527</v>
      </c>
      <c r="N36" s="74">
        <v>8080</v>
      </c>
      <c r="O36" s="74">
        <v>4</v>
      </c>
      <c r="P36" s="74" t="s">
        <v>123</v>
      </c>
      <c r="Q36" s="74" t="b">
        <v>1</v>
      </c>
      <c r="R36" s="74" t="b">
        <v>0</v>
      </c>
    </row>
    <row r="37" spans="1:18" x14ac:dyDescent="0.3">
      <c r="A37" s="84" t="s">
        <v>182</v>
      </c>
      <c r="B37" s="84" t="str" cm="1">
        <f t="array" ref="B37">UPPER(INDEX(_xlfn.TEXTSPLIT($C37, "-"), 3))</f>
        <v>DIS</v>
      </c>
      <c r="C37" s="84" t="s">
        <v>286</v>
      </c>
      <c r="D37" s="84" t="s">
        <v>342</v>
      </c>
      <c r="E37" s="84" t="str">
        <f t="shared" si="8"/>
        <v>t-dis-bbiweb-lb-rule443</v>
      </c>
      <c r="F37" s="84" t="str">
        <f t="shared" si="10"/>
        <v>t-dis-bbiweb-lb-fe</v>
      </c>
      <c r="G37" s="84" t="s">
        <v>57</v>
      </c>
      <c r="H37" s="84">
        <v>443</v>
      </c>
      <c r="I37" s="84" t="b">
        <v>0</v>
      </c>
      <c r="J37" s="84" t="str">
        <f t="shared" si="11"/>
        <v>t-dis-bbiweb-lb-bp</v>
      </c>
      <c r="K37" s="84">
        <v>443</v>
      </c>
      <c r="L37" s="84" t="str">
        <f t="shared" si="9"/>
        <v>t-dis-bbiweb-lb-pb443</v>
      </c>
      <c r="M37" s="84" t="s">
        <v>57</v>
      </c>
      <c r="N37" s="84">
        <v>443</v>
      </c>
      <c r="O37" s="84">
        <v>4</v>
      </c>
      <c r="P37" s="84" t="s">
        <v>123</v>
      </c>
      <c r="Q37" s="84" t="b">
        <v>1</v>
      </c>
      <c r="R37" s="84" t="b">
        <v>0</v>
      </c>
    </row>
    <row r="38" spans="1:18" x14ac:dyDescent="0.3">
      <c r="A38" s="74" t="s">
        <v>182</v>
      </c>
      <c r="B38" s="74" t="str" cm="1">
        <f t="array" ref="B38">UPPER(INDEX(_xlfn.TEXTSPLIT($C38, "-"), 3))</f>
        <v>DIS</v>
      </c>
      <c r="C38" s="74" t="s">
        <v>286</v>
      </c>
      <c r="D38" s="74" t="s">
        <v>344</v>
      </c>
      <c r="E38" s="74" t="str">
        <f t="shared" si="8"/>
        <v>t-dis-bbimsgap-lb-rule20030</v>
      </c>
      <c r="F38" s="74" t="str">
        <f t="shared" si="10"/>
        <v>t-dis-bbimsgap-lb-fe</v>
      </c>
      <c r="G38" s="74" t="s">
        <v>57</v>
      </c>
      <c r="H38" s="74">
        <v>20030</v>
      </c>
      <c r="I38" s="74" t="b">
        <v>0</v>
      </c>
      <c r="J38" s="74" t="str">
        <f t="shared" si="11"/>
        <v>t-dis-bbimsgap-lb-bp</v>
      </c>
      <c r="K38" s="74">
        <v>20030</v>
      </c>
      <c r="L38" s="74" t="str">
        <f t="shared" si="9"/>
        <v>t-dis-bbimsgap-lb-pb20030</v>
      </c>
      <c r="M38" s="74" t="s">
        <v>527</v>
      </c>
      <c r="N38" s="74">
        <v>20030</v>
      </c>
      <c r="O38" s="74">
        <v>4</v>
      </c>
      <c r="P38" s="74" t="s">
        <v>123</v>
      </c>
      <c r="Q38" s="74" t="b">
        <v>1</v>
      </c>
      <c r="R38" s="74" t="b">
        <v>0</v>
      </c>
    </row>
    <row r="39" spans="1:18" x14ac:dyDescent="0.3">
      <c r="A39" s="84" t="s">
        <v>182</v>
      </c>
      <c r="B39" s="84" t="str" cm="1">
        <f t="array" ref="B39">UPPER(INDEX(_xlfn.TEXTSPLIT($C39, "-"), 3))</f>
        <v>DIS</v>
      </c>
      <c r="C39" s="84" t="s">
        <v>286</v>
      </c>
      <c r="D39" s="84" t="s">
        <v>343</v>
      </c>
      <c r="E39" s="84" t="str">
        <f t="shared" si="8"/>
        <v>t-dis-bbicltap-lb-rule20000</v>
      </c>
      <c r="F39" s="84" t="str">
        <f t="shared" si="10"/>
        <v>t-dis-bbicltap-lb-fe</v>
      </c>
      <c r="G39" s="84" t="s">
        <v>57</v>
      </c>
      <c r="H39" s="84">
        <v>20000</v>
      </c>
      <c r="I39" s="84" t="b">
        <v>0</v>
      </c>
      <c r="J39" s="84" t="str">
        <f t="shared" si="11"/>
        <v>t-dis-bbicltap-lb-bp</v>
      </c>
      <c r="K39" s="84">
        <v>20000</v>
      </c>
      <c r="L39" s="84" t="str">
        <f t="shared" si="9"/>
        <v>t-dis-bbicltap-lb-pb20000</v>
      </c>
      <c r="M39" s="84" t="s">
        <v>527</v>
      </c>
      <c r="N39" s="84">
        <v>20000</v>
      </c>
      <c r="O39" s="84">
        <v>4</v>
      </c>
      <c r="P39" s="84" t="s">
        <v>123</v>
      </c>
      <c r="Q39" s="84" t="b">
        <v>1</v>
      </c>
      <c r="R39" s="8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8"/>
        <v>t-dis-bbicltap-lb-rule21000</v>
      </c>
      <c r="F40" s="84" t="str">
        <f t="shared" si="10"/>
        <v>t-dis-bbicltap-lb-fe</v>
      </c>
      <c r="G40" s="84" t="s">
        <v>57</v>
      </c>
      <c r="H40" s="84">
        <v>21000</v>
      </c>
      <c r="I40" s="84" t="b">
        <v>0</v>
      </c>
      <c r="J40" s="84" t="str">
        <f t="shared" si="11"/>
        <v>t-dis-bbicltap-lb-bp</v>
      </c>
      <c r="K40" s="84">
        <v>21000</v>
      </c>
      <c r="L40" s="84" t="str">
        <f t="shared" si="9"/>
        <v>t-dis-bbicltap-lb-pb21000</v>
      </c>
      <c r="M40" s="84" t="s">
        <v>527</v>
      </c>
      <c r="N40" s="84">
        <v>21000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8"/>
        <v>t-dis-bbicltap-lb-rule22000</v>
      </c>
      <c r="F41" s="84" t="str">
        <f t="shared" si="10"/>
        <v>t-dis-bbicltap-lb-fe</v>
      </c>
      <c r="G41" s="84" t="s">
        <v>57</v>
      </c>
      <c r="H41" s="84">
        <v>22000</v>
      </c>
      <c r="I41" s="84" t="b">
        <v>0</v>
      </c>
      <c r="J41" s="84" t="str">
        <f t="shared" si="11"/>
        <v>t-dis-bbicltap-lb-bp</v>
      </c>
      <c r="K41" s="84">
        <v>22000</v>
      </c>
      <c r="L41" s="84" t="str">
        <f t="shared" si="9"/>
        <v>t-dis-bbicltap-lb-pb22000</v>
      </c>
      <c r="M41" s="84" t="s">
        <v>527</v>
      </c>
      <c r="N41" s="84">
        <v>22000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74" t="s">
        <v>182</v>
      </c>
      <c r="B42" s="74" t="str" cm="1">
        <f t="array" ref="B42">UPPER(INDEX(_xlfn.TEXTSPLIT($C42, "-"), 3))</f>
        <v>DIS</v>
      </c>
      <c r="C42" s="74" t="s">
        <v>286</v>
      </c>
      <c r="D42" s="74" t="s">
        <v>287</v>
      </c>
      <c r="E42" s="74" t="str">
        <f t="shared" si="8"/>
        <v>t-dis-ap-lb-rule8080</v>
      </c>
      <c r="F42" s="74" t="str">
        <f t="shared" si="10"/>
        <v>t-dis-ap-lb-fe</v>
      </c>
      <c r="G42" s="74" t="s">
        <v>57</v>
      </c>
      <c r="H42" s="74">
        <v>8080</v>
      </c>
      <c r="I42" s="74" t="b">
        <v>0</v>
      </c>
      <c r="J42" s="74" t="str">
        <f t="shared" si="11"/>
        <v>t-dis-ap-lb-bp</v>
      </c>
      <c r="K42" s="74">
        <v>8080</v>
      </c>
      <c r="L42" s="74" t="str">
        <f t="shared" si="9"/>
        <v>t-dis-ap-lb-pb8080</v>
      </c>
      <c r="M42" s="74" t="s">
        <v>57</v>
      </c>
      <c r="N42" s="74">
        <v>8080</v>
      </c>
      <c r="O42" s="74">
        <v>4</v>
      </c>
      <c r="P42" s="74" t="s">
        <v>123</v>
      </c>
      <c r="Q42" s="74" t="b">
        <v>1</v>
      </c>
      <c r="R42" s="74" t="b">
        <v>0</v>
      </c>
    </row>
    <row r="43" spans="1:18" x14ac:dyDescent="0.3">
      <c r="A43" s="84" t="s">
        <v>182</v>
      </c>
      <c r="B43" s="84" t="str" cm="1">
        <f t="array" ref="B43">UPPER(INDEX(_xlfn.TEXTSPLIT($C43, "-"), 3))</f>
        <v>DIS</v>
      </c>
      <c r="C43" s="84" t="s">
        <v>286</v>
      </c>
      <c r="D43" s="84" t="s">
        <v>341</v>
      </c>
      <c r="E43" s="84" t="str">
        <f t="shared" si="8"/>
        <v>t-dis-adm-lb-rule443</v>
      </c>
      <c r="F43" s="84" t="str">
        <f t="shared" si="10"/>
        <v>t-dis-adm-lb-fe</v>
      </c>
      <c r="G43" s="84" t="s">
        <v>57</v>
      </c>
      <c r="H43" s="84">
        <v>443</v>
      </c>
      <c r="I43" s="84" t="b">
        <v>0</v>
      </c>
      <c r="J43" s="84" t="str">
        <f t="shared" si="11"/>
        <v>t-dis-adm-lb-bp</v>
      </c>
      <c r="K43" s="84">
        <v>443</v>
      </c>
      <c r="L43" s="84" t="str">
        <f t="shared" si="9"/>
        <v>t-dis-adm-lb-pb443</v>
      </c>
      <c r="M43" s="84" t="s">
        <v>57</v>
      </c>
      <c r="N43" s="84">
        <v>443</v>
      </c>
      <c r="O43" s="84">
        <v>4</v>
      </c>
      <c r="P43" s="84" t="s">
        <v>123</v>
      </c>
      <c r="Q43" s="84" t="b">
        <v>1</v>
      </c>
      <c r="R43" s="84" t="b">
        <v>0</v>
      </c>
    </row>
    <row r="44" spans="1:18" x14ac:dyDescent="0.3">
      <c r="A44" s="74" t="s">
        <v>182</v>
      </c>
      <c r="B44" s="74"/>
      <c r="C44" s="74" t="s">
        <v>376</v>
      </c>
      <c r="D44" s="74" t="s">
        <v>369</v>
      </c>
      <c r="E44" s="74"/>
      <c r="F44" s="74" t="str">
        <f t="shared" ref="F44:F54" si="12">SUBSTITUTE(D44, "hazr-", "")&amp;"-fe"</f>
        <v>t-cs-chtweb-lb-fe</v>
      </c>
      <c r="G44" s="74" t="s">
        <v>57</v>
      </c>
      <c r="H44" s="74"/>
      <c r="I44" s="74" t="b">
        <v>0</v>
      </c>
      <c r="J44" s="74" t="str">
        <f t="shared" ref="J44:J54" si="13">SUBSTITUTE(D44, "hazr-", "")&amp;"-bp"</f>
        <v>t-cs-chtweb-lb-bp</v>
      </c>
      <c r="K44" s="74"/>
      <c r="L44" s="74"/>
      <c r="M44" s="74"/>
      <c r="N44" s="74"/>
      <c r="O44" s="74">
        <v>4</v>
      </c>
      <c r="P44" s="74" t="s">
        <v>123</v>
      </c>
      <c r="Q44" s="74" t="b">
        <v>1</v>
      </c>
      <c r="R44" s="74" t="b">
        <v>0</v>
      </c>
    </row>
    <row r="45" spans="1:18" x14ac:dyDescent="0.3">
      <c r="A45" s="84" t="s">
        <v>182</v>
      </c>
      <c r="B45" s="84"/>
      <c r="C45" s="84" t="s">
        <v>205</v>
      </c>
      <c r="D45" s="84" t="s">
        <v>370</v>
      </c>
      <c r="E45" s="84"/>
      <c r="F45" s="84" t="str">
        <f t="shared" si="12"/>
        <v>t-cs-chtintweb-lb-fe</v>
      </c>
      <c r="G45" s="84" t="s">
        <v>57</v>
      </c>
      <c r="H45" s="84"/>
      <c r="I45" s="84" t="b">
        <v>0</v>
      </c>
      <c r="J45" s="84" t="str">
        <f t="shared" si="13"/>
        <v>t-cs-chtintweb-lb-bp</v>
      </c>
      <c r="K45" s="84"/>
      <c r="L45" s="84"/>
      <c r="M45" s="84"/>
      <c r="N45" s="84"/>
      <c r="O45" s="84">
        <v>4</v>
      </c>
      <c r="P45" s="84" t="s">
        <v>123</v>
      </c>
      <c r="Q45" s="84" t="b">
        <v>1</v>
      </c>
      <c r="R45" s="84" t="b">
        <v>0</v>
      </c>
    </row>
    <row r="46" spans="1:18" x14ac:dyDescent="0.3">
      <c r="A46" s="74" t="s">
        <v>182</v>
      </c>
      <c r="B46" s="74"/>
      <c r="C46" s="74" t="s">
        <v>205</v>
      </c>
      <c r="D46" s="74" t="s">
        <v>368</v>
      </c>
      <c r="E46" s="74"/>
      <c r="F46" s="74" t="str">
        <f t="shared" si="12"/>
        <v>t-cs-chtap-lb-fe</v>
      </c>
      <c r="G46" s="74" t="s">
        <v>57</v>
      </c>
      <c r="H46" s="74"/>
      <c r="I46" s="74" t="b">
        <v>0</v>
      </c>
      <c r="J46" s="74" t="str">
        <f t="shared" si="13"/>
        <v>t-cs-chtap-lb-bp</v>
      </c>
      <c r="K46" s="74"/>
      <c r="L46" s="74"/>
      <c r="M46" s="74"/>
      <c r="N46" s="74"/>
      <c r="O46" s="74">
        <v>4</v>
      </c>
      <c r="P46" s="74" t="s">
        <v>123</v>
      </c>
      <c r="Q46" s="74" t="b">
        <v>1</v>
      </c>
      <c r="R46" s="7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IF</v>
      </c>
      <c r="C47" s="74" t="s">
        <v>533</v>
      </c>
      <c r="D47" s="74" t="s">
        <v>534</v>
      </c>
      <c r="E47" s="74" t="str">
        <f t="shared" ref="E47:E54" si="14">SUBSTITUTE(D47, "hazr-", "")&amp;"-rule"&amp;N47</f>
        <v>t-if-auth-lb-rule8088</v>
      </c>
      <c r="F47" s="74" t="str">
        <f t="shared" si="12"/>
        <v>t-if-auth-lb-fe</v>
      </c>
      <c r="G47" s="74" t="s">
        <v>57</v>
      </c>
      <c r="H47" s="74">
        <v>8088</v>
      </c>
      <c r="I47" s="74" t="b">
        <v>0</v>
      </c>
      <c r="J47" s="74" t="str">
        <f t="shared" si="13"/>
        <v>t-if-auth-lb-bp</v>
      </c>
      <c r="K47" s="74">
        <v>8088</v>
      </c>
      <c r="L47" s="74" t="str">
        <f t="shared" ref="L47:L54" si="15">SUBSTITUTE(D47, "hazr-", "")&amp;"-pb"&amp;IF(N47="", "", N47)</f>
        <v>t-if-auth-lb-pb8088</v>
      </c>
      <c r="M47" s="74" t="s">
        <v>57</v>
      </c>
      <c r="N47" s="74">
        <v>8088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si="14"/>
        <v>t-if-auth-lb-rule9003</v>
      </c>
      <c r="F48" s="74" t="str">
        <f t="shared" si="12"/>
        <v>t-if-auth-lb-fe</v>
      </c>
      <c r="G48" s="74" t="s">
        <v>57</v>
      </c>
      <c r="H48" s="74">
        <v>9003</v>
      </c>
      <c r="I48" s="74" t="b">
        <v>0</v>
      </c>
      <c r="J48" s="74" t="str">
        <f t="shared" si="13"/>
        <v>t-if-auth-lb-bp</v>
      </c>
      <c r="K48" s="74">
        <v>9003</v>
      </c>
      <c r="L48" s="74" t="str">
        <f t="shared" si="15"/>
        <v>t-if-auth-lb-pb9003</v>
      </c>
      <c r="M48" s="74" t="s">
        <v>57</v>
      </c>
      <c r="N48" s="74">
        <v>9003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4"/>
        <v>t-if-auth-lb-rule9005</v>
      </c>
      <c r="F49" s="74" t="str">
        <f t="shared" si="12"/>
        <v>t-if-auth-lb-fe</v>
      </c>
      <c r="G49" s="74" t="s">
        <v>57</v>
      </c>
      <c r="H49" s="74">
        <v>9005</v>
      </c>
      <c r="I49" s="74" t="b">
        <v>0</v>
      </c>
      <c r="J49" s="74" t="str">
        <f t="shared" si="13"/>
        <v>t-if-auth-lb-bp</v>
      </c>
      <c r="K49" s="74">
        <v>9005</v>
      </c>
      <c r="L49" s="74" t="str">
        <f t="shared" si="15"/>
        <v>t-if-auth-lb-pb9005</v>
      </c>
      <c r="M49" s="74" t="s">
        <v>57</v>
      </c>
      <c r="N49" s="74">
        <v>9005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84" t="s">
        <v>182</v>
      </c>
      <c r="B50" s="84" t="str" cm="1">
        <f t="array" ref="B50">UPPER(INDEX(_xlfn.TEXTSPLIT($C50, "-"), 3))</f>
        <v>BDP</v>
      </c>
      <c r="C50" s="84" t="s">
        <v>375</v>
      </c>
      <c r="D50" s="84" t="s">
        <v>367</v>
      </c>
      <c r="E50" s="84" t="str">
        <f t="shared" si="14"/>
        <v>t-bdp-slap-lb-rule443</v>
      </c>
      <c r="F50" s="84" t="str">
        <f t="shared" si="12"/>
        <v>t-bdp-slap-lb-fe</v>
      </c>
      <c r="G50" s="84" t="s">
        <v>57</v>
      </c>
      <c r="H50" s="84">
        <v>443</v>
      </c>
      <c r="I50" s="84" t="b">
        <v>0</v>
      </c>
      <c r="J50" s="84" t="str">
        <f t="shared" si="13"/>
        <v>t-bdp-slap-lb-bp</v>
      </c>
      <c r="K50" s="84">
        <v>443</v>
      </c>
      <c r="L50" s="84" t="str">
        <f t="shared" si="15"/>
        <v>t-bdp-slap-lb-pb443</v>
      </c>
      <c r="M50" s="84" t="s">
        <v>527</v>
      </c>
      <c r="N50" s="84">
        <v>443</v>
      </c>
      <c r="O50" s="84">
        <v>4</v>
      </c>
      <c r="P50" s="84" t="s">
        <v>123</v>
      </c>
      <c r="Q50" s="84" t="b">
        <v>1</v>
      </c>
      <c r="R50" s="84" t="b">
        <v>0</v>
      </c>
    </row>
    <row r="51" spans="1:18" x14ac:dyDescent="0.3">
      <c r="A51" s="74" t="s">
        <v>182</v>
      </c>
      <c r="B51" s="74" t="str" cm="1">
        <f t="array" ref="B51">UPPER(INDEX(_xlfn.TEXTSPLIT($C51, "-"), 3))</f>
        <v>BDP</v>
      </c>
      <c r="C51" s="74" t="s">
        <v>375</v>
      </c>
      <c r="D51" s="74" t="s">
        <v>366</v>
      </c>
      <c r="E51" s="74" t="str">
        <f t="shared" si="14"/>
        <v>t-bdp-cxmadm-lb-rule443</v>
      </c>
      <c r="F51" s="74" t="str">
        <f t="shared" si="12"/>
        <v>t-bdp-cxmadm-lb-fe</v>
      </c>
      <c r="G51" s="74" t="s">
        <v>57</v>
      </c>
      <c r="H51" s="74">
        <v>443</v>
      </c>
      <c r="I51" s="74" t="b">
        <v>0</v>
      </c>
      <c r="J51" s="74" t="str">
        <f t="shared" si="13"/>
        <v>t-bdp-cxmadm-lb-bp</v>
      </c>
      <c r="K51" s="74">
        <v>443</v>
      </c>
      <c r="L51" s="74" t="str">
        <f t="shared" si="15"/>
        <v>t-bdp-cxmadm-lb-pb443</v>
      </c>
      <c r="M51" s="74" t="s">
        <v>527</v>
      </c>
      <c r="N51" s="74">
        <v>443</v>
      </c>
      <c r="O51" s="74">
        <v>4</v>
      </c>
      <c r="P51" s="74" t="s">
        <v>123</v>
      </c>
      <c r="Q51" s="74" t="b">
        <v>1</v>
      </c>
      <c r="R51" s="74" t="b">
        <v>0</v>
      </c>
    </row>
    <row r="52" spans="1:18" x14ac:dyDescent="0.3">
      <c r="A52" s="84" t="s">
        <v>182</v>
      </c>
      <c r="B52" s="84" t="str" cm="1">
        <f t="array" ref="B52">UPPER(INDEX(_xlfn.TEXTSPLIT($C52, "-"), 3))</f>
        <v>BDP</v>
      </c>
      <c r="C52" s="84" t="s">
        <v>375</v>
      </c>
      <c r="D52" s="84" t="s">
        <v>371</v>
      </c>
      <c r="E52" s="84" t="str">
        <f t="shared" si="14"/>
        <v>t-bdp-crkweb-lb-rule443</v>
      </c>
      <c r="F52" s="84" t="str">
        <f t="shared" si="12"/>
        <v>t-bdp-crkweb-lb-fe</v>
      </c>
      <c r="G52" s="84" t="s">
        <v>57</v>
      </c>
      <c r="H52" s="84">
        <v>443</v>
      </c>
      <c r="I52" s="84" t="b">
        <v>0</v>
      </c>
      <c r="J52" s="84" t="str">
        <f t="shared" si="13"/>
        <v>t-bdp-crkweb-lb-bp</v>
      </c>
      <c r="K52" s="84">
        <v>443</v>
      </c>
      <c r="L52" s="84" t="str">
        <f t="shared" si="15"/>
        <v>t-bdp-crkweb-lb-pb443</v>
      </c>
      <c r="M52" s="84" t="s">
        <v>57</v>
      </c>
      <c r="N52" s="84">
        <v>443</v>
      </c>
      <c r="O52" s="84">
        <v>4</v>
      </c>
      <c r="P52" s="84" t="s">
        <v>123</v>
      </c>
      <c r="Q52" s="84" t="b">
        <v>1</v>
      </c>
      <c r="R52" s="84" t="b">
        <v>0</v>
      </c>
    </row>
    <row r="53" spans="1:18" x14ac:dyDescent="0.3">
      <c r="A53" s="74" t="s">
        <v>182</v>
      </c>
      <c r="B53" s="74" t="str" cm="1">
        <f t="array" ref="B53">UPPER(INDEX(_xlfn.TEXTSPLIT($C53, "-"), 3))</f>
        <v>BDP</v>
      </c>
      <c r="C53" s="74" t="s">
        <v>375</v>
      </c>
      <c r="D53" s="74" t="s">
        <v>373</v>
      </c>
      <c r="E53" s="74" t="str">
        <f t="shared" si="14"/>
        <v>t-bdp-crkml-lb-rule8082</v>
      </c>
      <c r="F53" s="74" t="str">
        <f t="shared" si="12"/>
        <v>t-bdp-crkml-lb-fe</v>
      </c>
      <c r="G53" s="74" t="s">
        <v>57</v>
      </c>
      <c r="H53" s="74">
        <v>8082</v>
      </c>
      <c r="I53" s="74" t="b">
        <v>0</v>
      </c>
      <c r="J53" s="74" t="str">
        <f t="shared" si="13"/>
        <v>t-bdp-crkml-lb-bp</v>
      </c>
      <c r="K53" s="74">
        <v>8082</v>
      </c>
      <c r="L53" s="74" t="str">
        <f t="shared" si="15"/>
        <v>t-bdp-crkml-lb-pb8082</v>
      </c>
      <c r="M53" s="74" t="s">
        <v>57</v>
      </c>
      <c r="N53" s="74">
        <v>8082</v>
      </c>
      <c r="O53" s="74">
        <v>4</v>
      </c>
      <c r="P53" s="74" t="s">
        <v>123</v>
      </c>
      <c r="Q53" s="74" t="b">
        <v>1</v>
      </c>
      <c r="R53" s="74" t="b">
        <v>0</v>
      </c>
    </row>
    <row r="54" spans="1:18" x14ac:dyDescent="0.3">
      <c r="A54" s="84" t="s">
        <v>182</v>
      </c>
      <c r="B54" s="84" t="str" cm="1">
        <f t="array" ref="B54">UPPER(INDEX(_xlfn.TEXTSPLIT($C54, "-"), 3))</f>
        <v>BDP</v>
      </c>
      <c r="C54" s="84" t="s">
        <v>375</v>
      </c>
      <c r="D54" s="84" t="s">
        <v>372</v>
      </c>
      <c r="E54" s="84" t="str">
        <f t="shared" si="14"/>
        <v>t-bdp-crkap-lb-rule8085</v>
      </c>
      <c r="F54" s="84" t="str">
        <f t="shared" si="12"/>
        <v>t-bdp-crkap-lb-fe</v>
      </c>
      <c r="G54" s="84" t="s">
        <v>57</v>
      </c>
      <c r="H54" s="84">
        <v>8085</v>
      </c>
      <c r="I54" s="84" t="b">
        <v>0</v>
      </c>
      <c r="J54" s="84" t="str">
        <f t="shared" si="13"/>
        <v>t-bdp-crkap-lb-bp</v>
      </c>
      <c r="K54" s="84">
        <v>8085</v>
      </c>
      <c r="L54" s="84" t="str">
        <f t="shared" si="15"/>
        <v>t-bdp-crkap-lb-pb8085</v>
      </c>
      <c r="M54" s="84" t="s">
        <v>57</v>
      </c>
      <c r="N54" s="84">
        <v>8085</v>
      </c>
      <c r="O54" s="84">
        <v>4</v>
      </c>
      <c r="P54" s="84" t="s">
        <v>123</v>
      </c>
      <c r="Q54" s="84" t="b">
        <v>1</v>
      </c>
      <c r="R54" s="8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DTG</v>
      </c>
      <c r="C55" s="74" t="s">
        <v>374</v>
      </c>
      <c r="D55" s="74" t="s">
        <v>553</v>
      </c>
      <c r="E55" s="74" t="str">
        <f t="shared" ref="E55" si="16">SUBSTITUTE(D55, "hazr-", "")&amp;"-rule"&amp;N55</f>
        <v>t-dtg-bbigeoap-lb-rule8089</v>
      </c>
      <c r="F55" s="74" t="str">
        <f t="shared" ref="F55" si="17">SUBSTITUTE(D55, "hazr-", "")&amp;"-fe"</f>
        <v>t-dtg-bbigeoap-lb-fe</v>
      </c>
      <c r="G55" s="74" t="s">
        <v>57</v>
      </c>
      <c r="H55" s="74">
        <v>8089</v>
      </c>
      <c r="I55" s="74" t="b">
        <v>0</v>
      </c>
      <c r="J55" s="74" t="str">
        <f t="shared" ref="J55" si="18">SUBSTITUTE(D55, "hazr-", "")&amp;"-bp"</f>
        <v>t-dtg-bbigeoap-lb-bp</v>
      </c>
      <c r="K55" s="74">
        <v>8089</v>
      </c>
      <c r="L55" s="74" t="str">
        <f t="shared" ref="L55" si="19">SUBSTITUTE(D55, "hazr-", "")&amp;"-pb"&amp;IF(N55="", "", N55)</f>
        <v>t-dtg-bbigeoap-lb-pb8089</v>
      </c>
      <c r="M55" s="74" t="s">
        <v>57</v>
      </c>
      <c r="N55" s="74">
        <v>8089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:E57" si="20">SUBSTITUTE(D56, "hazr-", "")&amp;"-rule"&amp;N56</f>
        <v>t-dtg-bbigeoap-lb-rule9089</v>
      </c>
      <c r="F56" s="74" t="str">
        <f t="shared" ref="F56:F57" si="21">SUBSTITUTE(D56, "hazr-", "")&amp;"-fe"</f>
        <v>t-dtg-bbigeoap-lb-fe</v>
      </c>
      <c r="G56" s="74" t="s">
        <v>57</v>
      </c>
      <c r="H56" s="74">
        <v>9089</v>
      </c>
      <c r="I56" s="74" t="b">
        <v>0</v>
      </c>
      <c r="J56" s="74" t="str">
        <f t="shared" ref="J56:J57" si="22">SUBSTITUTE(D56, "hazr-", "")&amp;"-bp"</f>
        <v>t-dtg-bbigeoap-lb-bp</v>
      </c>
      <c r="K56" s="74">
        <v>9089</v>
      </c>
      <c r="L56" s="74" t="str">
        <f t="shared" ref="L56:L57" si="23">SUBSTITUTE(D56, "hazr-", "")&amp;"-pb"&amp;IF(N56="", "", N56)</f>
        <v>t-dtg-bbigeoap-lb-pb9089</v>
      </c>
      <c r="M56" s="74" t="s">
        <v>57</v>
      </c>
      <c r="N56" s="74">
        <v>9089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84" t="s">
        <v>567</v>
      </c>
      <c r="B57" s="84" t="str" cm="1">
        <f t="array" ref="B57">UPPER(INDEX(_xlfn.TEXTSPLIT($C57, "-"), 3))</f>
        <v>BDP</v>
      </c>
      <c r="C57" s="84" t="s">
        <v>572</v>
      </c>
      <c r="D57" s="84" t="s">
        <v>568</v>
      </c>
      <c r="E57" s="84" t="str">
        <f t="shared" si="20"/>
        <v>t-bdp-rlgcweb-lb-rule</v>
      </c>
      <c r="F57" s="84" t="str">
        <f t="shared" si="21"/>
        <v>t-bdp-rlgcweb-lb-fe</v>
      </c>
      <c r="G57" s="84" t="s">
        <v>573</v>
      </c>
      <c r="H57" s="84"/>
      <c r="I57" s="84" t="b">
        <v>0</v>
      </c>
      <c r="J57" s="84" t="str">
        <f t="shared" si="22"/>
        <v>t-bdp-rlgcweb-lb-bp</v>
      </c>
      <c r="K57" s="84"/>
      <c r="L57" s="84" t="str">
        <f t="shared" si="23"/>
        <v>t-bdp-rlgcweb-lb-pb</v>
      </c>
      <c r="M57" s="84" t="s">
        <v>573</v>
      </c>
      <c r="N57" s="84"/>
      <c r="O57" s="84">
        <v>4</v>
      </c>
      <c r="P57" s="84" t="s">
        <v>574</v>
      </c>
      <c r="Q57" s="84" t="b">
        <v>1</v>
      </c>
      <c r="R57" s="84" t="b">
        <v>0</v>
      </c>
    </row>
    <row r="58" spans="1:18" x14ac:dyDescent="0.3">
      <c r="A58" s="74" t="s">
        <v>182</v>
      </c>
      <c r="B58" s="74" t="str" cm="1">
        <f t="array" ref="B58">UPPER(INDEX(_xlfn.TEXTSPLIT($C58, "-"), 3))</f>
        <v>BDP</v>
      </c>
      <c r="C58" s="74" t="s">
        <v>375</v>
      </c>
      <c r="D58" s="74" t="s">
        <v>569</v>
      </c>
      <c r="E58" s="74" t="str">
        <f t="shared" ref="E58" si="24">SUBSTITUTE(D58, "hazr-", "")&amp;"-rule"&amp;N58</f>
        <v>t-bdp-rlgcap-lb-rule</v>
      </c>
      <c r="F58" s="74" t="str">
        <f t="shared" ref="F58" si="25">SUBSTITUTE(D58, "hazr-", "")&amp;"-fe"</f>
        <v>t-bdp-rlgcap-lb-fe</v>
      </c>
      <c r="G58" s="74" t="s">
        <v>57</v>
      </c>
      <c r="H58" s="74"/>
      <c r="I58" s="74" t="b">
        <v>0</v>
      </c>
      <c r="J58" s="74" t="str">
        <f t="shared" ref="J58" si="26">SUBSTITUTE(D58, "hazr-", "")&amp;"-bp"</f>
        <v>t-bdp-rlgcap-lb-bp</v>
      </c>
      <c r="K58" s="74"/>
      <c r="L58" s="74" t="str">
        <f t="shared" ref="L58" si="27">SUBSTITUTE(D58, "hazr-", "")&amp;"-pb"&amp;IF(N58="", "", N58)</f>
        <v>t-bdp-rlgcap-lb-pb</v>
      </c>
      <c r="M58" s="74" t="s">
        <v>57</v>
      </c>
      <c r="N58" s="74"/>
      <c r="O58" s="74">
        <v>4</v>
      </c>
      <c r="P58" s="74" t="s">
        <v>123</v>
      </c>
      <c r="Q58" s="74" t="b">
        <v>1</v>
      </c>
      <c r="R58" s="74" t="b">
        <v>0</v>
      </c>
    </row>
  </sheetData>
  <autoFilter ref="A1:R54" xr:uid="{A4BC862D-08E7-4593-9A34-4D2B508CF25B}">
    <sortState xmlns:xlrd2="http://schemas.microsoft.com/office/spreadsheetml/2017/richdata2" ref="A2:R43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2026-07-27T06:51:46Z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