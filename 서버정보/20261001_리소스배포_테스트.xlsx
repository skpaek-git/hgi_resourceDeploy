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3FE0391-D697-44F3-840D-4FE34D16B304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2" l="1" a="1"/>
  <c r="C61" i="2" s="1"/>
  <c r="E76" i="2"/>
  <c r="E77" i="2"/>
  <c r="E78" i="2"/>
  <c r="E79" i="2"/>
  <c r="E80" i="2"/>
  <c r="C81" i="2" a="1"/>
  <c r="C81" i="2" s="1"/>
  <c r="C82" i="2" a="1"/>
  <c r="C82" i="2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C85" i="2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C62" i="2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<sst xmlns="http://schemas.openxmlformats.org/spreadsheetml/2006/main" count="4466" uniqueCount="612">
  <si>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</si>
  <si>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</si>
  <si>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</si>
  <si>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</si>
  <si>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</si>
  <si>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</si>
  <si>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</si>
  <si>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</si>
  <si>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</si>
  <si>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</si>
  <si>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</si>
  <si>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</si>
  <si>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</si>
  <si>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</si>
  <si>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</si>
  <si>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</si>
  <si>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</si>
  <si>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</si>
  <si>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</si>
  <si>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</si>
  <si>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</si>
  <si>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</si>
  <si>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</si>
  <si>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</si>
  <si>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</si>
  <si>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</si>
  <si>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</si>
  <si>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</si>
  <si>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</si>
  <si>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</si>
  <si>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</si>
  <si>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</si>
  <si>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</si>
  <si>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</si>
  <si>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</si>
  <si>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</si>
  <si>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</si>
  <si>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</si>
  <si>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</si>
  <si>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</si>
  <si>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</si>
  <si>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</si>
  <si>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</si>
  <si>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</si>
  <si>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</si>
  <si>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</si>
  <si>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</si>
  <si>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</si>
  <si>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</si>
  <si>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</si>
  <si>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</si>
  <si>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</si>
  <si>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</si>
  <si>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</si>
  <si>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</si>
  <si>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</si>
  <si>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</si>
  <si>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</si>
  <si>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</si>
  <si>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</si>
  <si>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</si>
  <si>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</si>
  <si>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</si>
  <si>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</si>
  <si>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</si>
  <si>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</si>
  <si>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</si>
  <si>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</si>
  <si>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</si>
  <si>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</si>
  <si>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</si>
  <si>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</si>
  <si>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</si>
  <si>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</si>
  <si>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</si>
  <si>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</si>
  <si>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</si>
  <si>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</si>
  <si>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</si>
  <si>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</si>
  <si>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</si>
  <si>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</si>
  <si>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</si>
  <si>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</si>
  <si>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</si>
  <si>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</si>
  <si>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</si>
  <si>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</si>
  <si>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</si>
  <si>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</si>
  <si>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</si>
  <si>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</si>
  <si>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</si>
  <si>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</si>
  <si>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</si>
  <si>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</si>
  <si>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</si>
  <si>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</si>
  <si>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</si>
  <si>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</si>
  <si>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</si>
  <si>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</si>
  <si>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</si>
  <si>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</si>
  <si>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</si>
  <si>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</si>
  <si>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</si>
  <si>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</si>
  <si>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</si>
  <si>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</si>
  <si>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</si>
  <si>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</si>
  <si>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</si>
  <si>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</si>
  <si>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</si>
  <si>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</si>
  <si>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</si>
  <si>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</si>
  <si>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</si>
  <si>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</si>
  <si>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</si>
  <si>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</si>
  <si>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</si>
  <si>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</si>
  <si>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</si>
  <si>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</si>
  <si>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</si>
  <si>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</si>
  <si>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</si>
  <si>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</si>
  <si>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</si>
  <si>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</si>
  <si>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</si>
  <si>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</si>
  <si>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</si>
  <si>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</si>
  <si>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</si>
  <si>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</si>
  <si>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</si>
  <si>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</si>
  <si>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</si>
  <si>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</si>
  <si>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</si>
  <si>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</si>
  <si>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</si>
  <si>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</si>
  <si>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</si>
  <si>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</si>
  <si>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</si>
  <si>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</si>
  <si>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</si>
  <si>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</si>
  <si>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</si>
  <si>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</si>
  <si>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</si>
  <si>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</si>
  <si>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</si>
  <si>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</si>
  <si>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</si>
  <si>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</si>
  <si>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</si>
  <si>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</si>
  <si>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</si>
  <si>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</si>
  <si>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</si>
  <si>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</si>
  <si>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</si>
  <si>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</si>
  <si>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</si>
  <si>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</si>
  <si>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</si>
  <si>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</si>
  <si>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</si>
  <si>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</si>
  <si>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</si>
  <si>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</si>
  <si>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</si>
  <si>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</si>
  <si>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</si>
  <si>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</si>
  <si>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</si>
  <si>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</si>
  <si>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</si>
  <si>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</si>
  <si>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</si>
  <si>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</si>
  <si>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</si>
  <si>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</si>
  <si>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</si>
  <si>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</si>
  <si>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</si>
  <si>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</si>
  <si>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</si>
  <si>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</si>
  <si>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</si>
  <si>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</si>
  <si>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</si>
  <si>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</si>
  <si>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</si>
  <si>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</si>
  <si>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</si>
  <si>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</si>
  <si>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</si>
  <si>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</si>
  <si>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</si>
  <si>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</si>
  <si>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</si>
  <si>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</si>
  <si>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</si>
  <si>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</si>
  <si>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</si>
  <si>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</si>
  <si>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</si>
  <si>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</si>
  <si>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</si>
  <si>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</si>
  <si>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</si>
  <si>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</si>
  <si>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</si>
  <si>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</si>
  <si>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</si>
  <si>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</si>
  <si>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</si>
  <si>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</si>
  <si>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</si>
  <si>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</si>
  <si>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</si>
  <si>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</si>
  <si>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</si>
  <si>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</si>
  <si>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</si>
  <si>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</si>
  <si>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</si>
  <si>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</si>
  <si>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</si>
  <si>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</si>
  <si>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</si>
  <si>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</si>
  <si>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</si>
  <si>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</si>
  <si>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</si>
  <si>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</si>
  <si>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</si>
  <si>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</si>
  <si>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</si>
  <si>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</si>
  <si>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</si>
  <si>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</si>
  <si>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</si>
  <si>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</si>
  <si>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</si>
  <si>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</si>
  <si>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</si>
  <si>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</si>
  <si>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</si>
  <si>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</si>
  <si>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</si>
  <si>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</si>
  <si>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</si>
  <si>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</si>
  <si>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</si>
  <si>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</si>
  <si>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</si>
  <si>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</si>
  <si>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</si>
  <si>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</si>
  <si>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</si>
  <si>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</si>
  <si>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</si>
  <si>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</si>
  <si>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</si>
  <si>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</si>
  <si>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</si>
  <si>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</si>
  <si>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</si>
  <si>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</si>
  <si>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</si>
  <si>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</si>
  <si>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</si>
  <si>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</si>
  <si>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</si>
  <si>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</si>
  <si>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</si>
  <si>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</si>
  <si>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</si>
  <si>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</si>
  <si>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</si>
  <si>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</si>
  <si>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</si>
  <si>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</si>
  <si>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</si>
  <si>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</si>
  <si>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</si>
  <si>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</si>
  <si>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</si>
  <si>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</si>
  <si>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</si>
  <si>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</si>
  <si>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</si>
  <si>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</si>
  <si>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</si>
  <si>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</si>
  <si>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</si>
  <si>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</si>
  <si>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</si>
  <si>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</si>
  <si>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</si>
  <si>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</si>
  <si>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</si>
  <si>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</si>
  <si>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</si>
  <si>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</si>
  <si>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</si>
  <si>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</si>
  <si>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</si>
  <si>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</si>
  <si>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</si>
  <si>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</si>
  <si>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</si>
  <si>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</si>
  <si>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</si>
  <si>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</si>
  <si>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</si>
  <si>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</si>
  <si>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</si>
  <si>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</si>
  <si>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</si>
  <si>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</si>
  <si>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</si>
  <si>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</si>
  <si>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</si>
  <si>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</si>
  <si>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</si>
  <si>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</si>
  <si>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</si>
  <si>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</si>
  <si>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</si>
  <si>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</si>
  <si>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</si>
  <si>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</si>
  <si>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</si>
  <si>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</si>
  <si>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</si>
  <si>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</si>
  <si>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</si>
  <si>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</si>
  <si>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</si>
  <si>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</si>
  <si>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</si>
  <si>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</si>
  <si>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</si>
  <si>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</si>
  <si>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</si>
  <si>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</si>
  <si>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</si>
  <si>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</si>
  <si>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</si>
  <si>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</si>
  <si>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</si>
  <si>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</si>
  <si>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</si>
  <si>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</si>
  <si>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</si>
  <si>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</si>
  <si>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</si>
  <si>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</si>
  <si>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</si>
  <si>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</si>
  <si>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</si>
  <si>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</si>
  <si>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</si>
  <si>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</si>
  <si>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</si>
  <si>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</si>
  <si>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</si>
  <si>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</si>
  <si>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</si>
  <si>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</si>
  <si>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</si>
  <si>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</si>
  <si>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</si>
  <si>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</si>
  <si>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</si>
  <si>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</si>
  <si>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</si>
  <si>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</si>
  <si>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</si>
  <si>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</si>
  <si>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</si>
  <si>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</si>
  <si>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</si>
  <si>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</si>
  <si>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</si>
  <si>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</si>
  <si>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</si>
  <si>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</si>
  <si>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</si>
  <si>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</si>
  <si>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</si>
  <si>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</si>
  <si>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</si>
  <si>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</si>
  <si>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</si>
  <si>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</si>
  <si>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</si>
  <si>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</si>
  <si>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</si>
  <si>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</si>
  <si>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</si>
  <si>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</si>
  <si>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</si>
  <si>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</si>
  <si>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</si>
  <si>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</si>
  <si>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</si>
  <si>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</si>
  <si>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</si>
  <si>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</si>
  <si>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</si>
  <si>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</si>
  <si>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</si>
  <si>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</si>
  <si>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</si>
  <si>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</si>
  <si>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</si>
  <si>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</si>
  <si>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</si>
  <si>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</si>
  <si>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</si>
  <si>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</si>
  <si>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</si>
  <si>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</si>
  <si>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</si>
  <si>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</si>
  <si>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</si>
  <si>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</si>
  <si>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</si>
  <si>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</si>
  <si>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</si>
  <si>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</si>
  <si>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</si>
  <si>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</si>
  <si>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</si>
  <si>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</si>
  <si>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</si>
  <si>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</si>
  <si>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</si>
  <si>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</si>
  <si>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</si>
  <si>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</si>
  <si>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</si>
  <si>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</si>
  <si>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</si>
  <si>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</si>
  <si>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</si>
  <si>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</si>
  <si>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</si>
  <si>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</si>
  <si>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</si>
  <si>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</si>
  <si>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</si>
  <si>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</si>
  <si>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</si>
  <si>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</si>
  <si>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</si>
  <si>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</si>
  <si>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</si>
  <si>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</si>
  <si>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</si>
  <si>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</si>
  <si>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</si>
  <si>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</si>
  <si>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</si>
  <si>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</si>
  <si>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</si>
  <si>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</si>
  <si>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</si>
  <si>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</si>
  <si>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</si>
  <si>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</si>
  <si>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</si>
  <si>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</si>
  <si>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</si>
  <si>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</si>
  <si>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</si>
  <si>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</si>
  <si>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</si>
  <si>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</si>
  <si>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</si>
  <si>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</si>
  <si>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</si>
  <si>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</si>
  <si>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</si>
  <si>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</si>
  <si>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</si>
  <si>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</si>
  <si>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</si>
  <si>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</si>
  <si>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</si>
  <si>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</si>
  <si>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</si>
  <si>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</si>
  <si>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</si>
  <si>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</si>
  <si>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</si>
  <si>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</si>
  <si>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</si>
  <si>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</si>
  <si>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</si>
  <si>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</si>
  <si>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</si>
  <si>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</si>
  <si>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</si>
  <si>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</si>
  <si>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</si>
  <si>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</si>
  <si>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</si>
  <si>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</si>
  <si>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</si>
  <si>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</si>
  <si>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</si>
  <si>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</si>
  <si>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</si>
  <si>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</si>
  <si>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</si>
  <si>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</si>
  <si>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</si>
  <si>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</si>
  <si>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</si>
  <si>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</si>
  <si>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</si>
  <si>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</si>
  <si>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</si>
  <si>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</si>
  <si>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</si>
  <si>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</si>
  <si>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</si>
  <si>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</si>
  <si>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</si>
  <si>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</si>
  <si>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</si>
  <si>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</si>
  <si>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</si>
  <si>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</si>
  <si>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</si>
  <si>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</si>
  <si>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</si>
  <si>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</si>
  <si>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</si>
  <si>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</si>
  <si>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</si>
  <si>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</si>
  <si>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</si>
  <si>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</si>
  <si>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</si>
  <si>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</si>
  <si>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</si>
  <si>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</si>
  <si>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</si>
  <si>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</si>
  <si>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</si>
  <si>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</si>
  <si>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</si>
  <si>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</si>
  <si>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</si>
  <si>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</si>
  <si>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</si>
  <si>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</si>
  <si>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</si>
  <si>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</si>
  <si>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</si>
  <si>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</si>
  <si>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</si>
  <si>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</si>
  <si>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</si>
  <si>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</si>
  <si>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</si>
  <si>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</si>
  <si>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</si>
  <si>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</si>
  <si>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</si>
  <si>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</si>
  <si>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1,2,3</t>
  </si>
  <si>
    <t>TCP</t>
    <phoneticPr fontId="1" type="noConversion"/>
  </si>
  <si>
    <t>hazr-t-dch-ext-vnet</t>
    <phoneticPr fontId="1" type="noConversion"/>
  </si>
  <si>
    <t>hazr-t-clv-rg</t>
  </si>
  <si>
    <t>10.157.133.11</t>
    <phoneticPr fontId="1" type="noConversion"/>
  </si>
  <si>
    <t>10.157.159.11</t>
    <phoneticPr fontId="1" type="noConversion"/>
  </si>
  <si>
    <t>10.157.159.21</t>
    <phoneticPr fontId="1" type="noConversion"/>
  </si>
  <si>
    <t>10.157.159.31</t>
    <phoneticPr fontId="1" type="noConversion"/>
  </si>
  <si>
    <t>10.157.159.41</t>
    <phoneticPr fontId="1" type="noConversion"/>
  </si>
  <si>
    <t>hazr-t-clv-web01</t>
    <phoneticPr fontId="1" type="noConversion"/>
  </si>
  <si>
    <t>hazr-t-clv-ap01</t>
    <phoneticPr fontId="1" type="noConversion"/>
  </si>
  <si>
    <t>hazr-t-clv-ssrap01</t>
    <phoneticPr fontId="1" type="noConversion"/>
  </si>
  <si>
    <t>hazr-t-clv-admweb01</t>
    <phoneticPr fontId="1" type="noConversion"/>
  </si>
  <si>
    <t>hazr-t-clv-admap01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</si>
  <si>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</si>
  <si>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hazr-t-clv-rg</t>
    <phoneticPr fontId="1" type="noConversion"/>
  </si>
  <si>
    <t>t-clv-web-sbn</t>
    <phoneticPr fontId="1" type="noConversion"/>
  </si>
  <si>
    <t>t-clv-ap-sbn</t>
    <phoneticPr fontId="1" type="noConversion"/>
  </si>
  <si>
    <t>t-clv-db-nsg</t>
    <phoneticPr fontId="1" type="noConversion"/>
  </si>
  <si>
    <t>t-clv-pe-nsg</t>
    <phoneticPr fontId="1" type="noConversion"/>
  </si>
  <si>
    <t>hazr-t-clv-web-lb</t>
    <phoneticPr fontId="1" type="noConversion"/>
  </si>
  <si>
    <t>hazr-t-clv-ap-lb</t>
    <phoneticPr fontId="1" type="noConversion"/>
  </si>
  <si>
    <t>hazr-t-clv-ssrap-lb</t>
    <phoneticPr fontId="1" type="noConversion"/>
  </si>
  <si>
    <t>hazr-t-clv-admweb-lb</t>
    <phoneticPr fontId="1" type="noConversion"/>
  </si>
  <si>
    <t>hazr-t-clv-admap-lb</t>
    <phoneticPr fontId="1" type="noConversion"/>
  </si>
  <si>
    <t>10.157.133.10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</si>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</sst>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pane xSplit="6" ySplit="1" topLeftCell="G5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62" sqref="D58:D6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575</v>
      </c>
      <c r="C58" s="107" t="str" cm="1">
        <f t="array" ref="C58">UPPER(INDEX(_xlfn.TEXTSPLIT($D58, "-"), 3))</f>
        <v>CLV</v>
      </c>
      <c r="D58" s="107" t="s">
        <v>585</v>
      </c>
      <c r="E58" s="107" t="s">
        <v>24</v>
      </c>
      <c r="F58" s="107" t="s">
        <v>591</v>
      </c>
      <c r="G58" s="107" t="s">
        <v>586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596</v>
      </c>
      <c r="O58" s="107" t="str">
        <f t="shared" ref="O58:O62" si="8">SUBSTITUTE(F58,"hazr-","")&amp;"-osdisk"</f>
        <v>t-clv-web01-osdisk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t-clv-web01-nic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598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575</v>
      </c>
      <c r="C59" s="107" t="str" cm="1">
        <f t="array" ref="C59">UPPER(INDEX(_xlfn.TEXTSPLIT($D59, "-"), 3))</f>
        <v>CLV</v>
      </c>
      <c r="D59" s="113" t="s">
        <v>585</v>
      </c>
      <c r="E59" s="113" t="s">
        <v>24</v>
      </c>
      <c r="F59" s="113" t="s">
        <v>592</v>
      </c>
      <c r="G59" s="113" t="s">
        <v>587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596</v>
      </c>
      <c r="O59" s="113" t="str">
        <f t="shared" si="8"/>
        <v>t-clv-ap01-osdisk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t-clv-ap01-nic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599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575</v>
      </c>
      <c r="C60" s="107" t="str" cm="1">
        <f t="array" ref="C60">UPPER(INDEX(_xlfn.TEXTSPLIT($D60, "-"), 3))</f>
        <v>CLV</v>
      </c>
      <c r="D60" s="107" t="s">
        <v>585</v>
      </c>
      <c r="E60" s="113" t="s">
        <v>24</v>
      </c>
      <c r="F60" s="113" t="s">
        <v>593</v>
      </c>
      <c r="G60" s="113" t="s">
        <v>588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596</v>
      </c>
      <c r="O60" s="113" t="str">
        <f t="shared" si="8"/>
        <v>t-clv-ssrap01-osdisk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t-clv-ssrap01-nic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599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575</v>
      </c>
      <c r="C61" s="107" t="str" cm="1">
        <f t="array" ref="C61">UPPER(INDEX(_xlfn.TEXTSPLIT($D61, "-"), 3))</f>
        <v>CLV</v>
      </c>
      <c r="D61" s="113" t="s">
        <v>585</v>
      </c>
      <c r="E61" s="113" t="s">
        <v>24</v>
      </c>
      <c r="F61" s="113" t="s">
        <v>594</v>
      </c>
      <c r="G61" s="113" t="s">
        <v>589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596</v>
      </c>
      <c r="O61" s="113" t="str">
        <f t="shared" si="8"/>
        <v>t-clv-admweb01-osdisk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t-clv-admweb01-nic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599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575</v>
      </c>
      <c r="C62" s="107" t="str" cm="1">
        <f t="array" ref="C62">UPPER(INDEX(_xlfn.TEXTSPLIT($D62, "-"), 3))</f>
        <v>CLV</v>
      </c>
      <c r="D62" s="107" t="s">
        <v>585</v>
      </c>
      <c r="E62" s="113" t="s">
        <v>24</v>
      </c>
      <c r="F62" s="113" t="s">
        <v>595</v>
      </c>
      <c r="G62" s="113" t="s">
        <v>590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596</v>
      </c>
      <c r="O62" s="113" t="str">
        <f t="shared" si="8"/>
        <v>t-clv-admap01-osdisk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t-clv-admap01-nic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599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e" cm="1">
        <f t="array" ref="C63">UPPER(INDEX(_xlfn.TEXTSPLIT($D63, "-"), 3))</f>
        <v>#VALUE!</v>
      </c>
      <c r="D63" s="113"/>
      <c r="E63" s="107" t="s">
        <v>24</v>
      </c>
      <c r="F63" s="78" t="s">
        <v>577</v>
      </c>
      <c r="G63" s="107"/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/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584</v>
      </c>
      <c r="Z63" s="113"/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e" cm="1">
        <f t="array" ref="C64">UPPER(INDEX(_xlfn.TEXTSPLIT($D64, "-"), 3))</f>
        <v>#VALUE!</v>
      </c>
      <c r="D64" s="107"/>
      <c r="E64" s="113" t="s">
        <v>24</v>
      </c>
      <c r="F64" s="73" t="s">
        <v>578</v>
      </c>
      <c r="G64" s="113"/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/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/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e" cm="1">
        <f t="array" ref="C65">UPPER(INDEX(_xlfn.TEXTSPLIT($D65, "-"), 3))</f>
        <v>#VALUE!</v>
      </c>
      <c r="D65" s="113"/>
      <c r="E65" s="113" t="s">
        <v>24</v>
      </c>
      <c r="F65" s="78" t="s">
        <v>579</v>
      </c>
      <c r="G65" s="113"/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/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/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e" cm="1">
        <f t="array" ref="C66">UPPER(INDEX(_xlfn.TEXTSPLIT($D66, "-"), 3))</f>
        <v>#VALUE!</v>
      </c>
      <c r="D66" s="107"/>
      <c r="E66" s="113" t="s">
        <v>24</v>
      </c>
      <c r="F66" s="73" t="s">
        <v>580</v>
      </c>
      <c r="G66" s="113"/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/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584</v>
      </c>
      <c r="Z66" s="113"/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e" cm="1">
        <f t="array" ref="C67">UPPER(INDEX(_xlfn.TEXTSPLIT($D67, "-"), 3))</f>
        <v>#VALUE!</v>
      </c>
      <c r="D67" s="113"/>
      <c r="E67" s="113" t="s">
        <v>24</v>
      </c>
      <c r="F67" s="115" t="s">
        <v>581</v>
      </c>
      <c r="G67" s="113"/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/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/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E65" sqref="E65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CLV</v>
      </c>
      <c r="D58" s="74" t="s">
        <v>597</v>
      </c>
      <c r="E58" s="74" t="s">
        <v>24</v>
      </c>
      <c r="F58" s="74" t="s">
        <v>591</v>
      </c>
      <c r="G58" s="74" t="str">
        <f t="shared" si="4"/>
        <v>t-clv-web01-disk01</v>
      </c>
      <c r="H58" s="74" t="s">
        <v>181</v>
      </c>
      <c r="I58" s="74">
        <v>128</v>
      </c>
      <c r="J58" s="74" t="str">
        <f t="shared" si="5"/>
        <v>t-clv-web01-disk02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CLV</v>
      </c>
      <c r="D59" s="73" t="s">
        <v>597</v>
      </c>
      <c r="E59" s="73" t="s">
        <v>24</v>
      </c>
      <c r="F59" s="73" t="s">
        <v>592</v>
      </c>
      <c r="G59" s="73" t="str">
        <f t="shared" si="4"/>
        <v>t-clv-ap01-disk01</v>
      </c>
      <c r="H59" s="73" t="s">
        <v>181</v>
      </c>
      <c r="I59" s="73">
        <v>128</v>
      </c>
      <c r="J59" s="73" t="str">
        <f t="shared" si="5"/>
        <v>t-clv-ap01-disk02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CLV</v>
      </c>
      <c r="D60" s="74" t="s">
        <v>597</v>
      </c>
      <c r="E60" s="74" t="s">
        <v>24</v>
      </c>
      <c r="F60" s="74" t="s">
        <v>593</v>
      </c>
      <c r="G60" s="74" t="str">
        <f t="shared" si="4"/>
        <v>t-clv-ssrap01-disk01</v>
      </c>
      <c r="H60" s="74" t="s">
        <v>181</v>
      </c>
      <c r="I60" s="74">
        <v>128</v>
      </c>
      <c r="J60" s="74" t="str">
        <f t="shared" si="5"/>
        <v>t-clv-ssrap01-disk02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CLV</v>
      </c>
      <c r="D61" s="73" t="s">
        <v>597</v>
      </c>
      <c r="E61" s="73" t="s">
        <v>24</v>
      </c>
      <c r="F61" s="73" t="s">
        <v>594</v>
      </c>
      <c r="G61" s="73" t="str">
        <f t="shared" si="4"/>
        <v>t-clv-admweb01-disk01</v>
      </c>
      <c r="H61" s="73" t="s">
        <v>181</v>
      </c>
      <c r="I61" s="73">
        <v>128</v>
      </c>
      <c r="J61" s="73" t="str">
        <f t="shared" si="5"/>
        <v>t-clv-admweb01-disk02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CLV</v>
      </c>
      <c r="D62" s="74" t="s">
        <v>597</v>
      </c>
      <c r="E62" s="74" t="s">
        <v>24</v>
      </c>
      <c r="F62" s="74" t="s">
        <v>595</v>
      </c>
      <c r="G62" s="74" t="str">
        <f t="shared" si="4"/>
        <v>t-clv-admap01-disk01</v>
      </c>
      <c r="H62" s="74" t="s">
        <v>181</v>
      </c>
      <c r="I62" s="74">
        <v>128</v>
      </c>
      <c r="J62" s="74" t="str">
        <f t="shared" si="5"/>
        <v>t-clv-admap01-disk02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e" cm="1">
        <f t="array" ref="C63">UPPER(INDEX(_xlfn.TEXTSPLIT($D63, "-"), 3))</f>
        <v>#VALUE!</v>
      </c>
      <c r="D63" s="73"/>
      <c r="E63" s="73" t="s">
        <v>24</v>
      </c>
      <c r="F63" s="73"/>
      <c r="G63" s="73" t="str">
        <f t="shared" si="4"/>
        <v>-disk01</v>
      </c>
      <c r="H63" s="73" t="s">
        <v>181</v>
      </c>
      <c r="I63" s="73">
        <v>128</v>
      </c>
      <c r="J63" s="73" t="str">
        <f t="shared" si="5"/>
        <v>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e" cm="1">
        <f t="array" ref="C64">UPPER(INDEX(_xlfn.TEXTSPLIT($D64, "-"), 3))</f>
        <v>#VALUE!</v>
      </c>
      <c r="D64" s="74"/>
      <c r="E64" s="74" t="s">
        <v>24</v>
      </c>
      <c r="F64" s="74"/>
      <c r="G64" s="74" t="str">
        <f t="shared" si="4"/>
        <v>-disk01</v>
      </c>
      <c r="H64" s="74" t="s">
        <v>181</v>
      </c>
      <c r="I64" s="74">
        <v>128</v>
      </c>
      <c r="J64" s="74" t="str">
        <f t="shared" si="5"/>
        <v>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e" cm="1">
        <f t="array" ref="C65">UPPER(INDEX(_xlfn.TEXTSPLIT($D65, "-"), 3))</f>
        <v>#VALUE!</v>
      </c>
      <c r="D65" s="73"/>
      <c r="E65" s="73" t="s">
        <v>24</v>
      </c>
      <c r="F65" s="73"/>
      <c r="G65" s="73" t="str">
        <f t="shared" si="4"/>
        <v>-disk01</v>
      </c>
      <c r="H65" s="73" t="s">
        <v>181</v>
      </c>
      <c r="I65" s="73">
        <v>128</v>
      </c>
      <c r="J65" s="73" t="str">
        <f t="shared" si="5"/>
        <v>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e" cm="1">
        <f t="array" ref="C66">UPPER(INDEX(_xlfn.TEXTSPLIT($D66, "-"), 3))</f>
        <v>#VALUE!</v>
      </c>
      <c r="D66" s="74"/>
      <c r="E66" s="74" t="s">
        <v>24</v>
      </c>
      <c r="F66" s="74"/>
      <c r="G66" s="74" t="str">
        <f t="shared" si="4"/>
        <v>-disk01</v>
      </c>
      <c r="H66" s="74" t="s">
        <v>181</v>
      </c>
      <c r="I66" s="74">
        <v>128</v>
      </c>
      <c r="J66" s="74" t="str">
        <f t="shared" si="5"/>
        <v>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e" cm="1">
        <f t="array" ref="C67">UPPER(INDEX(_xlfn.TEXTSPLIT($D67, "-"), 3))</f>
        <v>#VALUE!</v>
      </c>
      <c r="D67" s="73"/>
      <c r="E67" s="73" t="s">
        <v>24</v>
      </c>
      <c r="F67" s="73"/>
      <c r="G67" s="73" t="str">
        <f t="shared" si="4"/>
        <v>-disk01</v>
      </c>
      <c r="H67" s="73" t="s">
        <v>181</v>
      </c>
      <c r="I67" s="73">
        <v>128</v>
      </c>
      <c r="J67" s="73" t="str">
        <f t="shared" si="5"/>
        <v>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58" workbookViewId="0">
      <selection activeCell="E80" sqref="E8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B61" s="82" t="s">
        <v>182</v>
      </c>
      <c r="C61" s="82" t="str" cm="1">
        <f t="array" ref="C61">UPPER(INDEX(_xlfn.TEXTSPLIT($E61, "-"), 2))</f>
        <v>CLV</v>
      </c>
      <c r="D61" s="82" t="s">
        <v>198</v>
      </c>
      <c r="E61" s="82" t="s">
        <v>600</v>
      </c>
      <c r="F61" s="82" t="s">
        <v>198</v>
      </c>
      <c r="G61" s="74" t="s">
        <v>450</v>
      </c>
      <c r="H61" s="74" t="s">
        <v>600</v>
      </c>
      <c r="I61" s="74"/>
      <c r="J61" s="74"/>
      <c r="K61" s="74"/>
      <c r="L61" s="74" t="s">
        <v>519</v>
      </c>
      <c r="M61" s="74"/>
    </row>
    <row r="62" spans="1:13" x14ac:dyDescent="0.3">
      <c r="B62" s="80" t="s">
        <v>182</v>
      </c>
      <c r="C62" s="80" t="str" cm="1">
        <f t="array" ref="C62">UPPER(INDEX(_xlfn.TEXTSPLIT($E62, "-"), 2))</f>
        <v>CLV</v>
      </c>
      <c r="D62" s="80" t="s">
        <v>198</v>
      </c>
      <c r="E62" s="80" t="s">
        <v>601</v>
      </c>
      <c r="F62" s="80" t="s">
        <v>198</v>
      </c>
      <c r="G62" s="73" t="s">
        <v>450</v>
      </c>
      <c r="H62" s="73" t="s">
        <v>601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B76" s="82" t="s">
        <v>182</v>
      </c>
      <c r="C76" s="82" t="str" cm="1">
        <f t="array" ref="C76">UPPER(INDEX(_xlfn.TEXTSPLIT($E76, "-"), 2))</f>
        <v>CLV</v>
      </c>
      <c r="D76" s="82" t="s">
        <v>198</v>
      </c>
      <c r="E76" s="82" t="str">
        <f t="shared" si="7"/>
        <v>t-clv-web01-nsg</v>
      </c>
      <c r="F76" s="82" t="s">
        <v>198</v>
      </c>
      <c r="G76" s="82" t="s">
        <v>199</v>
      </c>
      <c r="H76" s="82" t="s">
        <v>598</v>
      </c>
      <c r="I76" s="82" t="s">
        <v>591</v>
      </c>
      <c r="J76" s="82" t="s">
        <v>597</v>
      </c>
      <c r="K76" s="82" t="str">
        <f t="shared" ref="K76:K80" si="8">SUBSTITUTE(I76,"hazr-","")&amp;"-nic"</f>
        <v>t-clv-web01-nic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CLV</v>
      </c>
      <c r="D77" s="80" t="s">
        <v>198</v>
      </c>
      <c r="E77" s="80" t="str">
        <f t="shared" si="7"/>
        <v>t-clv-ap01-nsg</v>
      </c>
      <c r="F77" s="80" t="s">
        <v>198</v>
      </c>
      <c r="G77" s="80" t="s">
        <v>200</v>
      </c>
      <c r="H77" s="80" t="s">
        <v>599</v>
      </c>
      <c r="I77" s="80" t="s">
        <v>592</v>
      </c>
      <c r="J77" s="80" t="s">
        <v>597</v>
      </c>
      <c r="K77" s="80" t="str">
        <f t="shared" si="8"/>
        <v>t-clv-ap01-nic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CLV</v>
      </c>
      <c r="D78" s="82" t="s">
        <v>198</v>
      </c>
      <c r="E78" s="82" t="str">
        <f t="shared" si="7"/>
        <v>t-clv-ssrap01-nsg</v>
      </c>
      <c r="F78" s="82" t="s">
        <v>198</v>
      </c>
      <c r="G78" s="82" t="s">
        <v>200</v>
      </c>
      <c r="H78" s="82" t="s">
        <v>599</v>
      </c>
      <c r="I78" s="82" t="s">
        <v>593</v>
      </c>
      <c r="J78" s="82" t="s">
        <v>597</v>
      </c>
      <c r="K78" s="82" t="str">
        <f t="shared" si="8"/>
        <v>t-clv-ssrap01-nic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CLV</v>
      </c>
      <c r="D79" s="80" t="s">
        <v>198</v>
      </c>
      <c r="E79" s="80" t="str">
        <f t="shared" si="7"/>
        <v>t-clv-admweb01-nsg</v>
      </c>
      <c r="F79" s="80" t="s">
        <v>198</v>
      </c>
      <c r="G79" s="80" t="s">
        <v>200</v>
      </c>
      <c r="H79" s="80" t="s">
        <v>599</v>
      </c>
      <c r="I79" s="80" t="s">
        <v>594</v>
      </c>
      <c r="J79" s="80" t="s">
        <v>597</v>
      </c>
      <c r="K79" s="80" t="str">
        <f t="shared" si="8"/>
        <v>t-clv-admweb01-nic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CLV</v>
      </c>
      <c r="D80" s="82" t="s">
        <v>198</v>
      </c>
      <c r="E80" s="82" t="str">
        <f t="shared" si="7"/>
        <v>t-clv-admap01-nsg</v>
      </c>
      <c r="F80" s="82" t="s">
        <v>198</v>
      </c>
      <c r="G80" s="82" t="s">
        <v>200</v>
      </c>
      <c r="H80" s="82" t="s">
        <v>599</v>
      </c>
      <c r="I80" s="82" t="s">
        <v>595</v>
      </c>
      <c r="J80" s="82" t="s">
        <v>597</v>
      </c>
      <c r="K80" s="82" t="str">
        <f t="shared" si="8"/>
        <v>t-clv-admap01-nic</v>
      </c>
      <c r="L80" s="82" t="s">
        <v>516</v>
      </c>
      <c r="M80" s="82"/>
    </row>
    <row r="81" spans="2:13" x14ac:dyDescent="0.3">
      <c r="B81" s="80" t="s">
        <v>182</v>
      </c>
      <c r="C81" s="80" t="e" cm="1">
        <f t="array" ref="C81">UPPER(INDEX(_xlfn.TEXTSPLIT($E81, "-"), 2))</f>
        <v>#VALUE!</v>
      </c>
      <c r="D81" s="80" t="s">
        <v>198</v>
      </c>
      <c r="E81" s="80"/>
      <c r="F81" s="80" t="s">
        <v>198</v>
      </c>
      <c r="G81" s="80" t="s">
        <v>199</v>
      </c>
      <c r="H81" s="80" t="s">
        <v>290</v>
      </c>
      <c r="I81" s="80"/>
      <c r="J81" s="80"/>
      <c r="K81" s="80" t="str">
        <f t="shared" ref="K81:K85" si="9">SUBSTITUTE(I81,"hazr-","")&amp;"-nic"</f>
        <v>-nic</v>
      </c>
      <c r="L81" s="80" t="s">
        <v>516</v>
      </c>
      <c r="M81" s="80"/>
    </row>
    <row r="82" spans="2:13" x14ac:dyDescent="0.3">
      <c r="B82" s="82" t="s">
        <v>182</v>
      </c>
      <c r="C82" s="82" t="e" cm="1">
        <f t="array" ref="C82">UPPER(INDEX(_xlfn.TEXTSPLIT($E82, "-"), 2))</f>
        <v>#VALUE!</v>
      </c>
      <c r="D82" s="82" t="s">
        <v>198</v>
      </c>
      <c r="E82" s="82"/>
      <c r="F82" s="82" t="s">
        <v>198</v>
      </c>
      <c r="G82" s="82" t="s">
        <v>200</v>
      </c>
      <c r="H82" s="82" t="s">
        <v>288</v>
      </c>
      <c r="I82" s="82"/>
      <c r="J82" s="82"/>
      <c r="K82" s="82" t="str">
        <f t="shared" si="9"/>
        <v>-nic</v>
      </c>
      <c r="L82" s="82" t="s">
        <v>516</v>
      </c>
      <c r="M82" s="82"/>
    </row>
    <row r="83" spans="2:13" x14ac:dyDescent="0.3">
      <c r="B83" s="80" t="s">
        <v>182</v>
      </c>
      <c r="C83" s="80" t="e" cm="1">
        <f t="array" ref="C83">UPPER(INDEX(_xlfn.TEXTSPLIT($E83, "-"), 2))</f>
        <v>#VALUE!</v>
      </c>
      <c r="D83" s="80" t="s">
        <v>198</v>
      </c>
      <c r="E83" s="80"/>
      <c r="F83" s="80" t="s">
        <v>198</v>
      </c>
      <c r="G83" s="80" t="s">
        <v>200</v>
      </c>
      <c r="H83" s="80" t="s">
        <v>288</v>
      </c>
      <c r="I83" s="80"/>
      <c r="J83" s="80"/>
      <c r="K83" s="80" t="str">
        <f t="shared" si="9"/>
        <v>-nic</v>
      </c>
      <c r="L83" s="80" t="s">
        <v>516</v>
      </c>
      <c r="M83" s="80"/>
    </row>
    <row r="84" spans="2:13" x14ac:dyDescent="0.3">
      <c r="B84" s="82" t="s">
        <v>182</v>
      </c>
      <c r="C84" s="82" t="e" cm="1">
        <f t="array" ref="C84">UPPER(INDEX(_xlfn.TEXTSPLIT($E84, "-"), 2))</f>
        <v>#VALUE!</v>
      </c>
      <c r="D84" s="82" t="s">
        <v>198</v>
      </c>
      <c r="E84" s="82"/>
      <c r="F84" s="82" t="s">
        <v>198</v>
      </c>
      <c r="G84" s="82" t="s">
        <v>199</v>
      </c>
      <c r="H84" s="82" t="s">
        <v>290</v>
      </c>
      <c r="I84" s="82"/>
      <c r="J84" s="82"/>
      <c r="K84" s="82" t="str">
        <f t="shared" si="9"/>
        <v>-nic</v>
      </c>
      <c r="L84" s="82" t="s">
        <v>516</v>
      </c>
      <c r="M84" s="82"/>
    </row>
    <row r="85" spans="2:13" x14ac:dyDescent="0.3">
      <c r="B85" s="80" t="s">
        <v>182</v>
      </c>
      <c r="C85" s="80" t="e" cm="1">
        <f t="array" ref="C85">UPPER(INDEX(_xlfn.TEXTSPLIT($E85, "-"), 2))</f>
        <v>#VALUE!</v>
      </c>
      <c r="D85" s="80" t="s">
        <v>198</v>
      </c>
      <c r="E85" s="80"/>
      <c r="F85" s="80" t="s">
        <v>198</v>
      </c>
      <c r="G85" s="80" t="s">
        <v>200</v>
      </c>
      <c r="H85" s="80" t="s">
        <v>288</v>
      </c>
      <c r="I85" s="80"/>
      <c r="J85" s="80"/>
      <c r="K85" s="80" t="str">
        <f t="shared" si="9"/>
        <v>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abSelected="1" topLeftCell="A22" workbookViewId="0">
      <selection activeCell="H42" sqref="H42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CLV</v>
      </c>
      <c r="D41" s="84" t="s">
        <v>597</v>
      </c>
      <c r="E41" s="84" t="s">
        <v>24</v>
      </c>
      <c r="F41" s="84" t="s">
        <v>602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t-clv-web-lb-fe</v>
      </c>
      <c r="L41" s="84" t="s">
        <v>198</v>
      </c>
      <c r="M41" s="84" t="s">
        <v>199</v>
      </c>
      <c r="N41" s="84" t="s">
        <v>598</v>
      </c>
      <c r="O41" s="84" t="s">
        <v>108</v>
      </c>
      <c r="P41" s="84" t="s">
        <v>607</v>
      </c>
      <c r="Q41" s="85" t="str">
        <f t="shared" si="5"/>
        <v>t-clv-web-lb-bp</v>
      </c>
    </row>
    <row r="42" spans="1:17" x14ac:dyDescent="0.3">
      <c r="B42" s="74" t="s">
        <v>182</v>
      </c>
      <c r="C42" s="74" t="str" cm="1">
        <f t="array" ref="C42">UPPER(INDEX(_xlfn.TEXTSPLIT($F42, "-"), 3))</f>
        <v>CLV</v>
      </c>
      <c r="D42" s="74" t="s">
        <v>597</v>
      </c>
      <c r="E42" s="74" t="s">
        <v>24</v>
      </c>
      <c r="F42" s="74" t="s">
        <v>603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t-clv-ap-lb-fe</v>
      </c>
      <c r="L42" s="74" t="s">
        <v>198</v>
      </c>
      <c r="M42" s="74" t="s">
        <v>200</v>
      </c>
      <c r="N42" s="74" t="s">
        <v>599</v>
      </c>
      <c r="O42" s="74" t="s">
        <v>108</v>
      </c>
      <c r="P42" s="74" t="s">
        <v>608</v>
      </c>
      <c r="Q42" s="87" t="str">
        <f t="shared" si="5"/>
        <v>t-clv-ap-lb-bp</v>
      </c>
    </row>
    <row r="43" spans="1:17" x14ac:dyDescent="0.3">
      <c r="B43" s="84" t="s">
        <v>182</v>
      </c>
      <c r="C43" s="84" t="str" cm="1">
        <f t="array" ref="C43">UPPER(INDEX(_xlfn.TEXTSPLIT($F43, "-"), 3))</f>
        <v>CLV</v>
      </c>
      <c r="D43" s="84" t="s">
        <v>597</v>
      </c>
      <c r="E43" s="84" t="s">
        <v>24</v>
      </c>
      <c r="F43" s="84" t="s">
        <v>604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t-clv-ssrap-lb-fe</v>
      </c>
      <c r="L43" s="84" t="s">
        <v>198</v>
      </c>
      <c r="M43" s="84" t="s">
        <v>200</v>
      </c>
      <c r="N43" s="84" t="s">
        <v>599</v>
      </c>
      <c r="O43" s="84" t="s">
        <v>108</v>
      </c>
      <c r="P43" s="84" t="s">
        <v>609</v>
      </c>
      <c r="Q43" s="85" t="str">
        <f t="shared" si="5"/>
        <v>t-clv-ssrap-lb-bp</v>
      </c>
    </row>
    <row r="44" spans="1:17" x14ac:dyDescent="0.3">
      <c r="B44" s="107" t="s">
        <v>182</v>
      </c>
      <c r="C44" s="107" t="str" cm="1">
        <f t="array" ref="C44">UPPER(INDEX(_xlfn.TEXTSPLIT($F44, "-"), 3))</f>
        <v>CLV</v>
      </c>
      <c r="D44" s="74" t="s">
        <v>597</v>
      </c>
      <c r="E44" s="107" t="s">
        <v>24</v>
      </c>
      <c r="F44" s="107" t="s">
        <v>605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t-clv-admweb-lb-fe</v>
      </c>
      <c r="L44" s="107" t="s">
        <v>198</v>
      </c>
      <c r="M44" s="107" t="s">
        <v>200</v>
      </c>
      <c r="N44" s="107" t="s">
        <v>599</v>
      </c>
      <c r="O44" s="107" t="s">
        <v>108</v>
      </c>
      <c r="P44" s="107" t="s">
        <v>610</v>
      </c>
      <c r="Q44" s="116" t="str">
        <f t="shared" si="5"/>
        <v>t-clv-admweb-lb-bp</v>
      </c>
    </row>
    <row r="45" spans="1:17" x14ac:dyDescent="0.3">
      <c r="A45" s="48"/>
      <c r="B45" s="84" t="s">
        <v>182</v>
      </c>
      <c r="C45" s="84" t="str" cm="1">
        <f t="array" ref="C45">UPPER(INDEX(_xlfn.TEXTSPLIT($F45, "-"), 3))</f>
        <v>CLV</v>
      </c>
      <c r="D45" s="84" t="s">
        <v>597</v>
      </c>
      <c r="E45" s="84" t="s">
        <v>24</v>
      </c>
      <c r="F45" s="84" t="s">
        <v>606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t-clv-admap-lb-fe</v>
      </c>
      <c r="L45" s="84" t="s">
        <v>198</v>
      </c>
      <c r="M45" s="84" t="s">
        <v>200</v>
      </c>
      <c r="N45" s="84" t="s">
        <v>599</v>
      </c>
      <c r="O45" s="84" t="s">
        <v>108</v>
      </c>
      <c r="P45" s="84" t="s">
        <v>611</v>
      </c>
      <c r="Q45" s="85" t="str">
        <f t="shared" si="5"/>
        <v>t-clv-admap-lb-bp</v>
      </c>
    </row>
    <row r="46" spans="1:17" x14ac:dyDescent="0.3">
      <c r="A46" s="48"/>
      <c r="B46" s="74" t="s">
        <v>182</v>
      </c>
      <c r="C46" s="74" t="e" cm="1">
        <f t="array" ref="C46">UPPER(INDEX(_xlfn.TEXTSPLIT($F46, "-"), 3))</f>
        <v>#VALUE!</v>
      </c>
      <c r="D46" s="74"/>
      <c r="E46" s="74" t="s">
        <v>24</v>
      </c>
      <c r="F46" s="74"/>
      <c r="G46" s="74" t="s">
        <v>111</v>
      </c>
      <c r="H46" s="74" t="s">
        <v>538</v>
      </c>
      <c r="I46" s="74" t="s">
        <v>582</v>
      </c>
      <c r="J46" s="74" t="s">
        <v>102</v>
      </c>
      <c r="K46" s="74" t="str">
        <f t="shared" si="4"/>
        <v>-fe</v>
      </c>
      <c r="L46" s="74" t="s">
        <v>198</v>
      </c>
      <c r="M46" s="74" t="s">
        <v>199</v>
      </c>
      <c r="N46" s="74"/>
      <c r="O46" s="74" t="s">
        <v>108</v>
      </c>
      <c r="P46" s="74"/>
      <c r="Q46" s="74" t="str">
        <f t="shared" si="5"/>
        <v>-bp</v>
      </c>
    </row>
    <row r="47" spans="1:17" x14ac:dyDescent="0.3">
      <c r="A47" s="48"/>
      <c r="B47" s="84" t="s">
        <v>182</v>
      </c>
      <c r="C47" s="84" t="e" cm="1">
        <f t="array" ref="C47">UPPER(INDEX(_xlfn.TEXTSPLIT($F47, "-"), 3))</f>
        <v>#VALUE!</v>
      </c>
      <c r="D47" s="84"/>
      <c r="E47" s="84" t="s">
        <v>24</v>
      </c>
      <c r="F47" s="84"/>
      <c r="G47" s="84" t="s">
        <v>111</v>
      </c>
      <c r="H47" s="84" t="s">
        <v>538</v>
      </c>
      <c r="I47" s="84" t="s">
        <v>582</v>
      </c>
      <c r="J47" s="84" t="s">
        <v>102</v>
      </c>
      <c r="K47" s="84" t="str">
        <f t="shared" si="4"/>
        <v>-fe</v>
      </c>
      <c r="L47" s="84" t="s">
        <v>198</v>
      </c>
      <c r="M47" s="84" t="s">
        <v>200</v>
      </c>
      <c r="N47" s="84"/>
      <c r="O47" s="84" t="s">
        <v>108</v>
      </c>
      <c r="P47" s="84"/>
      <c r="Q47" s="85" t="str">
        <f t="shared" si="5"/>
        <v>-bp</v>
      </c>
    </row>
    <row r="48" spans="1:17" x14ac:dyDescent="0.3">
      <c r="A48" s="48"/>
      <c r="B48" s="74" t="s">
        <v>182</v>
      </c>
      <c r="C48" s="74" t="e" cm="1">
        <f t="array" ref="C48">UPPER(INDEX(_xlfn.TEXTSPLIT($F48, "-"), 3))</f>
        <v>#VALUE!</v>
      </c>
      <c r="D48" s="74"/>
      <c r="E48" s="74" t="s">
        <v>24</v>
      </c>
      <c r="F48" s="74"/>
      <c r="G48" s="74" t="s">
        <v>111</v>
      </c>
      <c r="H48" s="74" t="s">
        <v>538</v>
      </c>
      <c r="I48" s="74" t="s">
        <v>582</v>
      </c>
      <c r="J48" s="74" t="s">
        <v>102</v>
      </c>
      <c r="K48" s="74" t="str">
        <f t="shared" si="4"/>
        <v>-fe</v>
      </c>
      <c r="L48" s="74" t="s">
        <v>198</v>
      </c>
      <c r="M48" s="74" t="s">
        <v>200</v>
      </c>
      <c r="N48" s="74"/>
      <c r="O48" s="74" t="s">
        <v>108</v>
      </c>
      <c r="P48" s="74"/>
      <c r="Q48" s="74" t="str">
        <f t="shared" si="5"/>
        <v>-bp</v>
      </c>
    </row>
    <row r="49" spans="1:17" x14ac:dyDescent="0.3">
      <c r="A49" s="48"/>
      <c r="B49" s="84" t="s">
        <v>182</v>
      </c>
      <c r="C49" s="84" t="e" cm="1">
        <f t="array" ref="C49">UPPER(INDEX(_xlfn.TEXTSPLIT($F49, "-"), 3))</f>
        <v>#VALUE!</v>
      </c>
      <c r="D49" s="84"/>
      <c r="E49" s="84" t="s">
        <v>24</v>
      </c>
      <c r="F49" s="84"/>
      <c r="G49" s="84" t="s">
        <v>111</v>
      </c>
      <c r="H49" s="84" t="s">
        <v>538</v>
      </c>
      <c r="I49" s="84" t="s">
        <v>582</v>
      </c>
      <c r="J49" s="84" t="s">
        <v>102</v>
      </c>
      <c r="K49" s="84" t="str">
        <f t="shared" si="4"/>
        <v>-fe</v>
      </c>
      <c r="L49" s="84" t="s">
        <v>198</v>
      </c>
      <c r="M49" s="84" t="s">
        <v>199</v>
      </c>
      <c r="N49" s="84"/>
      <c r="O49" s="84" t="s">
        <v>108</v>
      </c>
      <c r="P49" s="84"/>
      <c r="Q49" s="85" t="str">
        <f t="shared" si="5"/>
        <v>-bp</v>
      </c>
    </row>
    <row r="50" spans="1:17" x14ac:dyDescent="0.3">
      <c r="A50" s="48"/>
      <c r="B50" s="74" t="s">
        <v>182</v>
      </c>
      <c r="C50" s="74" t="e" cm="1">
        <f t="array" ref="C50">UPPER(INDEX(_xlfn.TEXTSPLIT($F50, "-"), 3))</f>
        <v>#VALUE!</v>
      </c>
      <c r="D50" s="74"/>
      <c r="E50" s="74" t="s">
        <v>24</v>
      </c>
      <c r="F50" s="74"/>
      <c r="G50" s="74" t="s">
        <v>111</v>
      </c>
      <c r="H50" s="74" t="s">
        <v>538</v>
      </c>
      <c r="I50" s="74" t="s">
        <v>582</v>
      </c>
      <c r="J50" s="74" t="s">
        <v>102</v>
      </c>
      <c r="K50" s="74" t="str">
        <f t="shared" si="4"/>
        <v>-fe</v>
      </c>
      <c r="L50" s="74" t="s">
        <v>198</v>
      </c>
      <c r="M50" s="74" t="s">
        <v>200</v>
      </c>
      <c r="N50" s="74"/>
      <c r="O50" s="74" t="s">
        <v>108</v>
      </c>
      <c r="P50" s="74"/>
      <c r="Q50" s="74" t="str">
        <f t="shared" si="5"/>
        <v>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opLeftCell="A52" workbookViewId="0">
      <selection activeCell="I67" sqref="I67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48"/>
      <c r="B66" s="84" t="s">
        <v>182</v>
      </c>
      <c r="C66" s="84" t="str" cm="1">
        <f t="array" ref="C66">UPPER(INDEX(_xlfn.TEXTSPLIT($D66, "-"), 3))</f>
        <v>CLV</v>
      </c>
      <c r="D66" s="84" t="s">
        <v>585</v>
      </c>
      <c r="E66" s="84" t="s">
        <v>602</v>
      </c>
      <c r="F66" s="84" t="str">
        <f t="shared" si="5"/>
        <v>t-clv-web-lb-pb443</v>
      </c>
      <c r="G66" s="84" t="s">
        <v>576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48"/>
      <c r="B67" s="74" t="s">
        <v>182</v>
      </c>
      <c r="C67" s="74" t="str" cm="1">
        <f t="array" ref="C67">UPPER(INDEX(_xlfn.TEXTSPLIT($D67, "-"), 3))</f>
        <v>CLV</v>
      </c>
      <c r="D67" s="74" t="s">
        <v>585</v>
      </c>
      <c r="E67" s="74" t="s">
        <v>603</v>
      </c>
      <c r="F67" s="74" t="str">
        <f t="shared" si="6"/>
        <v>t-clv-ap-lb-pb8080</v>
      </c>
      <c r="G67" s="74" t="s">
        <v>576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48"/>
      <c r="B68" s="84" t="s">
        <v>182</v>
      </c>
      <c r="C68" s="84" t="str" cm="1">
        <f t="array" ref="C68">UPPER(INDEX(_xlfn.TEXTSPLIT($D68, "-"), 3))</f>
        <v>CLV</v>
      </c>
      <c r="D68" s="84" t="s">
        <v>585</v>
      </c>
      <c r="E68" s="84" t="s">
        <v>604</v>
      </c>
      <c r="F68" s="84" t="str">
        <f t="shared" si="5"/>
        <v>t-clv-ssrap-lb-pb8080</v>
      </c>
      <c r="G68" s="84" t="s">
        <v>576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48"/>
      <c r="B69" s="74" t="s">
        <v>182</v>
      </c>
      <c r="C69" s="74" t="str" cm="1">
        <f t="array" ref="C69">UPPER(INDEX(_xlfn.TEXTSPLIT($D69, "-"), 3))</f>
        <v>CLV</v>
      </c>
      <c r="D69" s="74" t="s">
        <v>585</v>
      </c>
      <c r="E69" s="107" t="s">
        <v>605</v>
      </c>
      <c r="F69" s="74" t="str">
        <f t="shared" si="6"/>
        <v>t-clv-admweb-lb-pb443</v>
      </c>
      <c r="G69" s="74" t="s">
        <v>576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48"/>
      <c r="B70" s="84" t="s">
        <v>182</v>
      </c>
      <c r="C70" s="84" t="str" cm="1">
        <f t="array" ref="C70">UPPER(INDEX(_xlfn.TEXTSPLIT($D70, "-"), 3))</f>
        <v>CLV</v>
      </c>
      <c r="D70" s="84" t="s">
        <v>585</v>
      </c>
      <c r="E70" s="84" t="s">
        <v>606</v>
      </c>
      <c r="F70" s="84" t="str">
        <f t="shared" si="5"/>
        <v>t-clv-admap-lb-pb8080</v>
      </c>
      <c r="G70" s="84" t="s">
        <v>576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e" cm="1">
        <f t="array" ref="C71">UPPER(INDEX(_xlfn.TEXTSPLIT($D71, "-"), 3))</f>
        <v>#VALUE!</v>
      </c>
      <c r="D71" s="74"/>
      <c r="E71" s="74"/>
      <c r="F71" s="74" t="str">
        <f t="shared" si="5"/>
        <v>-pb443</v>
      </c>
      <c r="G71" s="74" t="s">
        <v>583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e" cm="1">
        <f t="array" ref="C72">UPPER(INDEX(_xlfn.TEXTSPLIT($D72, "-"), 3))</f>
        <v>#VALUE!</v>
      </c>
      <c r="D72" s="84"/>
      <c r="E72" s="84"/>
      <c r="F72" s="84" t="str">
        <f t="shared" si="5"/>
        <v>-pb8080</v>
      </c>
      <c r="G72" s="84" t="s">
        <v>583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e" cm="1">
        <f t="array" ref="C73">UPPER(INDEX(_xlfn.TEXTSPLIT($D73, "-"), 3))</f>
        <v>#VALUE!</v>
      </c>
      <c r="D73" s="74"/>
      <c r="E73" s="74"/>
      <c r="F73" s="74" t="str">
        <f t="shared" si="5"/>
        <v>-pb443</v>
      </c>
      <c r="G73" s="74" t="s">
        <v>583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e" cm="1">
        <f t="array" ref="C74">UPPER(INDEX(_xlfn.TEXTSPLIT($D74, "-"), 3))</f>
        <v>#VALUE!</v>
      </c>
      <c r="D74" s="84"/>
      <c r="E74" s="84"/>
      <c r="F74" s="84" t="str">
        <f t="shared" si="5"/>
        <v>-pb443</v>
      </c>
      <c r="G74" s="84" t="s">
        <v>583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e" cm="1">
        <f t="array" ref="C75">UPPER(INDEX(_xlfn.TEXTSPLIT($D75, "-"), 3))</f>
        <v>#VALUE!</v>
      </c>
      <c r="D75" s="74"/>
      <c r="E75" s="74"/>
      <c r="F75" s="74" t="str">
        <f t="shared" si="5"/>
        <v>-pb8080</v>
      </c>
      <c r="G75" s="74" t="s">
        <v>583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9" workbookViewId="0">
      <selection activeCell="A70" sqref="A7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CLV</v>
      </c>
      <c r="C66" s="84" t="s">
        <v>597</v>
      </c>
      <c r="D66" s="84" t="s">
        <v>602</v>
      </c>
      <c r="E66" s="84" t="str">
        <f t="shared" si="24"/>
        <v>t-clv-web-lb-rule443</v>
      </c>
      <c r="F66" s="84" t="str">
        <f t="shared" si="29"/>
        <v>t-clv-web-lb-fe</v>
      </c>
      <c r="G66" s="84" t="s">
        <v>57</v>
      </c>
      <c r="H66" s="84">
        <v>443</v>
      </c>
      <c r="I66" s="84" t="b">
        <v>0</v>
      </c>
      <c r="J66" s="84" t="str">
        <f t="shared" si="30"/>
        <v>t-clv-web-lb-bp</v>
      </c>
      <c r="K66" s="84">
        <v>443</v>
      </c>
      <c r="L66" s="84" t="str">
        <f t="shared" si="31"/>
        <v>t-clv-web-lb-pb443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CLV</v>
      </c>
      <c r="C67" s="74" t="s">
        <v>597</v>
      </c>
      <c r="D67" s="74" t="s">
        <v>603</v>
      </c>
      <c r="E67" s="74" t="str">
        <f t="shared" si="28"/>
        <v>t-clv-ap-lb-rule8080</v>
      </c>
      <c r="F67" s="74" t="str">
        <f t="shared" ref="F67:F70" si="36">SUBSTITUTE(D67, "hazr-", "")&amp;"-fe"</f>
        <v>t-clv-ap-lb-fe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t-clv-ap-lb-bp</v>
      </c>
      <c r="K67" s="74">
        <v>8080</v>
      </c>
      <c r="L67" s="74" t="str">
        <f t="shared" ref="L67:L70" si="38">SUBSTITUTE(D67, "hazr-", "")&amp;"-pb"&amp;IF(N67="", "", N67)</f>
        <v>t-clv-ap-lb-pb8080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CLV</v>
      </c>
      <c r="C68" s="84" t="s">
        <v>597</v>
      </c>
      <c r="D68" s="84" t="s">
        <v>604</v>
      </c>
      <c r="E68" s="84" t="str">
        <f t="shared" si="24"/>
        <v>t-clv-ssrap-lb-rule8080</v>
      </c>
      <c r="F68" s="84" t="str">
        <f t="shared" si="36"/>
        <v>t-clv-ssrap-lb-fe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t-clv-ssrap-lb-bp</v>
      </c>
      <c r="K68" s="84">
        <v>8080</v>
      </c>
      <c r="L68" s="84" t="str">
        <f t="shared" si="38"/>
        <v>t-clv-ssrap-lb-pb8080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CLV</v>
      </c>
      <c r="C69" s="74" t="s">
        <v>597</v>
      </c>
      <c r="D69" s="107" t="s">
        <v>605</v>
      </c>
      <c r="E69" s="74" t="str">
        <f t="shared" si="28"/>
        <v>t-clv-admweb-lb-rule443</v>
      </c>
      <c r="F69" s="74" t="str">
        <f t="shared" si="36"/>
        <v>t-clv-admweb-lb-fe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t-clv-admweb-lb-bp</v>
      </c>
      <c r="K69" s="74">
        <v>443</v>
      </c>
      <c r="L69" s="74" t="str">
        <f t="shared" si="38"/>
        <v>t-clv-admweb-lb-pb443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CLV</v>
      </c>
      <c r="C70" s="84" t="s">
        <v>597</v>
      </c>
      <c r="D70" s="84" t="s">
        <v>606</v>
      </c>
      <c r="E70" s="84" t="str">
        <f t="shared" si="24"/>
        <v>t-clv-admap-lb-rule8080</v>
      </c>
      <c r="F70" s="84" t="str">
        <f t="shared" si="36"/>
        <v>t-clv-admap-lb-fe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t-clv-admap-lb-bp</v>
      </c>
      <c r="K70" s="84">
        <v>8080</v>
      </c>
      <c r="L70" s="84" t="str">
        <f t="shared" si="38"/>
        <v>t-clv-admap-lb-pb8080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e" cm="1">
        <f t="array" ref="B71">UPPER(INDEX(_xlfn.TEXTSPLIT($C71, "-"), 3))</f>
        <v>#VALUE!</v>
      </c>
      <c r="C71" s="74"/>
      <c r="D71" s="74"/>
      <c r="E71" s="74" t="str">
        <f t="shared" si="24"/>
        <v>-rule443</v>
      </c>
      <c r="F71" s="74" t="str">
        <f t="shared" ref="F71:F75" si="39">SUBSTITUTE(D71, "hazr-", "")&amp;"-fe"</f>
        <v>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-bp</v>
      </c>
      <c r="K71" s="74">
        <v>443</v>
      </c>
      <c r="L71" s="74" t="str">
        <f t="shared" ref="L71:L75" si="41">SUBSTITUTE(D71, "hazr-", "")&amp;"-pb"&amp;IF(N71="", "", N71)</f>
        <v>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e" cm="1">
        <f t="array" ref="B72">UPPER(INDEX(_xlfn.TEXTSPLIT($C72, "-"), 3))</f>
        <v>#VALUE!</v>
      </c>
      <c r="C72" s="84"/>
      <c r="D72" s="84"/>
      <c r="E72" s="84" t="str">
        <f t="shared" ref="E72:E75" si="42">SUBSTITUTE(D72, "hazr-", "")&amp;"-rule"&amp;N72</f>
        <v>-rule8080</v>
      </c>
      <c r="F72" s="84" t="str">
        <f t="shared" si="39"/>
        <v>-fe</v>
      </c>
      <c r="G72" s="84" t="s">
        <v>57</v>
      </c>
      <c r="H72" s="84">
        <v>8080</v>
      </c>
      <c r="I72" s="84" t="b">
        <v>0</v>
      </c>
      <c r="J72" s="84" t="str">
        <f t="shared" si="40"/>
        <v>-bp</v>
      </c>
      <c r="K72" s="84">
        <v>8080</v>
      </c>
      <c r="L72" s="84" t="str">
        <f t="shared" si="41"/>
        <v>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e" cm="1">
        <f t="array" ref="B73">UPPER(INDEX(_xlfn.TEXTSPLIT($C73, "-"), 3))</f>
        <v>#VALUE!</v>
      </c>
      <c r="C73" s="74"/>
      <c r="D73" s="74"/>
      <c r="E73" s="74" t="str">
        <f t="shared" si="42"/>
        <v>-rule443</v>
      </c>
      <c r="F73" s="74" t="str">
        <f t="shared" si="39"/>
        <v>-fe</v>
      </c>
      <c r="G73" s="74" t="s">
        <v>57</v>
      </c>
      <c r="H73" s="74">
        <v>443</v>
      </c>
      <c r="I73" s="74" t="b">
        <v>0</v>
      </c>
      <c r="J73" s="74" t="str">
        <f t="shared" si="40"/>
        <v>-bp</v>
      </c>
      <c r="K73" s="74">
        <v>443</v>
      </c>
      <c r="L73" s="74" t="str">
        <f t="shared" si="41"/>
        <v>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e" cm="1">
        <f t="array" ref="B74">UPPER(INDEX(_xlfn.TEXTSPLIT($C74, "-"), 3))</f>
        <v>#VALUE!</v>
      </c>
      <c r="C74" s="84"/>
      <c r="D74" s="84"/>
      <c r="E74" s="84" t="str">
        <f t="shared" si="42"/>
        <v>-rule443</v>
      </c>
      <c r="F74" s="84" t="str">
        <f t="shared" si="39"/>
        <v>-fe</v>
      </c>
      <c r="G74" s="84" t="s">
        <v>57</v>
      </c>
      <c r="H74" s="84">
        <v>443</v>
      </c>
      <c r="I74" s="84" t="b">
        <v>0</v>
      </c>
      <c r="J74" s="84" t="str">
        <f t="shared" si="40"/>
        <v>-bp</v>
      </c>
      <c r="K74" s="84">
        <v>443</v>
      </c>
      <c r="L74" s="84" t="str">
        <f t="shared" si="41"/>
        <v>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e" cm="1">
        <f t="array" ref="B75">UPPER(INDEX(_xlfn.TEXTSPLIT($C75, "-"), 3))</f>
        <v>#VALUE!</v>
      </c>
      <c r="C75" s="74"/>
      <c r="D75" s="74"/>
      <c r="E75" s="74" t="str">
        <f t="shared" si="42"/>
        <v>-rule8080</v>
      </c>
      <c r="F75" s="74" t="str">
        <f t="shared" si="39"/>
        <v>-fe</v>
      </c>
      <c r="G75" s="74" t="s">
        <v>57</v>
      </c>
      <c r="H75" s="74">
        <v>8080</v>
      </c>
      <c r="I75" s="74" t="b">
        <v>0</v>
      </c>
      <c r="J75" s="74" t="str">
        <f t="shared" si="40"/>
        <v>-bp</v>
      </c>
      <c r="K75" s="74">
        <v>8080</v>
      </c>
      <c r="L75" s="74" t="str">
        <f t="shared" si="41"/>
        <v>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2026-10-01T07:35:19Z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