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C82DEB4-215D-42CC-905A-045D60C2EA6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LB!$B$1:$Q$40</definedName>
    <definedName name="_xlnm._FilterDatabase" localSheetId="8" hidden="1">LB_Probe!$B$1:$K$83</definedName>
    <definedName name="_xlnm._FilterDatabase" localSheetId="9" hidden="1">LB_Rule!$A$1:$R$83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1" i="2" l="1"/>
  <c r="K90" i="2"/>
  <c r="E90" i="2"/>
  <c r="E91" i="2"/>
  <c r="C91" i="2" a="1"/>
  <c r="C91" i="2" s="1"/>
  <c r="C89" i="2" a="1"/>
  <c r="C89" i="2" s="1"/>
  <c r="C90" i="2" a="1"/>
  <c r="C90" i="2" s="1"/>
  <c r="J73" i="14"/>
  <c r="J72" i="14"/>
  <c r="G72" i="14"/>
  <c r="G73" i="14"/>
  <c r="C72" i="14" a="1"/>
  <c r="C72" i="14" s="1"/>
  <c r="C73" i="14" a="1"/>
  <c r="C73" i="14" s="1"/>
  <c r="C71" i="14" a="1"/>
  <c r="C71" i="14" s="1"/>
  <c r="C72" i="1" a="1"/>
  <c r="C72" i="1" s="1"/>
  <c r="C73" i="1" a="1"/>
  <c r="C73" i="1" s="1"/>
  <c r="O73" i="1"/>
  <c r="U73" i="1"/>
  <c r="O72" i="1"/>
  <c r="U7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80" i="2"/>
  <c r="U71" i="1"/>
  <c r="K89" i="2"/>
  <c r="E89" i="2"/>
  <c r="J71" i="14"/>
  <c r="G71" i="14"/>
  <c r="C71" i="1" a="1"/>
  <c r="C71" i="1" s="1"/>
  <c r="O7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68" i="1" a="1"/>
  <c r="C68" i="1" s="1"/>
  <c r="O68" i="1"/>
  <c r="U68" i="1"/>
  <c r="C69" i="1" a="1"/>
  <c r="C69" i="1" s="1"/>
  <c r="O69" i="1"/>
  <c r="U69" i="1"/>
  <c r="O70" i="1"/>
  <c r="U70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6" i="11"/>
  <c r="E77" i="11"/>
  <c r="E78" i="11"/>
  <c r="E79" i="11"/>
  <c r="E80" i="11"/>
  <c r="E81" i="11"/>
  <c r="E82" i="11"/>
  <c r="E83" i="11"/>
  <c r="E2" i="1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6" i="11"/>
  <c r="L77" i="11"/>
  <c r="L78" i="11"/>
  <c r="L79" i="11"/>
  <c r="L80" i="11"/>
  <c r="L81" i="11"/>
  <c r="L82" i="11"/>
  <c r="L83" i="11"/>
  <c r="L2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C77" i="10" a="1"/>
  <c r="C77" i="10" s="1"/>
  <c r="F77" i="10"/>
  <c r="C78" i="10" a="1"/>
  <c r="C78" i="10" s="1"/>
  <c r="F78" i="10"/>
  <c r="C48" i="10" a="1"/>
  <c r="C48" i="10" s="1"/>
  <c r="F48" i="10"/>
  <c r="C50" i="10" a="1"/>
  <c r="C50" i="10" s="1"/>
  <c r="F50" i="10"/>
  <c r="C51" i="10" a="1"/>
  <c r="C51" i="10" s="1"/>
  <c r="F51" i="10"/>
  <c r="C55" i="10" a="1"/>
  <c r="C55" i="10" s="1"/>
  <c r="F55" i="10"/>
  <c r="C53" i="10" a="1"/>
  <c r="C53" i="10" s="1"/>
  <c r="F53" i="10"/>
  <c r="C54" i="10" a="1"/>
  <c r="C54" i="10" s="1"/>
  <c r="F54" i="10"/>
  <c r="C57" i="10" a="1"/>
  <c r="C57" i="10" s="1"/>
  <c r="F57" i="10"/>
  <c r="C58" i="10" a="1"/>
  <c r="C58" i="10" s="1"/>
  <c r="F58" i="10"/>
  <c r="C59" i="10" a="1"/>
  <c r="C59" i="10" s="1"/>
  <c r="F59" i="10"/>
  <c r="C60" i="10" a="1"/>
  <c r="C60" i="10" s="1"/>
  <c r="F60" i="10"/>
  <c r="C67" i="10" a="1"/>
  <c r="C67" i="10" s="1"/>
  <c r="F67" i="10"/>
  <c r="C62" i="10" a="1"/>
  <c r="C62" i="10" s="1"/>
  <c r="F62" i="10"/>
  <c r="C63" i="10" a="1"/>
  <c r="C63" i="10" s="1"/>
  <c r="F63" i="10"/>
  <c r="C64" i="10" a="1"/>
  <c r="C64" i="10" s="1"/>
  <c r="F64" i="10"/>
  <c r="C65" i="10" a="1"/>
  <c r="C65" i="10" s="1"/>
  <c r="F65" i="10"/>
  <c r="C66" i="10" a="1"/>
  <c r="C66" i="10" s="1"/>
  <c r="F66" i="10"/>
  <c r="C69" i="10" a="1"/>
  <c r="C69" i="10" s="1"/>
  <c r="F69" i="10"/>
  <c r="C70" i="10" a="1"/>
  <c r="C70" i="10" s="1"/>
  <c r="F70" i="10"/>
  <c r="C71" i="10" a="1"/>
  <c r="C71" i="10" s="1"/>
  <c r="F71" i="10"/>
  <c r="C72" i="10" a="1"/>
  <c r="C72" i="10" s="1"/>
  <c r="F72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6" i="10"/>
  <c r="C36" i="10" a="1"/>
  <c r="C36" i="10" s="1"/>
  <c r="F32" i="10"/>
  <c r="C32" i="10" a="1"/>
  <c r="C32" i="10" s="1"/>
  <c r="F76" i="10"/>
  <c r="F47" i="10"/>
  <c r="F49" i="10"/>
  <c r="F52" i="10"/>
  <c r="F56" i="10"/>
  <c r="F61" i="10"/>
  <c r="F68" i="10"/>
  <c r="F82" i="10"/>
  <c r="F83" i="10"/>
  <c r="F79" i="10"/>
  <c r="F80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3" i="10"/>
  <c r="F34" i="10"/>
  <c r="F41" i="10"/>
  <c r="F42" i="10"/>
  <c r="F43" i="10"/>
  <c r="F44" i="10"/>
  <c r="F46" i="10"/>
  <c r="F39" i="10"/>
  <c r="F37" i="10"/>
  <c r="F38" i="10"/>
  <c r="F45" i="10"/>
  <c r="F73" i="10"/>
  <c r="F81" i="10"/>
  <c r="F11" i="10"/>
  <c r="F2" i="10"/>
  <c r="F4" i="10"/>
  <c r="F35" i="10"/>
  <c r="F31" i="10"/>
  <c r="F40" i="10"/>
  <c r="F75" i="10"/>
  <c r="C44" i="10" a="1"/>
  <c r="C44" i="10" s="1"/>
  <c r="C43" i="10" a="1"/>
  <c r="C43" i="10" s="1"/>
  <c r="F74" i="10"/>
  <c r="C88" i="2" a="1"/>
  <c r="C88" i="2" s="1"/>
  <c r="E88" i="2"/>
  <c r="G70" i="14"/>
  <c r="C70" i="14" a="1"/>
  <c r="C70" i="14" s="1"/>
  <c r="E87" i="2"/>
  <c r="E86" i="2"/>
  <c r="C87" i="2" a="1"/>
  <c r="C87" i="2" s="1"/>
  <c r="C86" i="2" a="1"/>
  <c r="C86" i="2" s="1"/>
  <c r="J68" i="14"/>
  <c r="J69" i="14"/>
  <c r="G68" i="14"/>
  <c r="G69" i="14"/>
  <c r="C68" i="14" a="1"/>
  <c r="C68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E2" i="2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C80" i="2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68" i="2"/>
  <c r="C68" i="2" s="1" a="1"/>
  <c r="C68" i="2" s="1"/>
  <c r="C73" i="2" a="1"/>
  <c r="C73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3" i="2"/>
  <c r="J21" i="14" l="1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20" i="14"/>
  <c r="J19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" i="14"/>
  <c r="G5" i="14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2" i="1"/>
  <c r="O63" i="1"/>
  <c r="O64" i="1"/>
  <c r="O65" i="1"/>
  <c r="O66" i="1"/>
  <c r="O6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J2" i="11"/>
  <c r="J3" i="11"/>
  <c r="J4" i="11"/>
  <c r="J5" i="11"/>
  <c r="J6" i="11"/>
  <c r="F3" i="11"/>
  <c r="F4" i="11"/>
  <c r="F5" i="1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48" i="11" a="1"/>
  <c r="B48" i="11" s="1"/>
  <c r="B43" i="11" a="1"/>
  <c r="B43" i="11" s="1"/>
  <c r="B41" i="11" a="1"/>
  <c r="B41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7" i="11" a="1"/>
  <c r="B47" i="11" s="1"/>
  <c r="B46" i="11" a="1"/>
  <c r="B46" i="11" s="1"/>
  <c r="B45" i="11" a="1"/>
  <c r="B45" i="11" s="1"/>
  <c r="B44" i="11" a="1"/>
  <c r="B44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33" i="11" a="1"/>
  <c r="B33" i="11" s="1"/>
  <c r="B42" i="11" a="1"/>
  <c r="B42" i="11" s="1"/>
  <c r="B40" i="11" a="1"/>
  <c r="B40" i="11" s="1"/>
  <c r="B39" i="11" a="1"/>
  <c r="B39" i="11" s="1"/>
  <c r="C76" i="10" a="1"/>
  <c r="C76" i="10" s="1"/>
  <c r="C47" i="10" a="1"/>
  <c r="C47" i="10" s="1"/>
  <c r="C49" i="10" a="1"/>
  <c r="C49" i="10" s="1"/>
  <c r="C52" i="10" a="1"/>
  <c r="C52" i="10" s="1"/>
  <c r="C56" i="10" a="1"/>
  <c r="C56" i="10" s="1"/>
  <c r="C61" i="10" a="1"/>
  <c r="C61" i="10" s="1"/>
  <c r="C68" i="10" a="1"/>
  <c r="C68" i="10" s="1"/>
  <c r="C82" i="10" a="1"/>
  <c r="C82" i="10" s="1"/>
  <c r="C83" i="10" a="1"/>
  <c r="C83" i="10" s="1"/>
  <c r="C79" i="10" a="1"/>
  <c r="C79" i="10" s="1"/>
  <c r="C80" i="10" a="1"/>
  <c r="C80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3" i="10" a="1"/>
  <c r="C33" i="10" s="1"/>
  <c r="C34" i="10" a="1"/>
  <c r="C34" i="10" s="1"/>
  <c r="C41" i="10" a="1"/>
  <c r="C41" i="10" s="1"/>
  <c r="C42" i="10" a="1"/>
  <c r="C42" i="10" s="1"/>
  <c r="C46" i="10" a="1"/>
  <c r="C46" i="10" s="1"/>
  <c r="C39" i="10" a="1"/>
  <c r="C39" i="10" s="1"/>
  <c r="C37" i="10" a="1"/>
  <c r="C37" i="10" s="1"/>
  <c r="C38" i="10" a="1"/>
  <c r="C38" i="10" s="1"/>
  <c r="C45" i="10" a="1"/>
  <c r="C45" i="10" s="1"/>
  <c r="C81" i="10" a="1"/>
  <c r="C81" i="10" s="1"/>
  <c r="C11" i="10" a="1"/>
  <c r="C11" i="10" s="1"/>
  <c r="C2" i="10" a="1"/>
  <c r="C2" i="10" s="1"/>
  <c r="C4" i="10" a="1"/>
  <c r="C4" i="10" s="1"/>
  <c r="C35" i="10" a="1"/>
  <c r="C35" i="10" s="1"/>
  <c r="C31" i="10" a="1"/>
  <c r="C31" i="10" s="1"/>
  <c r="C40" i="10" a="1"/>
  <c r="C40" i="10" s="1"/>
  <c r="Q40" i="6"/>
  <c r="Q2" i="6"/>
  <c r="Q3" i="6"/>
  <c r="Q4" i="6"/>
  <c r="Q5" i="6"/>
  <c r="Q25" i="6"/>
  <c r="Q26" i="6"/>
  <c r="Q27" i="6"/>
  <c r="Q28" i="6"/>
  <c r="Q29" i="6"/>
  <c r="Q30" i="6"/>
  <c r="Q31" i="6"/>
  <c r="Q32" i="6"/>
  <c r="Q33" i="6"/>
  <c r="Q34" i="6"/>
  <c r="Q35" i="6"/>
  <c r="Q36" i="6"/>
  <c r="Q22" i="6"/>
  <c r="Q23" i="6"/>
  <c r="Q24" i="6"/>
  <c r="Q10" i="6"/>
  <c r="Q11" i="6"/>
  <c r="Q12" i="6"/>
  <c r="Q13" i="6"/>
  <c r="Q14" i="6"/>
  <c r="Q15" i="6"/>
  <c r="Q16" i="6"/>
  <c r="Q17" i="6"/>
  <c r="Q18" i="6"/>
  <c r="Q9" i="6"/>
  <c r="Q6" i="6"/>
  <c r="Q37" i="6"/>
  <c r="Q38" i="6"/>
  <c r="Q39" i="6"/>
  <c r="Q8" i="6"/>
  <c r="Q7" i="6"/>
  <c r="K36" i="6"/>
  <c r="K29" i="6"/>
  <c r="K28" i="6"/>
  <c r="K27" i="6"/>
  <c r="K39" i="6"/>
  <c r="K26" i="6"/>
  <c r="K25" i="6"/>
  <c r="K38" i="6"/>
  <c r="K35" i="6"/>
  <c r="K34" i="6"/>
  <c r="K33" i="6"/>
  <c r="K32" i="6"/>
  <c r="K31" i="6"/>
  <c r="K37" i="6"/>
  <c r="K30" i="6"/>
  <c r="K5" i="6"/>
  <c r="K4" i="6"/>
  <c r="K40" i="6"/>
  <c r="K8" i="6"/>
  <c r="K9" i="6"/>
  <c r="K7" i="6"/>
  <c r="K24" i="6"/>
  <c r="K23" i="6"/>
  <c r="K22" i="6"/>
  <c r="K6" i="6"/>
  <c r="K3" i="6"/>
  <c r="K2" i="6"/>
  <c r="C5" i="6" a="1"/>
  <c r="C5" i="6" s="1"/>
  <c r="C4" i="6" a="1"/>
  <c r="C4" i="6" s="1"/>
  <c r="C40" i="6" a="1"/>
  <c r="C40" i="6" s="1"/>
  <c r="C8" i="6" a="1"/>
  <c r="C8" i="6" s="1"/>
  <c r="C9" i="6" a="1"/>
  <c r="C9" i="6" s="1"/>
  <c r="C7" i="6" a="1"/>
  <c r="C7" i="6" s="1"/>
  <c r="C24" i="6" a="1"/>
  <c r="C24" i="6" s="1"/>
  <c r="C23" i="6" a="1"/>
  <c r="C23" i="6" s="1"/>
  <c r="C22" i="6" a="1"/>
  <c r="C22" i="6" s="1"/>
  <c r="C6" i="6" a="1"/>
  <c r="C6" i="6" s="1"/>
  <c r="C3" i="6" a="1"/>
  <c r="C3" i="6" s="1"/>
  <c r="C2" i="6" a="1"/>
  <c r="C2" i="6" s="1"/>
  <c r="C29" i="6" a="1"/>
  <c r="C29" i="6" s="1"/>
  <c r="C28" i="6" a="1"/>
  <c r="C28" i="6" s="1"/>
  <c r="C27" i="6" a="1"/>
  <c r="C27" i="6" s="1"/>
  <c r="C39" i="6" a="1"/>
  <c r="C39" i="6" s="1"/>
  <c r="C26" i="6" a="1"/>
  <c r="C26" i="6" s="1"/>
  <c r="C25" i="6" a="1"/>
  <c r="C25" i="6" s="1"/>
  <c r="C38" i="6" a="1"/>
  <c r="C38" i="6" s="1"/>
  <c r="C35" i="6" a="1"/>
  <c r="C35" i="6" s="1"/>
  <c r="C34" i="6" a="1"/>
  <c r="C34" i="6" s="1"/>
  <c r="C33" i="6" a="1"/>
  <c r="C33" i="6" s="1"/>
  <c r="C32" i="6" a="1"/>
  <c r="C32" i="6" s="1"/>
  <c r="C31" i="6" a="1"/>
  <c r="C31" i="6" s="1"/>
  <c r="C37" i="6" a="1"/>
  <c r="C37" i="6" s="1"/>
  <c r="C30" i="6" a="1"/>
  <c r="C30" i="6" s="1"/>
  <c r="C36" i="6" a="1"/>
  <c r="C36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<sst xmlns="http://schemas.openxmlformats.org/spreadsheetml/2006/main" count="4693" uniqueCount="619">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</sst>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3" dataDxfId="32">
  <autoFilter ref="B1:AF7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386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474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475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tabSelected="1" zoomScaleNormal="100" zoomScaleSheetLayoutView="100" workbookViewId="0">
      <pane xSplit="6" ySplit="1" topLeftCell="G5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B1" sqref="B1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3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1" t="s">
        <v>611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1" t="s">
        <v>611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3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111" t="s">
        <v>612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499</v>
      </c>
      <c r="G5" s="74" t="s">
        <v>388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563</v>
      </c>
      <c r="M5" s="74" t="s">
        <v>180</v>
      </c>
      <c r="N5" s="111" t="s">
        <v>612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476</v>
      </c>
      <c r="Z5" s="74" t="s">
        <v>387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500</v>
      </c>
      <c r="G6" s="74" t="s">
        <v>389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563</v>
      </c>
      <c r="M6" s="74" t="s">
        <v>180</v>
      </c>
      <c r="N6" s="111" t="s">
        <v>611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476</v>
      </c>
      <c r="Z6" s="74" t="s">
        <v>387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501</v>
      </c>
      <c r="G7" s="74" t="s">
        <v>391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563</v>
      </c>
      <c r="M7" s="74" t="s">
        <v>180</v>
      </c>
      <c r="N7" s="111" t="s">
        <v>611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477</v>
      </c>
      <c r="Z7" s="74" t="s">
        <v>390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502</v>
      </c>
      <c r="G8" s="74" t="s">
        <v>569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563</v>
      </c>
      <c r="M8" s="74" t="s">
        <v>180</v>
      </c>
      <c r="N8" s="111" t="s">
        <v>612</v>
      </c>
      <c r="O8" s="74" t="str">
        <f t="shared" ref="O8:O37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476</v>
      </c>
      <c r="Z8" s="74" t="s">
        <v>387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503</v>
      </c>
      <c r="G9" s="74" t="s">
        <v>392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563</v>
      </c>
      <c r="M9" s="74" t="s">
        <v>180</v>
      </c>
      <c r="N9" s="111" t="s">
        <v>612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476</v>
      </c>
      <c r="Z9" s="74" t="s">
        <v>387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504</v>
      </c>
      <c r="G10" s="74" t="s">
        <v>478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563</v>
      </c>
      <c r="M10" s="74" t="s">
        <v>180</v>
      </c>
      <c r="N10" s="111" t="s">
        <v>612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476</v>
      </c>
      <c r="Z10" s="74" t="s">
        <v>387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505</v>
      </c>
      <c r="G11" s="74" t="s">
        <v>393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563</v>
      </c>
      <c r="M11" s="74" t="s">
        <v>180</v>
      </c>
      <c r="N11" s="111" t="s">
        <v>612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476</v>
      </c>
      <c r="Z11" s="74" t="s">
        <v>387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506</v>
      </c>
      <c r="G12" s="74" t="s">
        <v>479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563</v>
      </c>
      <c r="M12" s="74" t="s">
        <v>180</v>
      </c>
      <c r="N12" s="111" t="s">
        <v>612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476</v>
      </c>
      <c r="Z12" s="74" t="s">
        <v>387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507</v>
      </c>
      <c r="G13" s="74" t="s">
        <v>480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563</v>
      </c>
      <c r="M13" s="74" t="s">
        <v>180</v>
      </c>
      <c r="N13" s="111" t="s">
        <v>611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477</v>
      </c>
      <c r="Z13" s="74" t="s">
        <v>390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508</v>
      </c>
      <c r="G14" s="74" t="s">
        <v>394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563</v>
      </c>
      <c r="M14" s="74" t="s">
        <v>180</v>
      </c>
      <c r="N14" s="111" t="s">
        <v>611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476</v>
      </c>
      <c r="Z14" s="74" t="s">
        <v>387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509</v>
      </c>
      <c r="G15" s="74" t="s">
        <v>395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563</v>
      </c>
      <c r="M15" s="74" t="s">
        <v>180</v>
      </c>
      <c r="N15" s="111" t="s">
        <v>612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476</v>
      </c>
      <c r="Z15" s="74" t="s">
        <v>387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510</v>
      </c>
      <c r="G16" s="74" t="s">
        <v>396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563</v>
      </c>
      <c r="M16" s="74" t="s">
        <v>180</v>
      </c>
      <c r="N16" s="111" t="s">
        <v>611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477</v>
      </c>
      <c r="Z16" s="74" t="s">
        <v>390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511</v>
      </c>
      <c r="G17" s="74" t="s">
        <v>397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563</v>
      </c>
      <c r="M17" s="74" t="s">
        <v>180</v>
      </c>
      <c r="N17" s="111" t="s">
        <v>612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476</v>
      </c>
      <c r="Z17" s="74" t="s">
        <v>387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512</v>
      </c>
      <c r="G18" s="74" t="s">
        <v>481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563</v>
      </c>
      <c r="M18" s="74" t="s">
        <v>564</v>
      </c>
      <c r="N18" s="111" t="s">
        <v>568</v>
      </c>
      <c r="O18" s="74" t="str">
        <f t="shared" si="2"/>
        <v>t-dis-dfir01-osdisk</v>
      </c>
      <c r="P18" s="74">
        <v>128</v>
      </c>
      <c r="Q18" s="74" t="s">
        <v>181</v>
      </c>
      <c r="R18" s="74"/>
      <c r="S18" s="74"/>
      <c r="T18" s="74"/>
      <c r="U18" s="74" t="str">
        <f t="shared" si="1"/>
        <v>t-dis-dfir01-nic</v>
      </c>
      <c r="V18" s="74" t="b">
        <v>1</v>
      </c>
      <c r="W18" s="74" t="b">
        <v>1</v>
      </c>
      <c r="X18" s="74" t="s">
        <v>198</v>
      </c>
      <c r="Y18" s="74" t="s">
        <v>476</v>
      </c>
      <c r="Z18" s="74" t="s">
        <v>387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383</v>
      </c>
      <c r="E19" s="74" t="s">
        <v>24</v>
      </c>
      <c r="F19" s="74" t="s">
        <v>513</v>
      </c>
      <c r="G19" s="74" t="s">
        <v>399</v>
      </c>
      <c r="H19" s="74" t="s">
        <v>561</v>
      </c>
      <c r="I19" s="74">
        <v>2</v>
      </c>
      <c r="J19" s="74">
        <v>8</v>
      </c>
      <c r="K19" s="74" t="s">
        <v>183</v>
      </c>
      <c r="L19" s="106" t="s">
        <v>563</v>
      </c>
      <c r="M19" s="74" t="s">
        <v>180</v>
      </c>
      <c r="N19" s="111" t="s">
        <v>612</v>
      </c>
      <c r="O19" s="74" t="str">
        <f t="shared" si="2"/>
        <v>t-dtg-ingap01-osdisk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t-dtg-ingap01-nic</v>
      </c>
      <c r="V19" s="74" t="b">
        <v>1</v>
      </c>
      <c r="W19" s="74" t="b">
        <v>1</v>
      </c>
      <c r="X19" s="74" t="s">
        <v>198</v>
      </c>
      <c r="Y19" s="74" t="s">
        <v>476</v>
      </c>
      <c r="Z19" s="74" t="s">
        <v>398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383</v>
      </c>
      <c r="E20" s="74" t="s">
        <v>24</v>
      </c>
      <c r="F20" s="74" t="s">
        <v>514</v>
      </c>
      <c r="G20" s="74" t="s">
        <v>400</v>
      </c>
      <c r="H20" s="74" t="s">
        <v>561</v>
      </c>
      <c r="I20" s="74">
        <v>2</v>
      </c>
      <c r="J20" s="74">
        <v>8</v>
      </c>
      <c r="K20" s="74" t="s">
        <v>183</v>
      </c>
      <c r="L20" s="74" t="s">
        <v>563</v>
      </c>
      <c r="M20" s="74" t="s">
        <v>180</v>
      </c>
      <c r="N20" s="111" t="s">
        <v>612</v>
      </c>
      <c r="O20" s="74" t="str">
        <f t="shared" si="2"/>
        <v>t-dtg-ap01-osdisk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t-dtg-ap01-nic</v>
      </c>
      <c r="V20" s="74" t="b">
        <v>1</v>
      </c>
      <c r="W20" s="74" t="b">
        <v>1</v>
      </c>
      <c r="X20" s="74" t="s">
        <v>198</v>
      </c>
      <c r="Y20" s="74" t="s">
        <v>476</v>
      </c>
      <c r="Z20" s="74" t="s">
        <v>398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383</v>
      </c>
      <c r="E21" s="74" t="s">
        <v>24</v>
      </c>
      <c r="F21" s="74" t="s">
        <v>515</v>
      </c>
      <c r="G21" s="74" t="s">
        <v>401</v>
      </c>
      <c r="H21" s="74" t="s">
        <v>561</v>
      </c>
      <c r="I21" s="74">
        <v>2</v>
      </c>
      <c r="J21" s="74">
        <v>8</v>
      </c>
      <c r="K21" s="74" t="s">
        <v>183</v>
      </c>
      <c r="L21" s="106" t="s">
        <v>563</v>
      </c>
      <c r="M21" s="74" t="s">
        <v>180</v>
      </c>
      <c r="N21" s="111" t="s">
        <v>612</v>
      </c>
      <c r="O21" s="74" t="str">
        <f t="shared" si="2"/>
        <v>t-dtg-extgeoap01-osdisk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t-dtg-extgeoap01-nic</v>
      </c>
      <c r="V21" s="74" t="b">
        <v>1</v>
      </c>
      <c r="W21" s="74" t="b">
        <v>1</v>
      </c>
      <c r="X21" s="74" t="s">
        <v>198</v>
      </c>
      <c r="Y21" s="74" t="s">
        <v>476</v>
      </c>
      <c r="Z21" s="74" t="s">
        <v>398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383</v>
      </c>
      <c r="E22" s="74" t="s">
        <v>24</v>
      </c>
      <c r="F22" s="74" t="s">
        <v>516</v>
      </c>
      <c r="G22" s="74" t="s">
        <v>402</v>
      </c>
      <c r="H22" s="74" t="s">
        <v>561</v>
      </c>
      <c r="I22" s="74">
        <v>2</v>
      </c>
      <c r="J22" s="74">
        <v>8</v>
      </c>
      <c r="K22" s="74" t="s">
        <v>183</v>
      </c>
      <c r="L22" s="74" t="s">
        <v>563</v>
      </c>
      <c r="M22" s="74" t="s">
        <v>180</v>
      </c>
      <c r="N22" s="111" t="s">
        <v>612</v>
      </c>
      <c r="O22" s="74" t="str">
        <f t="shared" si="2"/>
        <v>t-dtg-geoap01-osdisk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t-dtg-geoap01-nic</v>
      </c>
      <c r="V22" s="74" t="b">
        <v>1</v>
      </c>
      <c r="W22" s="74" t="b">
        <v>1</v>
      </c>
      <c r="X22" s="74" t="s">
        <v>198</v>
      </c>
      <c r="Y22" s="74" t="s">
        <v>476</v>
      </c>
      <c r="Z22" s="74" t="s">
        <v>398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383</v>
      </c>
      <c r="E23" s="74" t="s">
        <v>24</v>
      </c>
      <c r="F23" s="74" t="s">
        <v>517</v>
      </c>
      <c r="G23" s="74" t="s">
        <v>404</v>
      </c>
      <c r="H23" s="74" t="s">
        <v>561</v>
      </c>
      <c r="I23" s="74">
        <v>2</v>
      </c>
      <c r="J23" s="74">
        <v>8</v>
      </c>
      <c r="K23" s="74" t="s">
        <v>183</v>
      </c>
      <c r="L23" s="106" t="s">
        <v>563</v>
      </c>
      <c r="M23" s="74" t="s">
        <v>180</v>
      </c>
      <c r="N23" s="111" t="s">
        <v>612</v>
      </c>
      <c r="O23" s="74" t="str">
        <f t="shared" si="2"/>
        <v>t-dtg-mq01-osdisk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t-dtg-mq01-nic</v>
      </c>
      <c r="V23" s="74" t="b">
        <v>1</v>
      </c>
      <c r="W23" s="74" t="b">
        <v>1</v>
      </c>
      <c r="X23" s="74" t="s">
        <v>198</v>
      </c>
      <c r="Y23" s="74" t="s">
        <v>477</v>
      </c>
      <c r="Z23" s="74" t="s">
        <v>403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383</v>
      </c>
      <c r="E24" s="74" t="s">
        <v>24</v>
      </c>
      <c r="F24" s="74" t="s">
        <v>518</v>
      </c>
      <c r="G24" s="74" t="s">
        <v>405</v>
      </c>
      <c r="H24" s="74" t="s">
        <v>561</v>
      </c>
      <c r="I24" s="74">
        <v>2</v>
      </c>
      <c r="J24" s="74">
        <v>8</v>
      </c>
      <c r="K24" s="74" t="s">
        <v>183</v>
      </c>
      <c r="L24" s="74" t="s">
        <v>563</v>
      </c>
      <c r="M24" s="74" t="s">
        <v>180</v>
      </c>
      <c r="N24" s="111" t="s">
        <v>611</v>
      </c>
      <c r="O24" s="74" t="str">
        <f t="shared" si="2"/>
        <v>t-dtg-admweb01-osdisk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t-dtg-admweb01-nic</v>
      </c>
      <c r="V24" s="74" t="b">
        <v>1</v>
      </c>
      <c r="W24" s="74" t="b">
        <v>1</v>
      </c>
      <c r="X24" s="74" t="s">
        <v>198</v>
      </c>
      <c r="Y24" s="74" t="s">
        <v>476</v>
      </c>
      <c r="Z24" s="74" t="s">
        <v>398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519</v>
      </c>
      <c r="G25" s="74" t="s">
        <v>406</v>
      </c>
      <c r="H25" s="74" t="s">
        <v>561</v>
      </c>
      <c r="I25" s="74">
        <v>2</v>
      </c>
      <c r="J25" s="74">
        <v>8</v>
      </c>
      <c r="K25" s="74" t="s">
        <v>183</v>
      </c>
      <c r="L25" s="106" t="s">
        <v>563</v>
      </c>
      <c r="M25" s="74" t="s">
        <v>180</v>
      </c>
      <c r="N25" s="111" t="s">
        <v>611</v>
      </c>
      <c r="O25" s="74" t="str">
        <f t="shared" si="2"/>
        <v>t-dtg-admap01-osdisk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t-dtg-admap01-nic</v>
      </c>
      <c r="V25" s="74" t="b">
        <v>1</v>
      </c>
      <c r="W25" s="74" t="b">
        <v>1</v>
      </c>
      <c r="X25" s="74" t="s">
        <v>198</v>
      </c>
      <c r="Y25" s="74" t="s">
        <v>476</v>
      </c>
      <c r="Z25" s="74" t="s">
        <v>398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24</v>
      </c>
      <c r="F26" s="74" t="s">
        <v>520</v>
      </c>
      <c r="G26" s="74" t="s">
        <v>482</v>
      </c>
      <c r="H26" s="74" t="s">
        <v>561</v>
      </c>
      <c r="I26" s="74">
        <v>2</v>
      </c>
      <c r="J26" s="74">
        <v>8</v>
      </c>
      <c r="K26" s="74" t="s">
        <v>183</v>
      </c>
      <c r="L26" s="74" t="s">
        <v>563</v>
      </c>
      <c r="M26" s="74" t="s">
        <v>180</v>
      </c>
      <c r="N26" s="111" t="s">
        <v>612</v>
      </c>
      <c r="O26" s="74" t="str">
        <f t="shared" si="2"/>
        <v>t-dtg-dtoms01-osdisk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t-dtg-dtoms01-nic</v>
      </c>
      <c r="V26" s="74" t="b">
        <v>1</v>
      </c>
      <c r="W26" s="74" t="b">
        <v>1</v>
      </c>
      <c r="X26" s="74" t="s">
        <v>198</v>
      </c>
      <c r="Y26" s="74" t="s">
        <v>476</v>
      </c>
      <c r="Z26" s="74" t="s">
        <v>398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521</v>
      </c>
      <c r="G27" s="74" t="s">
        <v>484</v>
      </c>
      <c r="H27" s="74" t="s">
        <v>562</v>
      </c>
      <c r="I27" s="74">
        <v>4</v>
      </c>
      <c r="J27" s="74">
        <v>32</v>
      </c>
      <c r="K27" s="74" t="s">
        <v>183</v>
      </c>
      <c r="L27" s="106" t="s">
        <v>563</v>
      </c>
      <c r="M27" s="74" t="s">
        <v>180</v>
      </c>
      <c r="N27" s="111" t="s">
        <v>612</v>
      </c>
      <c r="O27" s="74" t="str">
        <f t="shared" si="2"/>
        <v>t-dtg-tsdb01-osdisk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t-dtg-tsdb01-nic</v>
      </c>
      <c r="V27" s="74" t="b">
        <v>1</v>
      </c>
      <c r="W27" s="74" t="b">
        <v>1</v>
      </c>
      <c r="X27" s="74" t="s">
        <v>198</v>
      </c>
      <c r="Y27" s="74" t="s">
        <v>476</v>
      </c>
      <c r="Z27" s="74" t="s">
        <v>483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383</v>
      </c>
      <c r="E28" s="74" t="s">
        <v>24</v>
      </c>
      <c r="F28" s="74" t="s">
        <v>522</v>
      </c>
      <c r="G28" s="74" t="s">
        <v>407</v>
      </c>
      <c r="H28" s="74" t="s">
        <v>179</v>
      </c>
      <c r="I28" s="74">
        <v>2</v>
      </c>
      <c r="J28" s="74">
        <v>8</v>
      </c>
      <c r="K28" s="74" t="s">
        <v>183</v>
      </c>
      <c r="L28" s="74" t="s">
        <v>563</v>
      </c>
      <c r="M28" s="74" t="s">
        <v>180</v>
      </c>
      <c r="N28" s="111" t="s">
        <v>611</v>
      </c>
      <c r="O28" s="74" t="str">
        <f t="shared" si="2"/>
        <v>t-dtg-web01-osdisk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t-dtg-web01-nic</v>
      </c>
      <c r="V28" s="74" t="b">
        <v>1</v>
      </c>
      <c r="W28" s="74" t="b">
        <v>1</v>
      </c>
      <c r="X28" s="74" t="s">
        <v>198</v>
      </c>
      <c r="Y28" s="74" t="s">
        <v>477</v>
      </c>
      <c r="Z28" s="74" t="s">
        <v>403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523</v>
      </c>
      <c r="G29" s="74" t="s">
        <v>485</v>
      </c>
      <c r="H29" s="74" t="s">
        <v>561</v>
      </c>
      <c r="I29" s="74">
        <v>2</v>
      </c>
      <c r="J29" s="74">
        <v>8</v>
      </c>
      <c r="K29" s="74" t="s">
        <v>183</v>
      </c>
      <c r="L29" s="106" t="s">
        <v>563</v>
      </c>
      <c r="M29" s="74" t="s">
        <v>180</v>
      </c>
      <c r="N29" s="111" t="s">
        <v>612</v>
      </c>
      <c r="O29" s="74" t="str">
        <f t="shared" si="2"/>
        <v>t-dtg-zkp01-osdisk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t-dtg-zkp01-nic</v>
      </c>
      <c r="V29" s="74" t="b">
        <v>1</v>
      </c>
      <c r="W29" s="74" t="b">
        <v>1</v>
      </c>
      <c r="X29" s="74" t="s">
        <v>198</v>
      </c>
      <c r="Y29" s="74" t="s">
        <v>476</v>
      </c>
      <c r="Z29" s="74" t="s">
        <v>398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383</v>
      </c>
      <c r="E30" s="74" t="s">
        <v>24</v>
      </c>
      <c r="F30" s="74" t="s">
        <v>524</v>
      </c>
      <c r="G30" s="74" t="s">
        <v>486</v>
      </c>
      <c r="H30" s="74" t="s">
        <v>561</v>
      </c>
      <c r="I30" s="74">
        <v>2</v>
      </c>
      <c r="J30" s="74">
        <v>8</v>
      </c>
      <c r="K30" s="74" t="s">
        <v>183</v>
      </c>
      <c r="L30" s="74" t="s">
        <v>563</v>
      </c>
      <c r="M30" s="74" t="s">
        <v>180</v>
      </c>
      <c r="N30" s="111" t="s">
        <v>612</v>
      </c>
      <c r="O30" s="74" t="str">
        <f t="shared" si="2"/>
        <v>t-dtg-zkp02-osdisk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t-dtg-zkp02-nic</v>
      </c>
      <c r="V30" s="74" t="b">
        <v>1</v>
      </c>
      <c r="W30" s="74" t="b">
        <v>1</v>
      </c>
      <c r="X30" s="74" t="s">
        <v>198</v>
      </c>
      <c r="Y30" s="74" t="s">
        <v>476</v>
      </c>
      <c r="Z30" s="74" t="s">
        <v>398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525</v>
      </c>
      <c r="G31" s="74" t="s">
        <v>487</v>
      </c>
      <c r="H31" s="74" t="s">
        <v>561</v>
      </c>
      <c r="I31" s="74">
        <v>2</v>
      </c>
      <c r="J31" s="74">
        <v>8</v>
      </c>
      <c r="K31" s="74" t="s">
        <v>183</v>
      </c>
      <c r="L31" s="106" t="s">
        <v>563</v>
      </c>
      <c r="M31" s="74" t="s">
        <v>180</v>
      </c>
      <c r="N31" s="111" t="s">
        <v>612</v>
      </c>
      <c r="O31" s="74" t="str">
        <f t="shared" si="2"/>
        <v>t-dtg-zkp03-osdisk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t-dtg-zkp03-nic</v>
      </c>
      <c r="V31" s="74" t="b">
        <v>1</v>
      </c>
      <c r="W31" s="74" t="b">
        <v>1</v>
      </c>
      <c r="X31" s="74" t="s">
        <v>198</v>
      </c>
      <c r="Y31" s="74" t="s">
        <v>476</v>
      </c>
      <c r="Z31" s="74" t="s">
        <v>398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383</v>
      </c>
      <c r="E32" s="74" t="s">
        <v>24</v>
      </c>
      <c r="F32" s="74" t="s">
        <v>526</v>
      </c>
      <c r="G32" s="74" t="s">
        <v>488</v>
      </c>
      <c r="H32" s="74" t="s">
        <v>561</v>
      </c>
      <c r="I32" s="74">
        <v>2</v>
      </c>
      <c r="J32" s="74">
        <v>8</v>
      </c>
      <c r="K32" s="74" t="s">
        <v>183</v>
      </c>
      <c r="L32" s="74" t="s">
        <v>563</v>
      </c>
      <c r="M32" s="74" t="s">
        <v>180</v>
      </c>
      <c r="N32" s="111" t="s">
        <v>612</v>
      </c>
      <c r="O32" s="74" t="str">
        <f t="shared" si="2"/>
        <v>t-dtg-kfk01-osdisk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t-dtg-kfk01-nic</v>
      </c>
      <c r="V32" s="74" t="b">
        <v>1</v>
      </c>
      <c r="W32" s="74" t="b">
        <v>1</v>
      </c>
      <c r="X32" s="74" t="s">
        <v>198</v>
      </c>
      <c r="Y32" s="74" t="s">
        <v>476</v>
      </c>
      <c r="Z32" s="74" t="s">
        <v>398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527</v>
      </c>
      <c r="G33" s="74" t="s">
        <v>489</v>
      </c>
      <c r="H33" s="74" t="s">
        <v>561</v>
      </c>
      <c r="I33" s="74">
        <v>2</v>
      </c>
      <c r="J33" s="74">
        <v>8</v>
      </c>
      <c r="K33" s="74" t="s">
        <v>183</v>
      </c>
      <c r="L33" s="106" t="s">
        <v>563</v>
      </c>
      <c r="M33" s="74" t="s">
        <v>180</v>
      </c>
      <c r="N33" s="111" t="s">
        <v>612</v>
      </c>
      <c r="O33" s="74" t="str">
        <f t="shared" si="2"/>
        <v>t-dtg-kfk02-osdisk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t-dtg-kfk02-nic</v>
      </c>
      <c r="V33" s="74" t="b">
        <v>1</v>
      </c>
      <c r="W33" s="74" t="b">
        <v>1</v>
      </c>
      <c r="X33" s="74" t="s">
        <v>198</v>
      </c>
      <c r="Y33" s="74" t="s">
        <v>476</v>
      </c>
      <c r="Z33" s="74" t="s">
        <v>398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383</v>
      </c>
      <c r="E34" s="74" t="s">
        <v>24</v>
      </c>
      <c r="F34" s="74" t="s">
        <v>528</v>
      </c>
      <c r="G34" s="74" t="s">
        <v>490</v>
      </c>
      <c r="H34" s="74" t="s">
        <v>561</v>
      </c>
      <c r="I34" s="74">
        <v>2</v>
      </c>
      <c r="J34" s="74">
        <v>8</v>
      </c>
      <c r="K34" s="74" t="s">
        <v>183</v>
      </c>
      <c r="L34" s="74" t="s">
        <v>563</v>
      </c>
      <c r="M34" s="74" t="s">
        <v>180</v>
      </c>
      <c r="N34" s="111" t="s">
        <v>612</v>
      </c>
      <c r="O34" s="74" t="str">
        <f t="shared" si="2"/>
        <v>t-dtg-kfk03-osdisk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t-dtg-kfk03-nic</v>
      </c>
      <c r="V34" s="74" t="b">
        <v>1</v>
      </c>
      <c r="W34" s="74" t="b">
        <v>1</v>
      </c>
      <c r="X34" s="74" t="s">
        <v>198</v>
      </c>
      <c r="Y34" s="74" t="s">
        <v>476</v>
      </c>
      <c r="Z34" s="74" t="s">
        <v>398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529</v>
      </c>
      <c r="G35" s="74" t="s">
        <v>491</v>
      </c>
      <c r="H35" s="74" t="s">
        <v>561</v>
      </c>
      <c r="I35" s="74">
        <v>2</v>
      </c>
      <c r="J35" s="74">
        <v>8</v>
      </c>
      <c r="K35" s="74" t="s">
        <v>183</v>
      </c>
      <c r="L35" s="106" t="s">
        <v>563</v>
      </c>
      <c r="M35" s="74" t="s">
        <v>180</v>
      </c>
      <c r="N35" s="111" t="s">
        <v>611</v>
      </c>
      <c r="O35" s="74" t="str">
        <f t="shared" si="2"/>
        <v>t-dtg-mdoms01-osdisk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t-dtg-mdoms01-nic</v>
      </c>
      <c r="V35" s="74" t="b">
        <v>1</v>
      </c>
      <c r="W35" s="74" t="b">
        <v>1</v>
      </c>
      <c r="X35" s="74" t="s">
        <v>198</v>
      </c>
      <c r="Y35" s="74" t="s">
        <v>476</v>
      </c>
      <c r="Z35" s="74" t="s">
        <v>398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383</v>
      </c>
      <c r="E36" s="74" t="s">
        <v>24</v>
      </c>
      <c r="F36" s="74" t="s">
        <v>530</v>
      </c>
      <c r="G36" s="74" t="s">
        <v>408</v>
      </c>
      <c r="H36" s="74" t="s">
        <v>561</v>
      </c>
      <c r="I36" s="74">
        <v>2</v>
      </c>
      <c r="J36" s="74">
        <v>8</v>
      </c>
      <c r="K36" s="74" t="s">
        <v>183</v>
      </c>
      <c r="L36" s="74" t="s">
        <v>563</v>
      </c>
      <c r="M36" s="74" t="s">
        <v>180</v>
      </c>
      <c r="N36" s="111" t="s">
        <v>612</v>
      </c>
      <c r="O36" s="74" t="str">
        <f t="shared" si="2"/>
        <v>t-dtg-cdmlap01-osdisk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t-dtg-cdmlap01-nic</v>
      </c>
      <c r="V36" s="74" t="b">
        <v>1</v>
      </c>
      <c r="W36" s="74" t="b">
        <v>1</v>
      </c>
      <c r="X36" s="74" t="s">
        <v>198</v>
      </c>
      <c r="Y36" s="74" t="s">
        <v>476</v>
      </c>
      <c r="Z36" s="74" t="s">
        <v>398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531</v>
      </c>
      <c r="G37" s="74" t="s">
        <v>409</v>
      </c>
      <c r="H37" s="74" t="s">
        <v>561</v>
      </c>
      <c r="I37" s="74">
        <v>2</v>
      </c>
      <c r="J37" s="74">
        <v>8</v>
      </c>
      <c r="K37" s="74" t="s">
        <v>183</v>
      </c>
      <c r="L37" s="106" t="s">
        <v>563</v>
      </c>
      <c r="M37" s="74" t="s">
        <v>180</v>
      </c>
      <c r="N37" s="111" t="s">
        <v>612</v>
      </c>
      <c r="O37" s="74" t="str">
        <f t="shared" si="2"/>
        <v>t-dtg-cdstap01-osdisk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t-dtg-cdstap01-nic</v>
      </c>
      <c r="V37" s="74" t="b">
        <v>1</v>
      </c>
      <c r="W37" s="74" t="b">
        <v>1</v>
      </c>
      <c r="X37" s="74" t="s">
        <v>198</v>
      </c>
      <c r="Y37" s="74" t="s">
        <v>476</v>
      </c>
      <c r="Z37" s="74" t="s">
        <v>398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383</v>
      </c>
      <c r="E38" s="74" t="s">
        <v>24</v>
      </c>
      <c r="F38" s="74" t="s">
        <v>532</v>
      </c>
      <c r="G38" s="74" t="s">
        <v>410</v>
      </c>
      <c r="H38" s="74" t="s">
        <v>561</v>
      </c>
      <c r="I38" s="74">
        <v>2</v>
      </c>
      <c r="J38" s="74">
        <v>8</v>
      </c>
      <c r="K38" s="74" t="s">
        <v>183</v>
      </c>
      <c r="L38" s="74" t="s">
        <v>563</v>
      </c>
      <c r="M38" s="74" t="s">
        <v>180</v>
      </c>
      <c r="N38" s="111" t="s">
        <v>611</v>
      </c>
      <c r="O38" s="74" t="str">
        <f t="shared" ref="O38:O61" si="3">SUBSTITUTE(F38,"hazr-","")&amp;"-osdisk"</f>
        <v>t-dtg-cdsvadm01-osdisk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t-dtg-cdsvadm01-nic</v>
      </c>
      <c r="V38" s="74" t="b">
        <v>1</v>
      </c>
      <c r="W38" s="74" t="b">
        <v>1</v>
      </c>
      <c r="X38" s="74" t="s">
        <v>198</v>
      </c>
      <c r="Y38" s="74" t="s">
        <v>476</v>
      </c>
      <c r="Z38" s="74" t="s">
        <v>398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533</v>
      </c>
      <c r="G39" s="74" t="s">
        <v>411</v>
      </c>
      <c r="H39" s="74" t="s">
        <v>561</v>
      </c>
      <c r="I39" s="74">
        <v>2</v>
      </c>
      <c r="J39" s="74">
        <v>8</v>
      </c>
      <c r="K39" s="74" t="s">
        <v>183</v>
      </c>
      <c r="L39" s="106" t="s">
        <v>563</v>
      </c>
      <c r="M39" s="74" t="s">
        <v>180</v>
      </c>
      <c r="N39" s="111" t="s">
        <v>612</v>
      </c>
      <c r="O39" s="74" t="str">
        <f t="shared" si="3"/>
        <v>t-dtg-diosap01-osdisk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t-dtg-diosap01-nic</v>
      </c>
      <c r="V39" s="74" t="b">
        <v>1</v>
      </c>
      <c r="W39" s="74" t="b">
        <v>1</v>
      </c>
      <c r="X39" s="74" t="s">
        <v>198</v>
      </c>
      <c r="Y39" s="74" t="s">
        <v>476</v>
      </c>
      <c r="Z39" s="74" t="s">
        <v>398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383</v>
      </c>
      <c r="E40" s="74" t="s">
        <v>24</v>
      </c>
      <c r="F40" s="74" t="s">
        <v>534</v>
      </c>
      <c r="G40" s="74" t="s">
        <v>412</v>
      </c>
      <c r="H40" s="74" t="s">
        <v>561</v>
      </c>
      <c r="I40" s="74">
        <v>2</v>
      </c>
      <c r="J40" s="74">
        <v>8</v>
      </c>
      <c r="K40" s="74" t="s">
        <v>183</v>
      </c>
      <c r="L40" s="74" t="s">
        <v>563</v>
      </c>
      <c r="M40" s="74" t="s">
        <v>180</v>
      </c>
      <c r="N40" s="111" t="s">
        <v>611</v>
      </c>
      <c r="O40" s="74" t="str">
        <f t="shared" si="3"/>
        <v>t-dtg-diosweb01-osdisk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t-dtg-diosweb01-nic</v>
      </c>
      <c r="V40" s="74" t="b">
        <v>1</v>
      </c>
      <c r="W40" s="74" t="b">
        <v>1</v>
      </c>
      <c r="X40" s="74" t="s">
        <v>198</v>
      </c>
      <c r="Y40" s="74" t="s">
        <v>476</v>
      </c>
      <c r="Z40" s="74" t="s">
        <v>398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383</v>
      </c>
      <c r="E41" s="74" t="s">
        <v>24</v>
      </c>
      <c r="F41" s="74" t="s">
        <v>535</v>
      </c>
      <c r="G41" s="74" t="s">
        <v>413</v>
      </c>
      <c r="H41" s="74" t="s">
        <v>561</v>
      </c>
      <c r="I41" s="74">
        <v>2</v>
      </c>
      <c r="J41" s="74">
        <v>8</v>
      </c>
      <c r="K41" s="74" t="s">
        <v>183</v>
      </c>
      <c r="L41" s="106" t="s">
        <v>563</v>
      </c>
      <c r="M41" s="74" t="s">
        <v>180</v>
      </c>
      <c r="N41" s="111" t="s">
        <v>611</v>
      </c>
      <c r="O41" s="74" t="str">
        <f t="shared" si="3"/>
        <v>t-dtg-dprweb01-osdisk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t-dtg-dprweb01-nic</v>
      </c>
      <c r="V41" s="74" t="b">
        <v>1</v>
      </c>
      <c r="W41" s="74" t="b">
        <v>1</v>
      </c>
      <c r="X41" s="74" t="s">
        <v>198</v>
      </c>
      <c r="Y41" s="74" t="s">
        <v>477</v>
      </c>
      <c r="Z41" s="74" t="s">
        <v>403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383</v>
      </c>
      <c r="E42" s="74" t="s">
        <v>24</v>
      </c>
      <c r="F42" s="74" t="s">
        <v>536</v>
      </c>
      <c r="G42" s="74" t="s">
        <v>414</v>
      </c>
      <c r="H42" s="74" t="s">
        <v>561</v>
      </c>
      <c r="I42" s="74">
        <v>2</v>
      </c>
      <c r="J42" s="74">
        <v>8</v>
      </c>
      <c r="K42" s="74" t="s">
        <v>183</v>
      </c>
      <c r="L42" s="74" t="s">
        <v>563</v>
      </c>
      <c r="M42" s="74" t="s">
        <v>180</v>
      </c>
      <c r="N42" s="111" t="s">
        <v>612</v>
      </c>
      <c r="O42" s="74" t="str">
        <f t="shared" si="3"/>
        <v>t-dtg-dprap01-osdisk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t-dtg-dprap01-nic</v>
      </c>
      <c r="V42" s="74" t="b">
        <v>1</v>
      </c>
      <c r="W42" s="74" t="b">
        <v>1</v>
      </c>
      <c r="X42" s="74" t="s">
        <v>198</v>
      </c>
      <c r="Y42" s="74" t="s">
        <v>476</v>
      </c>
      <c r="Z42" s="74" t="s">
        <v>398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384</v>
      </c>
      <c r="E43" s="74" t="s">
        <v>24</v>
      </c>
      <c r="F43" s="74" t="s">
        <v>537</v>
      </c>
      <c r="G43" s="74" t="s">
        <v>416</v>
      </c>
      <c r="H43" s="74" t="s">
        <v>561</v>
      </c>
      <c r="I43" s="74">
        <v>2</v>
      </c>
      <c r="J43" s="74">
        <v>8</v>
      </c>
      <c r="K43" s="74" t="s">
        <v>183</v>
      </c>
      <c r="L43" s="106" t="s">
        <v>563</v>
      </c>
      <c r="M43" s="74" t="s">
        <v>180</v>
      </c>
      <c r="N43" s="111" t="s">
        <v>611</v>
      </c>
      <c r="O43" s="74" t="str">
        <f t="shared" si="3"/>
        <v>t-bdp-airfw01-osdisk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t-bdp-airfw01-nic</v>
      </c>
      <c r="V43" s="74" t="b">
        <v>1</v>
      </c>
      <c r="W43" s="74" t="b">
        <v>1</v>
      </c>
      <c r="X43" s="74" t="s">
        <v>198</v>
      </c>
      <c r="Y43" s="74" t="s">
        <v>476</v>
      </c>
      <c r="Z43" s="74" t="s">
        <v>415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384</v>
      </c>
      <c r="E44" s="74" t="s">
        <v>24</v>
      </c>
      <c r="F44" s="74" t="s">
        <v>538</v>
      </c>
      <c r="G44" s="74" t="s">
        <v>492</v>
      </c>
      <c r="H44" s="74" t="s">
        <v>561</v>
      </c>
      <c r="I44" s="74">
        <v>2</v>
      </c>
      <c r="J44" s="74">
        <v>8</v>
      </c>
      <c r="K44" s="74" t="s">
        <v>183</v>
      </c>
      <c r="L44" s="74" t="s">
        <v>563</v>
      </c>
      <c r="M44" s="74" t="s">
        <v>180</v>
      </c>
      <c r="N44" s="111" t="s">
        <v>611</v>
      </c>
      <c r="O44" s="74" t="str">
        <f t="shared" si="3"/>
        <v>t-bdp-kepler01-osdisk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t-bdp-kepler01-nic</v>
      </c>
      <c r="V44" s="74" t="b">
        <v>1</v>
      </c>
      <c r="W44" s="74" t="b">
        <v>1</v>
      </c>
      <c r="X44" s="74" t="s">
        <v>198</v>
      </c>
      <c r="Y44" s="74" t="s">
        <v>476</v>
      </c>
      <c r="Z44" s="74" t="s">
        <v>415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384</v>
      </c>
      <c r="E45" s="74" t="s">
        <v>24</v>
      </c>
      <c r="F45" s="74" t="s">
        <v>539</v>
      </c>
      <c r="G45" s="74" t="s">
        <v>417</v>
      </c>
      <c r="H45" s="74" t="s">
        <v>561</v>
      </c>
      <c r="I45" s="74">
        <v>2</v>
      </c>
      <c r="J45" s="74">
        <v>8</v>
      </c>
      <c r="K45" s="74" t="s">
        <v>183</v>
      </c>
      <c r="L45" s="106" t="s">
        <v>563</v>
      </c>
      <c r="M45" s="74" t="s">
        <v>180</v>
      </c>
      <c r="N45" s="111" t="s">
        <v>611</v>
      </c>
      <c r="O45" s="74" t="str">
        <f t="shared" si="3"/>
        <v>t-bdp-cxmadm01-osdisk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t-bdp-cxmadm01-nic</v>
      </c>
      <c r="V45" s="74" t="b">
        <v>1</v>
      </c>
      <c r="W45" s="74" t="b">
        <v>1</v>
      </c>
      <c r="X45" s="74" t="s">
        <v>198</v>
      </c>
      <c r="Y45" s="74" t="s">
        <v>476</v>
      </c>
      <c r="Z45" s="74" t="s">
        <v>415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384</v>
      </c>
      <c r="E46" s="74" t="s">
        <v>24</v>
      </c>
      <c r="F46" s="74" t="s">
        <v>540</v>
      </c>
      <c r="G46" s="74" t="s">
        <v>418</v>
      </c>
      <c r="H46" s="74" t="s">
        <v>561</v>
      </c>
      <c r="I46" s="74">
        <v>2</v>
      </c>
      <c r="J46" s="74">
        <v>8</v>
      </c>
      <c r="K46" s="74" t="s">
        <v>183</v>
      </c>
      <c r="L46" s="74" t="s">
        <v>563</v>
      </c>
      <c r="M46" s="74" t="s">
        <v>180</v>
      </c>
      <c r="N46" s="111" t="s">
        <v>611</v>
      </c>
      <c r="O46" s="74" t="str">
        <f t="shared" si="3"/>
        <v>t-bdp-slap01-osdisk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t-bdp-slap01-nic</v>
      </c>
      <c r="V46" s="74" t="b">
        <v>1</v>
      </c>
      <c r="W46" s="74" t="b">
        <v>1</v>
      </c>
      <c r="X46" s="74" t="s">
        <v>198</v>
      </c>
      <c r="Y46" s="74" t="s">
        <v>476</v>
      </c>
      <c r="Z46" s="74" t="s">
        <v>415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24</v>
      </c>
      <c r="F47" s="74" t="s">
        <v>541</v>
      </c>
      <c r="G47" s="74" t="s">
        <v>420</v>
      </c>
      <c r="H47" s="74" t="s">
        <v>561</v>
      </c>
      <c r="I47" s="74">
        <v>2</v>
      </c>
      <c r="J47" s="74">
        <v>8</v>
      </c>
      <c r="K47" s="74" t="s">
        <v>183</v>
      </c>
      <c r="L47" s="106" t="s">
        <v>563</v>
      </c>
      <c r="M47" s="74" t="s">
        <v>180</v>
      </c>
      <c r="N47" s="111" t="s">
        <v>611</v>
      </c>
      <c r="O47" s="74" t="str">
        <f t="shared" si="3"/>
        <v>t-dip-adm01-osdisk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t-dip-adm01-nic</v>
      </c>
      <c r="V47" s="74" t="b">
        <v>1</v>
      </c>
      <c r="W47" s="74" t="b">
        <v>1</v>
      </c>
      <c r="X47" s="74" t="s">
        <v>198</v>
      </c>
      <c r="Y47" s="74" t="s">
        <v>476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24</v>
      </c>
      <c r="F48" s="74" t="s">
        <v>542</v>
      </c>
      <c r="G48" s="74" t="s">
        <v>421</v>
      </c>
      <c r="H48" s="74" t="s">
        <v>561</v>
      </c>
      <c r="I48" s="74">
        <v>2</v>
      </c>
      <c r="J48" s="74">
        <v>8</v>
      </c>
      <c r="K48" s="74" t="s">
        <v>183</v>
      </c>
      <c r="L48" s="74" t="s">
        <v>563</v>
      </c>
      <c r="M48" s="74" t="s">
        <v>180</v>
      </c>
      <c r="N48" s="111" t="s">
        <v>611</v>
      </c>
      <c r="O48" s="74" t="str">
        <f t="shared" si="3"/>
        <v>t-dip-ap01-osdisk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t-dip-ap01-nic</v>
      </c>
      <c r="V48" s="74" t="b">
        <v>1</v>
      </c>
      <c r="W48" s="74" t="b">
        <v>1</v>
      </c>
      <c r="X48" s="74" t="s">
        <v>198</v>
      </c>
      <c r="Y48" s="74" t="s">
        <v>476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385</v>
      </c>
      <c r="E49" s="74" t="s">
        <v>24</v>
      </c>
      <c r="F49" s="74" t="s">
        <v>543</v>
      </c>
      <c r="G49" s="74" t="s">
        <v>422</v>
      </c>
      <c r="H49" s="74" t="s">
        <v>561</v>
      </c>
      <c r="I49" s="74">
        <v>2</v>
      </c>
      <c r="J49" s="74">
        <v>8</v>
      </c>
      <c r="K49" s="74" t="s">
        <v>183</v>
      </c>
      <c r="L49" s="106" t="s">
        <v>563</v>
      </c>
      <c r="M49" s="74" t="s">
        <v>180</v>
      </c>
      <c r="N49" s="111" t="s">
        <v>612</v>
      </c>
      <c r="O49" s="74" t="str">
        <f t="shared" si="3"/>
        <v>t-dip-flk01-osdisk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t-dip-flk01-nic</v>
      </c>
      <c r="V49" s="74" t="b">
        <v>1</v>
      </c>
      <c r="W49" s="74" t="b">
        <v>1</v>
      </c>
      <c r="X49" s="74" t="s">
        <v>198</v>
      </c>
      <c r="Y49" s="74" t="s">
        <v>476</v>
      </c>
      <c r="Z49" s="74" t="s">
        <v>419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385</v>
      </c>
      <c r="E50" s="74" t="s">
        <v>24</v>
      </c>
      <c r="F50" s="74" t="s">
        <v>544</v>
      </c>
      <c r="G50" s="74" t="s">
        <v>423</v>
      </c>
      <c r="H50" s="74" t="s">
        <v>561</v>
      </c>
      <c r="I50" s="74">
        <v>2</v>
      </c>
      <c r="J50" s="74">
        <v>8</v>
      </c>
      <c r="K50" s="74" t="s">
        <v>183</v>
      </c>
      <c r="L50" s="74" t="s">
        <v>563</v>
      </c>
      <c r="M50" s="74" t="s">
        <v>180</v>
      </c>
      <c r="N50" s="111" t="s">
        <v>612</v>
      </c>
      <c r="O50" s="74" t="str">
        <f t="shared" si="3"/>
        <v>t-dip-flk02-osdisk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t-dip-flk02-nic</v>
      </c>
      <c r="V50" s="74" t="b">
        <v>1</v>
      </c>
      <c r="W50" s="74" t="b">
        <v>1</v>
      </c>
      <c r="X50" s="74" t="s">
        <v>198</v>
      </c>
      <c r="Y50" s="74" t="s">
        <v>476</v>
      </c>
      <c r="Z50" s="74" t="s">
        <v>419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385</v>
      </c>
      <c r="E51" s="74" t="s">
        <v>24</v>
      </c>
      <c r="F51" s="74" t="s">
        <v>545</v>
      </c>
      <c r="G51" s="74" t="s">
        <v>424</v>
      </c>
      <c r="H51" s="74" t="s">
        <v>561</v>
      </c>
      <c r="I51" s="74">
        <v>2</v>
      </c>
      <c r="J51" s="74">
        <v>8</v>
      </c>
      <c r="K51" s="74" t="s">
        <v>183</v>
      </c>
      <c r="L51" s="106" t="s">
        <v>563</v>
      </c>
      <c r="M51" s="74" t="s">
        <v>180</v>
      </c>
      <c r="N51" s="111" t="s">
        <v>612</v>
      </c>
      <c r="O51" s="74" t="str">
        <f t="shared" si="3"/>
        <v>t-dip-flk03-osdisk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t-dip-flk03-nic</v>
      </c>
      <c r="V51" s="74" t="b">
        <v>1</v>
      </c>
      <c r="W51" s="74" t="b">
        <v>1</v>
      </c>
      <c r="X51" s="74" t="s">
        <v>198</v>
      </c>
      <c r="Y51" s="74" t="s">
        <v>476</v>
      </c>
      <c r="Z51" s="74" t="s">
        <v>419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24</v>
      </c>
      <c r="F52" s="74" t="s">
        <v>546</v>
      </c>
      <c r="G52" s="74" t="s">
        <v>425</v>
      </c>
      <c r="H52" s="74" t="s">
        <v>561</v>
      </c>
      <c r="I52" s="74">
        <v>2</v>
      </c>
      <c r="J52" s="74">
        <v>8</v>
      </c>
      <c r="K52" s="74" t="s">
        <v>183</v>
      </c>
      <c r="L52" s="74" t="s">
        <v>563</v>
      </c>
      <c r="M52" s="74" t="s">
        <v>180</v>
      </c>
      <c r="N52" s="111" t="s">
        <v>611</v>
      </c>
      <c r="O52" s="74" t="str">
        <f t="shared" si="3"/>
        <v>t-dip-geoap01-osdisk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t-dip-geoap01-nic</v>
      </c>
      <c r="V52" s="74" t="b">
        <v>1</v>
      </c>
      <c r="W52" s="74" t="b">
        <v>1</v>
      </c>
      <c r="X52" s="74" t="s">
        <v>198</v>
      </c>
      <c r="Y52" s="74" t="s">
        <v>476</v>
      </c>
      <c r="Z52" s="74" t="s">
        <v>419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24</v>
      </c>
      <c r="F53" s="74" t="s">
        <v>547</v>
      </c>
      <c r="G53" s="74" t="s">
        <v>493</v>
      </c>
      <c r="H53" s="74" t="s">
        <v>561</v>
      </c>
      <c r="I53" s="74">
        <v>2</v>
      </c>
      <c r="J53" s="74">
        <v>8</v>
      </c>
      <c r="K53" s="74" t="s">
        <v>183</v>
      </c>
      <c r="L53" s="106" t="s">
        <v>563</v>
      </c>
      <c r="M53" s="74" t="s">
        <v>180</v>
      </c>
      <c r="N53" s="111" t="s">
        <v>612</v>
      </c>
      <c r="O53" s="74" t="str">
        <f t="shared" si="3"/>
        <v>t-dip-kfk01-osdisk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t-dip-kfk01-nic</v>
      </c>
      <c r="V53" s="74" t="b">
        <v>1</v>
      </c>
      <c r="W53" s="74" t="b">
        <v>1</v>
      </c>
      <c r="X53" s="74" t="s">
        <v>198</v>
      </c>
      <c r="Y53" s="74" t="s">
        <v>476</v>
      </c>
      <c r="Z53" s="74" t="s">
        <v>419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24</v>
      </c>
      <c r="F54" s="74" t="s">
        <v>548</v>
      </c>
      <c r="G54" s="74" t="s">
        <v>494</v>
      </c>
      <c r="H54" s="74" t="s">
        <v>561</v>
      </c>
      <c r="I54" s="74">
        <v>2</v>
      </c>
      <c r="J54" s="74">
        <v>8</v>
      </c>
      <c r="K54" s="74" t="s">
        <v>183</v>
      </c>
      <c r="L54" s="74" t="s">
        <v>563</v>
      </c>
      <c r="M54" s="74" t="s">
        <v>180</v>
      </c>
      <c r="N54" s="111" t="s">
        <v>612</v>
      </c>
      <c r="O54" s="74" t="str">
        <f t="shared" si="3"/>
        <v>t-dip-kfk02-osdisk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t-dip-kfk02-nic</v>
      </c>
      <c r="V54" s="74" t="b">
        <v>1</v>
      </c>
      <c r="W54" s="74" t="b">
        <v>1</v>
      </c>
      <c r="X54" s="74" t="s">
        <v>198</v>
      </c>
      <c r="Y54" s="74" t="s">
        <v>476</v>
      </c>
      <c r="Z54" s="74" t="s">
        <v>419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24</v>
      </c>
      <c r="F55" s="74" t="s">
        <v>549</v>
      </c>
      <c r="G55" s="74" t="s">
        <v>495</v>
      </c>
      <c r="H55" s="74" t="s">
        <v>561</v>
      </c>
      <c r="I55" s="74">
        <v>2</v>
      </c>
      <c r="J55" s="74">
        <v>8</v>
      </c>
      <c r="K55" s="74" t="s">
        <v>183</v>
      </c>
      <c r="L55" s="106" t="s">
        <v>563</v>
      </c>
      <c r="M55" s="74" t="s">
        <v>180</v>
      </c>
      <c r="N55" s="111" t="s">
        <v>612</v>
      </c>
      <c r="O55" s="74" t="str">
        <f t="shared" si="3"/>
        <v>t-dip-kfk03-osdisk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t-dip-kfk03-nic</v>
      </c>
      <c r="V55" s="74" t="b">
        <v>1</v>
      </c>
      <c r="W55" s="74" t="b">
        <v>1</v>
      </c>
      <c r="X55" s="74" t="s">
        <v>198</v>
      </c>
      <c r="Y55" s="74" t="s">
        <v>476</v>
      </c>
      <c r="Z55" s="74" t="s">
        <v>419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385</v>
      </c>
      <c r="E56" s="74" t="s">
        <v>24</v>
      </c>
      <c r="F56" s="74" t="s">
        <v>550</v>
      </c>
      <c r="G56" s="74" t="s">
        <v>426</v>
      </c>
      <c r="H56" s="74" t="s">
        <v>561</v>
      </c>
      <c r="I56" s="74">
        <v>2</v>
      </c>
      <c r="J56" s="74">
        <v>8</v>
      </c>
      <c r="K56" s="74" t="s">
        <v>183</v>
      </c>
      <c r="L56" s="74" t="s">
        <v>563</v>
      </c>
      <c r="M56" s="74" t="s">
        <v>180</v>
      </c>
      <c r="N56" s="111" t="s">
        <v>612</v>
      </c>
      <c r="O56" s="74" t="str">
        <f t="shared" si="3"/>
        <v>t-dip-mqap01-osdisk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t-dip-mqap01-nic</v>
      </c>
      <c r="V56" s="74" t="b">
        <v>1</v>
      </c>
      <c r="W56" s="74" t="b">
        <v>1</v>
      </c>
      <c r="X56" s="74" t="s">
        <v>198</v>
      </c>
      <c r="Y56" s="74" t="s">
        <v>476</v>
      </c>
      <c r="Z56" s="74" t="s">
        <v>419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385</v>
      </c>
      <c r="E57" s="74" t="s">
        <v>24</v>
      </c>
      <c r="F57" s="74" t="s">
        <v>551</v>
      </c>
      <c r="G57" s="74" t="s">
        <v>427</v>
      </c>
      <c r="H57" s="74" t="s">
        <v>561</v>
      </c>
      <c r="I57" s="74">
        <v>2</v>
      </c>
      <c r="J57" s="74">
        <v>8</v>
      </c>
      <c r="K57" s="74" t="s">
        <v>183</v>
      </c>
      <c r="L57" s="106" t="s">
        <v>563</v>
      </c>
      <c r="M57" s="74" t="s">
        <v>180</v>
      </c>
      <c r="N57" s="111" t="s">
        <v>611</v>
      </c>
      <c r="O57" s="74" t="str">
        <f t="shared" si="3"/>
        <v>t-dip-mqweb01-osdisk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t-dip-mqweb01-nic</v>
      </c>
      <c r="V57" s="74" t="b">
        <v>1</v>
      </c>
      <c r="W57" s="74" t="b">
        <v>1</v>
      </c>
      <c r="X57" s="74" t="s">
        <v>198</v>
      </c>
      <c r="Y57" s="74" t="s">
        <v>476</v>
      </c>
      <c r="Z57" s="74" t="s">
        <v>419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385</v>
      </c>
      <c r="E58" s="74" t="s">
        <v>24</v>
      </c>
      <c r="F58" s="74" t="s">
        <v>552</v>
      </c>
      <c r="G58" s="74" t="s">
        <v>496</v>
      </c>
      <c r="H58" s="74" t="s">
        <v>561</v>
      </c>
      <c r="I58" s="74">
        <v>2</v>
      </c>
      <c r="J58" s="74">
        <v>8</v>
      </c>
      <c r="K58" s="74" t="s">
        <v>183</v>
      </c>
      <c r="L58" s="74" t="s">
        <v>563</v>
      </c>
      <c r="M58" s="74" t="s">
        <v>180</v>
      </c>
      <c r="N58" s="111" t="s">
        <v>611</v>
      </c>
      <c r="O58" s="74" t="str">
        <f t="shared" si="3"/>
        <v>t-dip-oms01-osdisk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t-dip-oms01-nic</v>
      </c>
      <c r="V58" s="74" t="b">
        <v>1</v>
      </c>
      <c r="W58" s="74" t="b">
        <v>1</v>
      </c>
      <c r="X58" s="74" t="s">
        <v>198</v>
      </c>
      <c r="Y58" s="74" t="s">
        <v>476</v>
      </c>
      <c r="Z58" s="74" t="s">
        <v>419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385</v>
      </c>
      <c r="E59" s="74" t="s">
        <v>24</v>
      </c>
      <c r="F59" s="74" t="s">
        <v>553</v>
      </c>
      <c r="G59" s="74" t="s">
        <v>428</v>
      </c>
      <c r="H59" s="74" t="s">
        <v>561</v>
      </c>
      <c r="I59" s="74">
        <v>2</v>
      </c>
      <c r="J59" s="74">
        <v>8</v>
      </c>
      <c r="K59" s="74" t="s">
        <v>183</v>
      </c>
      <c r="L59" s="106" t="s">
        <v>563</v>
      </c>
      <c r="M59" s="74" t="s">
        <v>180</v>
      </c>
      <c r="N59" s="111" t="s">
        <v>611</v>
      </c>
      <c r="O59" s="74" t="str">
        <f t="shared" si="3"/>
        <v>t-dip-web01-osdisk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t-dip-web01-nic</v>
      </c>
      <c r="V59" s="74" t="b">
        <v>1</v>
      </c>
      <c r="W59" s="74" t="b">
        <v>1</v>
      </c>
      <c r="X59" s="74" t="s">
        <v>198</v>
      </c>
      <c r="Y59" s="74" t="s">
        <v>476</v>
      </c>
      <c r="Z59" s="74" t="s">
        <v>419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IF</v>
      </c>
      <c r="D60" s="74" t="s">
        <v>474</v>
      </c>
      <c r="E60" s="74" t="s">
        <v>24</v>
      </c>
      <c r="F60" s="74" t="s">
        <v>599</v>
      </c>
      <c r="G60" s="74" t="s">
        <v>601</v>
      </c>
      <c r="H60" s="74" t="s">
        <v>561</v>
      </c>
      <c r="I60" s="74">
        <v>2</v>
      </c>
      <c r="J60" s="74">
        <v>8</v>
      </c>
      <c r="K60" s="74" t="s">
        <v>183</v>
      </c>
      <c r="L60" s="74" t="s">
        <v>563</v>
      </c>
      <c r="M60" s="74" t="s">
        <v>180</v>
      </c>
      <c r="N60" s="111" t="s">
        <v>611</v>
      </c>
      <c r="O60" s="74" t="str">
        <f t="shared" si="3"/>
        <v>t-if-auth01-osdisk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t-if-auth01-nic</v>
      </c>
      <c r="V60" s="74" t="b">
        <v>1</v>
      </c>
      <c r="W60" s="74" t="b">
        <v>1</v>
      </c>
      <c r="X60" s="74" t="s">
        <v>198</v>
      </c>
      <c r="Y60" s="74" t="s">
        <v>476</v>
      </c>
      <c r="Z60" s="74" t="s">
        <v>321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IF</v>
      </c>
      <c r="D61" s="74" t="s">
        <v>474</v>
      </c>
      <c r="E61" s="74" t="s">
        <v>24</v>
      </c>
      <c r="F61" s="74" t="s">
        <v>554</v>
      </c>
      <c r="G61" s="74" t="s">
        <v>498</v>
      </c>
      <c r="H61" s="74" t="s">
        <v>561</v>
      </c>
      <c r="I61" s="74">
        <v>2</v>
      </c>
      <c r="J61" s="74">
        <v>8</v>
      </c>
      <c r="K61" s="74" t="s">
        <v>183</v>
      </c>
      <c r="L61" s="74" t="s">
        <v>563</v>
      </c>
      <c r="M61" s="74" t="s">
        <v>180</v>
      </c>
      <c r="N61" s="111" t="s">
        <v>612</v>
      </c>
      <c r="O61" s="74" t="str">
        <f t="shared" si="3"/>
        <v>t-if-gramon01-osdisk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t-if-gramon01-nic</v>
      </c>
      <c r="V61" s="74" t="b">
        <v>1</v>
      </c>
      <c r="W61" s="74" t="b">
        <v>1</v>
      </c>
      <c r="X61" s="74" t="s">
        <v>198</v>
      </c>
      <c r="Y61" s="74" t="s">
        <v>476</v>
      </c>
      <c r="Z61" s="74" t="s">
        <v>497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DOIP</v>
      </c>
      <c r="D62" s="74" t="s">
        <v>386</v>
      </c>
      <c r="E62" s="74" t="s">
        <v>24</v>
      </c>
      <c r="F62" s="74" t="s">
        <v>555</v>
      </c>
      <c r="G62" s="74" t="s">
        <v>430</v>
      </c>
      <c r="H62" s="74" t="s">
        <v>561</v>
      </c>
      <c r="I62" s="74">
        <v>2</v>
      </c>
      <c r="J62" s="74">
        <v>8</v>
      </c>
      <c r="K62" s="74" t="s">
        <v>183</v>
      </c>
      <c r="L62" s="106" t="s">
        <v>563</v>
      </c>
      <c r="M62" s="74" t="s">
        <v>180</v>
      </c>
      <c r="N62" s="111" t="s">
        <v>611</v>
      </c>
      <c r="O62" s="74" t="str">
        <f t="shared" ref="O62:O67" si="4">SUBSTITUTE(F62,"hazr-","")&amp;"-osdisk"</f>
        <v>t-doip-web01-osdisk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t-doip-web01-nic</v>
      </c>
      <c r="V62" s="74" t="b">
        <v>1</v>
      </c>
      <c r="W62" s="74" t="b">
        <v>1</v>
      </c>
      <c r="X62" s="74" t="s">
        <v>198</v>
      </c>
      <c r="Y62" s="74" t="s">
        <v>476</v>
      </c>
      <c r="Z62" s="74" t="s">
        <v>429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DOIP</v>
      </c>
      <c r="D63" s="74" t="s">
        <v>386</v>
      </c>
      <c r="E63" s="74" t="s">
        <v>24</v>
      </c>
      <c r="F63" s="74" t="s">
        <v>556</v>
      </c>
      <c r="G63" s="74" t="s">
        <v>431</v>
      </c>
      <c r="H63" s="74" t="s">
        <v>561</v>
      </c>
      <c r="I63" s="74">
        <v>2</v>
      </c>
      <c r="J63" s="74">
        <v>8</v>
      </c>
      <c r="K63" s="74" t="s">
        <v>183</v>
      </c>
      <c r="L63" s="74" t="s">
        <v>563</v>
      </c>
      <c r="M63" s="74" t="s">
        <v>180</v>
      </c>
      <c r="N63" s="111" t="s">
        <v>612</v>
      </c>
      <c r="O63" s="74" t="str">
        <f t="shared" si="4"/>
        <v>t-doip-ap01-osdisk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t-doip-ap01-nic</v>
      </c>
      <c r="V63" s="74" t="b">
        <v>1</v>
      </c>
      <c r="W63" s="74" t="b">
        <v>1</v>
      </c>
      <c r="X63" s="74" t="s">
        <v>198</v>
      </c>
      <c r="Y63" s="74" t="s">
        <v>476</v>
      </c>
      <c r="Z63" s="74" t="s">
        <v>429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DOIP</v>
      </c>
      <c r="D64" s="74" t="s">
        <v>386</v>
      </c>
      <c r="E64" s="74" t="s">
        <v>24</v>
      </c>
      <c r="F64" s="74" t="s">
        <v>557</v>
      </c>
      <c r="G64" s="74" t="s">
        <v>432</v>
      </c>
      <c r="H64" s="74" t="s">
        <v>561</v>
      </c>
      <c r="I64" s="74">
        <v>2</v>
      </c>
      <c r="J64" s="74">
        <v>8</v>
      </c>
      <c r="K64" s="74" t="s">
        <v>183</v>
      </c>
      <c r="L64" s="106" t="s">
        <v>563</v>
      </c>
      <c r="M64" s="74" t="s">
        <v>180</v>
      </c>
      <c r="N64" s="111" t="s">
        <v>612</v>
      </c>
      <c r="O64" s="74" t="str">
        <f t="shared" si="4"/>
        <v>t-doip-adm01-osdisk</v>
      </c>
      <c r="P64" s="74">
        <v>64</v>
      </c>
      <c r="Q64" s="74" t="s">
        <v>181</v>
      </c>
      <c r="R64" s="74"/>
      <c r="S64" s="74"/>
      <c r="T64" s="74"/>
      <c r="U64" s="74" t="str">
        <f t="shared" ref="U64:U69" si="5">SUBSTITUTE(F64,"hazr-","")&amp;"-nic"</f>
        <v>t-doip-adm01-nic</v>
      </c>
      <c r="V64" s="74" t="b">
        <v>1</v>
      </c>
      <c r="W64" s="74" t="b">
        <v>1</v>
      </c>
      <c r="X64" s="74" t="s">
        <v>198</v>
      </c>
      <c r="Y64" s="74" t="s">
        <v>476</v>
      </c>
      <c r="Z64" s="74" t="s">
        <v>429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BDP</v>
      </c>
      <c r="D65" s="74" t="s">
        <v>384</v>
      </c>
      <c r="E65" s="74" t="s">
        <v>24</v>
      </c>
      <c r="F65" s="74" t="s">
        <v>558</v>
      </c>
      <c r="G65" s="74" t="s">
        <v>434</v>
      </c>
      <c r="H65" s="74" t="s">
        <v>561</v>
      </c>
      <c r="I65" s="74">
        <v>2</v>
      </c>
      <c r="J65" s="74">
        <v>8</v>
      </c>
      <c r="K65" s="74" t="s">
        <v>183</v>
      </c>
      <c r="L65" s="74" t="s">
        <v>563</v>
      </c>
      <c r="M65" s="74" t="s">
        <v>180</v>
      </c>
      <c r="N65" s="111" t="s">
        <v>611</v>
      </c>
      <c r="O65" s="74" t="str">
        <f t="shared" si="4"/>
        <v>t-bdp-crkweb01-osdisk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5"/>
        <v>t-bdp-crkweb01-nic</v>
      </c>
      <c r="V65" s="74" t="b">
        <v>1</v>
      </c>
      <c r="W65" s="74" t="b">
        <v>1</v>
      </c>
      <c r="X65" s="74" t="s">
        <v>198</v>
      </c>
      <c r="Y65" s="74" t="s">
        <v>477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BDP</v>
      </c>
      <c r="D66" s="74" t="s">
        <v>384</v>
      </c>
      <c r="E66" s="74" t="s">
        <v>24</v>
      </c>
      <c r="F66" s="74" t="s">
        <v>559</v>
      </c>
      <c r="G66" s="74" t="s">
        <v>435</v>
      </c>
      <c r="H66" s="74" t="s">
        <v>561</v>
      </c>
      <c r="I66" s="74">
        <v>2</v>
      </c>
      <c r="J66" s="74">
        <v>8</v>
      </c>
      <c r="K66" s="74" t="s">
        <v>183</v>
      </c>
      <c r="L66" s="106" t="s">
        <v>563</v>
      </c>
      <c r="M66" s="74" t="s">
        <v>180</v>
      </c>
      <c r="N66" s="111" t="s">
        <v>612</v>
      </c>
      <c r="O66" s="74" t="str">
        <f t="shared" si="4"/>
        <v>t-bdp-crkap01-osdisk</v>
      </c>
      <c r="P66" s="74">
        <v>64</v>
      </c>
      <c r="Q66" s="74" t="s">
        <v>181</v>
      </c>
      <c r="R66" s="74"/>
      <c r="S66" s="74"/>
      <c r="T66" s="74"/>
      <c r="U66" s="74" t="str">
        <f t="shared" si="5"/>
        <v>t-bdp-crkap01-nic</v>
      </c>
      <c r="V66" s="74" t="b">
        <v>1</v>
      </c>
      <c r="W66" s="74" t="b">
        <v>1</v>
      </c>
      <c r="X66" s="74" t="s">
        <v>198</v>
      </c>
      <c r="Y66" s="74" t="s">
        <v>476</v>
      </c>
      <c r="Z66" s="74" t="s">
        <v>415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BDP</v>
      </c>
      <c r="D67" s="74" t="s">
        <v>384</v>
      </c>
      <c r="E67" s="74" t="s">
        <v>24</v>
      </c>
      <c r="F67" s="74" t="s">
        <v>560</v>
      </c>
      <c r="G67" s="74" t="s">
        <v>436</v>
      </c>
      <c r="H67" s="74" t="s">
        <v>561</v>
      </c>
      <c r="I67" s="74">
        <v>2</v>
      </c>
      <c r="J67" s="74">
        <v>8</v>
      </c>
      <c r="K67" s="74" t="s">
        <v>183</v>
      </c>
      <c r="L67" s="74" t="s">
        <v>563</v>
      </c>
      <c r="M67" s="74" t="s">
        <v>180</v>
      </c>
      <c r="N67" s="111" t="s">
        <v>612</v>
      </c>
      <c r="O67" s="74" t="str">
        <f t="shared" si="4"/>
        <v>t-bdp-crkml01-osdisk</v>
      </c>
      <c r="P67" s="74">
        <v>64</v>
      </c>
      <c r="Q67" s="74" t="s">
        <v>181</v>
      </c>
      <c r="R67" s="74"/>
      <c r="S67" s="74"/>
      <c r="T67" s="74"/>
      <c r="U67" s="74" t="str">
        <f t="shared" si="5"/>
        <v>t-bdp-crkml01-nic</v>
      </c>
      <c r="V67" s="74" t="b">
        <v>1</v>
      </c>
      <c r="W67" s="74" t="b">
        <v>1</v>
      </c>
      <c r="X67" s="74" t="s">
        <v>198</v>
      </c>
      <c r="Y67" s="74" t="s">
        <v>476</v>
      </c>
      <c r="Z67" s="74" t="s">
        <v>415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586</v>
      </c>
      <c r="C68" s="74" t="str" cm="1">
        <f t="array" ref="C68">UPPER(INDEX(_xlfn.TEXTSPLIT($D68, "-"), 3))</f>
        <v>MON</v>
      </c>
      <c r="D68" s="74" t="s">
        <v>572</v>
      </c>
      <c r="E68" s="74" t="s">
        <v>24</v>
      </c>
      <c r="F68" s="74" t="s">
        <v>579</v>
      </c>
      <c r="G68" s="74" t="s">
        <v>575</v>
      </c>
      <c r="H68" s="105" t="s">
        <v>574</v>
      </c>
      <c r="I68" s="74">
        <v>8</v>
      </c>
      <c r="J68" s="74">
        <v>32</v>
      </c>
      <c r="K68" s="74" t="s">
        <v>183</v>
      </c>
      <c r="L68" s="106" t="s">
        <v>563</v>
      </c>
      <c r="M68" s="106" t="s">
        <v>573</v>
      </c>
      <c r="N68" s="111" t="s">
        <v>612</v>
      </c>
      <c r="O68" s="74" t="str">
        <f t="shared" ref="O68:O73" si="6">SUBSTITUTE(F68,"hazr-","")&amp;"-osdisk"</f>
        <v>l-mon-whtap01-osdisk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l-mon-whtap01-nic</v>
      </c>
      <c r="V68" s="74" t="b">
        <v>1</v>
      </c>
      <c r="W68" s="74" t="b">
        <v>1</v>
      </c>
      <c r="X68" s="74" t="s">
        <v>580</v>
      </c>
      <c r="Y68" s="74" t="s">
        <v>282</v>
      </c>
      <c r="Z68" s="74" t="s">
        <v>577</v>
      </c>
      <c r="AA68" s="74" t="b">
        <v>1</v>
      </c>
      <c r="AB68" s="74" t="s">
        <v>580</v>
      </c>
      <c r="AC68" s="74" t="s">
        <v>585</v>
      </c>
      <c r="AD68" s="74">
        <v>1</v>
      </c>
      <c r="AE68" s="74"/>
      <c r="AF68" s="74"/>
    </row>
    <row r="69" spans="1:32" x14ac:dyDescent="0.3">
      <c r="A69" s="97"/>
      <c r="B69" s="74" t="s">
        <v>586</v>
      </c>
      <c r="C69" s="74" t="str" cm="1">
        <f t="array" ref="C69">UPPER(INDEX(_xlfn.TEXTSPLIT($D69, "-"), 3))</f>
        <v>MON</v>
      </c>
      <c r="D69" s="74" t="s">
        <v>572</v>
      </c>
      <c r="E69" s="74" t="s">
        <v>24</v>
      </c>
      <c r="F69" s="74" t="s">
        <v>578</v>
      </c>
      <c r="G69" s="74" t="s">
        <v>576</v>
      </c>
      <c r="H69" s="105" t="s">
        <v>574</v>
      </c>
      <c r="I69" s="74">
        <v>8</v>
      </c>
      <c r="J69" s="74">
        <v>32</v>
      </c>
      <c r="K69" s="74" t="s">
        <v>183</v>
      </c>
      <c r="L69" s="74" t="s">
        <v>563</v>
      </c>
      <c r="M69" s="106" t="s">
        <v>573</v>
      </c>
      <c r="N69" s="111" t="s">
        <v>612</v>
      </c>
      <c r="O69" s="74" t="str">
        <f t="shared" si="6"/>
        <v>l-mon-whtap02-osdisk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l-mon-whtap02-nic</v>
      </c>
      <c r="V69" s="74" t="b">
        <v>1</v>
      </c>
      <c r="W69" s="74" t="b">
        <v>1</v>
      </c>
      <c r="X69" s="74" t="s">
        <v>580</v>
      </c>
      <c r="Y69" s="74" t="s">
        <v>282</v>
      </c>
      <c r="Z69" s="74" t="s">
        <v>577</v>
      </c>
      <c r="AA69" s="74" t="b">
        <v>1</v>
      </c>
      <c r="AB69" s="74" t="s">
        <v>580</v>
      </c>
      <c r="AC69" s="74" t="s">
        <v>584</v>
      </c>
      <c r="AD69" s="74">
        <v>2</v>
      </c>
      <c r="AE69" s="74"/>
      <c r="AF69" s="74"/>
    </row>
    <row r="70" spans="1:32" x14ac:dyDescent="0.3">
      <c r="A70" s="97"/>
      <c r="B70" s="107" t="s">
        <v>586</v>
      </c>
      <c r="C70" s="107" t="s">
        <v>581</v>
      </c>
      <c r="D70" s="107" t="s">
        <v>572</v>
      </c>
      <c r="E70" s="107" t="s">
        <v>24</v>
      </c>
      <c r="F70" s="107" t="s">
        <v>588</v>
      </c>
      <c r="G70" s="107" t="s">
        <v>589</v>
      </c>
      <c r="H70" s="108" t="s">
        <v>179</v>
      </c>
      <c r="I70" s="107">
        <v>2</v>
      </c>
      <c r="J70" s="107">
        <v>8</v>
      </c>
      <c r="K70" s="107" t="s">
        <v>183</v>
      </c>
      <c r="L70" s="109" t="s">
        <v>178</v>
      </c>
      <c r="M70" s="109" t="s">
        <v>573</v>
      </c>
      <c r="N70" s="111" t="s">
        <v>612</v>
      </c>
      <c r="O70" s="107" t="str">
        <f t="shared" si="6"/>
        <v>l-mon-whtap03-osdisk</v>
      </c>
      <c r="P70" s="107">
        <v>64</v>
      </c>
      <c r="Q70" s="107" t="s">
        <v>181</v>
      </c>
      <c r="R70" s="107"/>
      <c r="S70" s="107"/>
      <c r="T70" s="107"/>
      <c r="U70" s="107" t="str">
        <f>SUBSTITUTE(F70,"hazr-","")&amp;"-nic"</f>
        <v>l-mon-whtap03-nic</v>
      </c>
      <c r="V70" s="107" t="b">
        <v>1</v>
      </c>
      <c r="W70" s="107" t="b">
        <v>1</v>
      </c>
      <c r="X70" s="107" t="s">
        <v>580</v>
      </c>
      <c r="Y70" s="107" t="s">
        <v>282</v>
      </c>
      <c r="Z70" s="107" t="s">
        <v>577</v>
      </c>
      <c r="AA70" s="107" t="b">
        <v>1</v>
      </c>
      <c r="AB70" s="107" t="s">
        <v>580</v>
      </c>
      <c r="AC70" s="107" t="s">
        <v>585</v>
      </c>
      <c r="AD70" s="107">
        <v>3</v>
      </c>
      <c r="AE70" s="107"/>
      <c r="AF70" s="107"/>
    </row>
    <row r="71" spans="1:32" x14ac:dyDescent="0.3">
      <c r="A71" s="97"/>
      <c r="B71" s="107" t="s">
        <v>182</v>
      </c>
      <c r="C71" s="107" t="str" cm="1">
        <f t="array" ref="C71">UPPER(INDEX(_xlfn.TEXTSPLIT($D71, "-"), 3))</f>
        <v>IF</v>
      </c>
      <c r="D71" s="107" t="s">
        <v>474</v>
      </c>
      <c r="E71" s="107" t="s">
        <v>24</v>
      </c>
      <c r="F71" s="107" t="s">
        <v>595</v>
      </c>
      <c r="G71" s="107" t="s">
        <v>596</v>
      </c>
      <c r="H71" s="108" t="s">
        <v>179</v>
      </c>
      <c r="I71" s="107">
        <v>2</v>
      </c>
      <c r="J71" s="107">
        <v>8</v>
      </c>
      <c r="K71" s="107" t="s">
        <v>183</v>
      </c>
      <c r="L71" s="109" t="s">
        <v>178</v>
      </c>
      <c r="M71" s="109" t="s">
        <v>573</v>
      </c>
      <c r="N71" s="111" t="s">
        <v>618</v>
      </c>
      <c r="O71" s="107" t="str">
        <f t="shared" si="6"/>
        <v>t-if-icsweb01-osdisk</v>
      </c>
      <c r="P71" s="107">
        <v>64</v>
      </c>
      <c r="Q71" s="107" t="s">
        <v>181</v>
      </c>
      <c r="R71" s="107"/>
      <c r="S71" s="107"/>
      <c r="T71" s="107"/>
      <c r="U71" s="107" t="str">
        <f>SUBSTITUTE(F71,"hazr-","")&amp;"-nic"</f>
        <v>t-if-icsweb01-nic</v>
      </c>
      <c r="V71" s="107" t="b">
        <v>1</v>
      </c>
      <c r="W71" s="107" t="b">
        <v>1</v>
      </c>
      <c r="X71" s="107" t="s">
        <v>198</v>
      </c>
      <c r="Y71" s="107" t="s">
        <v>199</v>
      </c>
      <c r="Z71" s="107" t="s">
        <v>338</v>
      </c>
      <c r="AA71" s="107" t="b">
        <v>1</v>
      </c>
      <c r="AB71" s="107" t="s">
        <v>198</v>
      </c>
      <c r="AC71" s="107" t="s">
        <v>210</v>
      </c>
      <c r="AD71" s="107">
        <v>3</v>
      </c>
      <c r="AE71" s="107"/>
      <c r="AF71" s="107"/>
    </row>
    <row r="72" spans="1:32" x14ac:dyDescent="0.3">
      <c r="B72" s="107" t="s">
        <v>182</v>
      </c>
      <c r="C72" s="107" t="str" cm="1">
        <f t="array" ref="C72">UPPER(INDEX(_xlfn.TEXTSPLIT($D72, "-"), 3))</f>
        <v>COM</v>
      </c>
      <c r="D72" s="107" t="s">
        <v>613</v>
      </c>
      <c r="E72" s="107" t="s">
        <v>24</v>
      </c>
      <c r="F72" s="107" t="s">
        <v>614</v>
      </c>
      <c r="G72" s="107" t="s">
        <v>616</v>
      </c>
      <c r="H72" s="108" t="s">
        <v>179</v>
      </c>
      <c r="I72" s="107">
        <v>2</v>
      </c>
      <c r="J72" s="107">
        <v>8</v>
      </c>
      <c r="K72" s="107" t="s">
        <v>183</v>
      </c>
      <c r="L72" s="109" t="s">
        <v>178</v>
      </c>
      <c r="M72" s="109" t="s">
        <v>573</v>
      </c>
      <c r="N72" s="112" t="s">
        <v>618</v>
      </c>
      <c r="O72" s="107" t="str">
        <f t="shared" si="6"/>
        <v>t-com-esnweb01-osdisk</v>
      </c>
      <c r="P72" s="107">
        <v>64</v>
      </c>
      <c r="Q72" s="107" t="s">
        <v>181</v>
      </c>
      <c r="R72" s="107"/>
      <c r="S72" s="107"/>
      <c r="T72" s="107"/>
      <c r="U72" s="107" t="str">
        <f>SUBSTITUTE(F72,"hazr-","")&amp;"-nic"</f>
        <v>t-com-esnweb01-nic</v>
      </c>
      <c r="V72" s="107" t="b">
        <v>1</v>
      </c>
      <c r="W72" s="107" t="b">
        <v>1</v>
      </c>
      <c r="X72" s="107" t="s">
        <v>198</v>
      </c>
      <c r="Y72" s="107" t="s">
        <v>199</v>
      </c>
      <c r="Z72" s="107" t="s">
        <v>336</v>
      </c>
      <c r="AA72" s="107" t="b">
        <v>1</v>
      </c>
      <c r="AB72" s="107" t="s">
        <v>198</v>
      </c>
      <c r="AC72" s="107" t="s">
        <v>210</v>
      </c>
      <c r="AD72" s="107">
        <v>3</v>
      </c>
      <c r="AE72" s="107"/>
      <c r="AF72" s="107"/>
    </row>
    <row r="73" spans="1:32" x14ac:dyDescent="0.3">
      <c r="B73" s="107" t="s">
        <v>182</v>
      </c>
      <c r="C73" s="107" t="str" cm="1">
        <f t="array" ref="C73">UPPER(INDEX(_xlfn.TEXTSPLIT($D73, "-"), 3))</f>
        <v>COM</v>
      </c>
      <c r="D73" s="107" t="s">
        <v>613</v>
      </c>
      <c r="E73" s="107" t="s">
        <v>24</v>
      </c>
      <c r="F73" s="107" t="s">
        <v>615</v>
      </c>
      <c r="G73" s="107" t="s">
        <v>617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573</v>
      </c>
      <c r="N73" s="112" t="s">
        <v>618</v>
      </c>
      <c r="O73" s="107" t="str">
        <f t="shared" si="6"/>
        <v>t-com-esnwas01-osdisk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t-com-esnwas01-nic</v>
      </c>
      <c r="V73" s="107" t="b">
        <v>1</v>
      </c>
      <c r="W73" s="107" t="b">
        <v>1</v>
      </c>
      <c r="X73" s="107" t="s">
        <v>198</v>
      </c>
      <c r="Y73" s="107" t="s">
        <v>200</v>
      </c>
      <c r="Z73" s="107" t="s">
        <v>318</v>
      </c>
      <c r="AA73" s="107" t="b">
        <v>1</v>
      </c>
      <c r="AB73" s="107" t="s">
        <v>198</v>
      </c>
      <c r="AC73" s="107" t="s">
        <v>210</v>
      </c>
      <c r="AD73" s="107">
        <v>3</v>
      </c>
      <c r="AE73" s="107"/>
      <c r="AF73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workbookViewId="0">
      <pane xSplit="3" ySplit="1" topLeftCell="D52" activePane="bottomRight" state="frozen"/>
      <selection pane="topRight" activeCell="D1" sqref="D1"/>
      <selection pane="bottomLeft" activeCell="A2" sqref="A2"/>
      <selection pane="bottomRight" activeCell="F72" sqref="F72:F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499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5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500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501</v>
      </c>
      <c r="G7" s="74" t="str">
        <f t="shared" ref="G7:G68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502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503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504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505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506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507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508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509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510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511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512</v>
      </c>
      <c r="G18" s="73" t="str">
        <f t="shared" si="2"/>
        <v>t-dis-dfir01-disk01</v>
      </c>
      <c r="H18" s="73" t="s">
        <v>565</v>
      </c>
      <c r="I18" s="73" t="s">
        <v>565</v>
      </c>
      <c r="J18" s="73" t="s">
        <v>565</v>
      </c>
      <c r="K18" s="73" t="s">
        <v>565</v>
      </c>
      <c r="L18" s="73" t="s">
        <v>565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DTG</v>
      </c>
      <c r="D19" s="78" t="s">
        <v>383</v>
      </c>
      <c r="E19" s="89" t="s">
        <v>24</v>
      </c>
      <c r="F19" s="74" t="s">
        <v>513</v>
      </c>
      <c r="G19" s="74" t="str">
        <f t="shared" si="2"/>
        <v>t-dtg-ingap01-disk01</v>
      </c>
      <c r="H19" s="74" t="s">
        <v>181</v>
      </c>
      <c r="I19" s="74">
        <v>128</v>
      </c>
      <c r="J19" s="74" t="str">
        <f t="shared" si="1"/>
        <v>t-dtg-ingap01-disk02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DTG</v>
      </c>
      <c r="D20" s="88" t="s">
        <v>383</v>
      </c>
      <c r="E20" s="88" t="s">
        <v>24</v>
      </c>
      <c r="F20" s="73" t="s">
        <v>514</v>
      </c>
      <c r="G20" s="73" t="str">
        <f t="shared" si="2"/>
        <v>t-dtg-ap01-disk01</v>
      </c>
      <c r="H20" s="73" t="s">
        <v>181</v>
      </c>
      <c r="I20" s="73">
        <v>128</v>
      </c>
      <c r="J20" s="73" t="str">
        <f t="shared" si="1"/>
        <v>t-dtg-ap01-disk02</v>
      </c>
      <c r="K20" s="73" t="s">
        <v>181</v>
      </c>
      <c r="L20" s="73">
        <v>128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383</v>
      </c>
      <c r="E21" s="89" t="s">
        <v>24</v>
      </c>
      <c r="F21" s="74" t="s">
        <v>515</v>
      </c>
      <c r="G21" s="74" t="str">
        <f t="shared" si="2"/>
        <v>t-dtg-extgeoap01-disk01</v>
      </c>
      <c r="H21" s="74" t="s">
        <v>181</v>
      </c>
      <c r="I21" s="74">
        <v>128</v>
      </c>
      <c r="J21" s="74" t="str">
        <f t="shared" si="1"/>
        <v>t-dtg-extgeoap01-disk02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383</v>
      </c>
      <c r="E22" s="88" t="s">
        <v>24</v>
      </c>
      <c r="F22" s="73" t="s">
        <v>516</v>
      </c>
      <c r="G22" s="73" t="str">
        <f t="shared" si="2"/>
        <v>t-dtg-geoap01-disk01</v>
      </c>
      <c r="H22" s="73" t="s">
        <v>181</v>
      </c>
      <c r="I22" s="73">
        <v>128</v>
      </c>
      <c r="J22" s="73" t="str">
        <f t="shared" si="1"/>
        <v>t-dtg-geoap01-disk02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383</v>
      </c>
      <c r="E23" s="89" t="s">
        <v>24</v>
      </c>
      <c r="F23" s="74" t="s">
        <v>517</v>
      </c>
      <c r="G23" s="74" t="str">
        <f t="shared" si="2"/>
        <v>t-dtg-mq01-disk01</v>
      </c>
      <c r="H23" s="74" t="s">
        <v>181</v>
      </c>
      <c r="I23" s="74">
        <v>128</v>
      </c>
      <c r="J23" s="74" t="str">
        <f t="shared" si="1"/>
        <v>t-dtg-mq01-disk02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383</v>
      </c>
      <c r="E24" s="88" t="s">
        <v>24</v>
      </c>
      <c r="F24" s="73" t="s">
        <v>518</v>
      </c>
      <c r="G24" s="73" t="str">
        <f t="shared" si="2"/>
        <v>t-dtg-admweb01-disk01</v>
      </c>
      <c r="H24" s="73" t="s">
        <v>181</v>
      </c>
      <c r="I24" s="73">
        <v>128</v>
      </c>
      <c r="J24" s="73" t="str">
        <f t="shared" si="1"/>
        <v>t-dtg-admweb01-disk02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383</v>
      </c>
      <c r="E25" s="89" t="s">
        <v>24</v>
      </c>
      <c r="F25" s="74" t="s">
        <v>519</v>
      </c>
      <c r="G25" s="74" t="str">
        <f t="shared" si="2"/>
        <v>t-dtg-admap01-disk01</v>
      </c>
      <c r="H25" s="74" t="s">
        <v>181</v>
      </c>
      <c r="I25" s="74">
        <v>128</v>
      </c>
      <c r="J25" s="74" t="str">
        <f t="shared" si="1"/>
        <v>t-dtg-admap01-disk02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383</v>
      </c>
      <c r="E26" s="88" t="s">
        <v>24</v>
      </c>
      <c r="F26" s="73" t="s">
        <v>520</v>
      </c>
      <c r="G26" s="73" t="str">
        <f t="shared" si="2"/>
        <v>t-dtg-dtoms01-disk01</v>
      </c>
      <c r="H26" s="73" t="s">
        <v>181</v>
      </c>
      <c r="I26" s="73">
        <v>128</v>
      </c>
      <c r="J26" s="73" t="str">
        <f t="shared" si="1"/>
        <v>t-dtg-dtoms01-disk02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383</v>
      </c>
      <c r="E27" s="89" t="s">
        <v>24</v>
      </c>
      <c r="F27" s="74" t="s">
        <v>521</v>
      </c>
      <c r="G27" s="74" t="str">
        <f t="shared" si="2"/>
        <v>t-dtg-tsdb01-disk01</v>
      </c>
      <c r="H27" s="74" t="s">
        <v>181</v>
      </c>
      <c r="I27" s="74">
        <v>512</v>
      </c>
      <c r="J27" s="74" t="str">
        <f t="shared" si="1"/>
        <v>t-dtg-tsdb01-disk02</v>
      </c>
      <c r="K27" s="74" t="s">
        <v>181</v>
      </c>
      <c r="L27" s="74">
        <v>256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383</v>
      </c>
      <c r="E28" s="88" t="s">
        <v>24</v>
      </c>
      <c r="F28" s="73" t="s">
        <v>522</v>
      </c>
      <c r="G28" s="73" t="str">
        <f t="shared" si="2"/>
        <v>t-dtg-web01-disk01</v>
      </c>
      <c r="H28" s="73" t="s">
        <v>181</v>
      </c>
      <c r="I28" s="73">
        <v>128</v>
      </c>
      <c r="J28" s="73" t="str">
        <f t="shared" si="1"/>
        <v>t-dtg-web01-disk02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383</v>
      </c>
      <c r="E29" s="89" t="s">
        <v>24</v>
      </c>
      <c r="F29" s="74" t="s">
        <v>523</v>
      </c>
      <c r="G29" s="74" t="str">
        <f t="shared" si="2"/>
        <v>t-dtg-zkp01-disk01</v>
      </c>
      <c r="H29" s="74" t="s">
        <v>181</v>
      </c>
      <c r="I29" s="74">
        <v>128</v>
      </c>
      <c r="J29" s="74" t="str">
        <f t="shared" si="1"/>
        <v>t-dtg-zkp01-disk02</v>
      </c>
      <c r="K29" s="74" t="s">
        <v>181</v>
      </c>
      <c r="L29" s="74">
        <v>128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383</v>
      </c>
      <c r="E30" s="88" t="s">
        <v>24</v>
      </c>
      <c r="F30" s="73" t="s">
        <v>524</v>
      </c>
      <c r="G30" s="73" t="str">
        <f t="shared" si="2"/>
        <v>t-dtg-zkp02-disk01</v>
      </c>
      <c r="H30" s="73" t="s">
        <v>181</v>
      </c>
      <c r="I30" s="73">
        <v>128</v>
      </c>
      <c r="J30" s="73" t="str">
        <f t="shared" si="1"/>
        <v>t-dtg-zkp02-disk02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383</v>
      </c>
      <c r="E31" s="89" t="s">
        <v>24</v>
      </c>
      <c r="F31" s="74" t="s">
        <v>525</v>
      </c>
      <c r="G31" s="74" t="str">
        <f t="shared" si="2"/>
        <v>t-dtg-zkp03-disk01</v>
      </c>
      <c r="H31" s="74" t="s">
        <v>181</v>
      </c>
      <c r="I31" s="74">
        <v>128</v>
      </c>
      <c r="J31" s="74" t="str">
        <f t="shared" si="1"/>
        <v>t-dtg-zkp03-disk02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383</v>
      </c>
      <c r="E32" s="88" t="s">
        <v>24</v>
      </c>
      <c r="F32" s="73" t="s">
        <v>526</v>
      </c>
      <c r="G32" s="73" t="str">
        <f t="shared" si="2"/>
        <v>t-dtg-kfk01-disk01</v>
      </c>
      <c r="H32" s="73" t="s">
        <v>181</v>
      </c>
      <c r="I32" s="73">
        <v>128</v>
      </c>
      <c r="J32" s="73" t="str">
        <f t="shared" si="1"/>
        <v>t-dtg-kfk01-disk02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383</v>
      </c>
      <c r="E33" s="89" t="s">
        <v>24</v>
      </c>
      <c r="F33" s="74" t="s">
        <v>527</v>
      </c>
      <c r="G33" s="74" t="str">
        <f t="shared" si="2"/>
        <v>t-dtg-kfk02-disk01</v>
      </c>
      <c r="H33" s="74" t="s">
        <v>181</v>
      </c>
      <c r="I33" s="74">
        <v>128</v>
      </c>
      <c r="J33" s="74" t="str">
        <f t="shared" si="1"/>
        <v>t-dtg-kfk02-disk02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383</v>
      </c>
      <c r="E34" s="88" t="s">
        <v>24</v>
      </c>
      <c r="F34" s="73" t="s">
        <v>528</v>
      </c>
      <c r="G34" s="73" t="str">
        <f t="shared" si="2"/>
        <v>t-dtg-kfk03-disk01</v>
      </c>
      <c r="H34" s="73" t="s">
        <v>181</v>
      </c>
      <c r="I34" s="73">
        <v>128</v>
      </c>
      <c r="J34" s="73" t="str">
        <f t="shared" si="1"/>
        <v>t-dtg-kfk03-disk02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383</v>
      </c>
      <c r="E35" s="89" t="s">
        <v>24</v>
      </c>
      <c r="F35" s="74" t="s">
        <v>529</v>
      </c>
      <c r="G35" s="74" t="str">
        <f t="shared" si="2"/>
        <v>t-dtg-mdoms01-disk01</v>
      </c>
      <c r="H35" s="74" t="s">
        <v>181</v>
      </c>
      <c r="I35" s="74">
        <v>128</v>
      </c>
      <c r="J35" s="74" t="str">
        <f t="shared" si="1"/>
        <v>t-dtg-mdoms01-disk02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383</v>
      </c>
      <c r="E36" s="88" t="s">
        <v>24</v>
      </c>
      <c r="F36" s="73" t="s">
        <v>530</v>
      </c>
      <c r="G36" s="73" t="str">
        <f t="shared" si="2"/>
        <v>t-dtg-cdmlap01-disk01</v>
      </c>
      <c r="H36" s="73" t="s">
        <v>181</v>
      </c>
      <c r="I36" s="73">
        <v>128</v>
      </c>
      <c r="J36" s="73" t="str">
        <f t="shared" si="1"/>
        <v>t-dtg-cdmlap01-disk02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383</v>
      </c>
      <c r="E37" s="89" t="s">
        <v>24</v>
      </c>
      <c r="F37" s="74" t="s">
        <v>531</v>
      </c>
      <c r="G37" s="74" t="str">
        <f t="shared" si="2"/>
        <v>t-dtg-cdstap01-disk01</v>
      </c>
      <c r="H37" s="74" t="s">
        <v>181</v>
      </c>
      <c r="I37" s="74">
        <v>128</v>
      </c>
      <c r="J37" s="74" t="str">
        <f t="shared" si="1"/>
        <v>t-dtg-cdstap01-disk02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383</v>
      </c>
      <c r="E38" s="88" t="s">
        <v>24</v>
      </c>
      <c r="F38" s="73" t="s">
        <v>532</v>
      </c>
      <c r="G38" s="73" t="str">
        <f t="shared" si="2"/>
        <v>t-dtg-cdsvadm01-disk01</v>
      </c>
      <c r="H38" s="73" t="s">
        <v>181</v>
      </c>
      <c r="I38" s="73">
        <v>128</v>
      </c>
      <c r="J38" s="73" t="str">
        <f t="shared" si="1"/>
        <v>t-dtg-cdsvadm01-disk02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383</v>
      </c>
      <c r="E39" s="89" t="s">
        <v>24</v>
      </c>
      <c r="F39" s="74" t="s">
        <v>533</v>
      </c>
      <c r="G39" s="74" t="str">
        <f t="shared" si="2"/>
        <v>t-dtg-diosap01-disk01</v>
      </c>
      <c r="H39" s="74" t="s">
        <v>181</v>
      </c>
      <c r="I39" s="74">
        <v>128</v>
      </c>
      <c r="J39" s="74" t="str">
        <f t="shared" si="1"/>
        <v>t-dtg-diosap01-disk02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383</v>
      </c>
      <c r="E40" s="88" t="s">
        <v>24</v>
      </c>
      <c r="F40" s="73" t="s">
        <v>534</v>
      </c>
      <c r="G40" s="73" t="str">
        <f t="shared" si="2"/>
        <v>t-dtg-diosweb01-disk01</v>
      </c>
      <c r="H40" s="73" t="s">
        <v>181</v>
      </c>
      <c r="I40" s="73">
        <v>128</v>
      </c>
      <c r="J40" s="73" t="str">
        <f t="shared" si="1"/>
        <v>t-dtg-diosweb01-disk02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383</v>
      </c>
      <c r="E41" s="89" t="s">
        <v>24</v>
      </c>
      <c r="F41" s="74" t="s">
        <v>535</v>
      </c>
      <c r="G41" s="74" t="str">
        <f t="shared" si="2"/>
        <v>t-dtg-dprweb01-disk01</v>
      </c>
      <c r="H41" s="74" t="s">
        <v>181</v>
      </c>
      <c r="I41" s="74">
        <v>128</v>
      </c>
      <c r="J41" s="74" t="str">
        <f t="shared" si="1"/>
        <v>t-dtg-dprweb01-disk02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383</v>
      </c>
      <c r="E42" s="88" t="s">
        <v>24</v>
      </c>
      <c r="F42" s="73" t="s">
        <v>536</v>
      </c>
      <c r="G42" s="73" t="str">
        <f t="shared" si="2"/>
        <v>t-dtg-dprap01-disk01</v>
      </c>
      <c r="H42" s="73" t="s">
        <v>181</v>
      </c>
      <c r="I42" s="73">
        <v>128</v>
      </c>
      <c r="J42" s="73" t="str">
        <f t="shared" si="1"/>
        <v>t-dtg-dprap01-disk02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BDP</v>
      </c>
      <c r="D43" s="78" t="s">
        <v>384</v>
      </c>
      <c r="E43" s="89" t="s">
        <v>24</v>
      </c>
      <c r="F43" s="74" t="s">
        <v>537</v>
      </c>
      <c r="G43" s="74" t="str">
        <f t="shared" si="2"/>
        <v>t-bdp-airfw01-disk01</v>
      </c>
      <c r="H43" s="74" t="s">
        <v>181</v>
      </c>
      <c r="I43" s="74">
        <v>128</v>
      </c>
      <c r="J43" s="74" t="str">
        <f t="shared" si="1"/>
        <v>t-bdp-airfw01-disk02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BDP</v>
      </c>
      <c r="D44" s="88" t="s">
        <v>384</v>
      </c>
      <c r="E44" s="88" t="s">
        <v>24</v>
      </c>
      <c r="F44" s="73" t="s">
        <v>538</v>
      </c>
      <c r="G44" s="73" t="str">
        <f t="shared" si="2"/>
        <v>t-bdp-kepler01-disk01</v>
      </c>
      <c r="H44" s="73" t="s">
        <v>181</v>
      </c>
      <c r="I44" s="73">
        <v>128</v>
      </c>
      <c r="J44" s="73" t="str">
        <f t="shared" si="1"/>
        <v>t-bdp-kepler01-disk02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384</v>
      </c>
      <c r="E45" s="89" t="s">
        <v>24</v>
      </c>
      <c r="F45" s="74" t="s">
        <v>539</v>
      </c>
      <c r="G45" s="74" t="str">
        <f t="shared" si="2"/>
        <v>t-bdp-cxmadm01-disk01</v>
      </c>
      <c r="H45" s="74" t="s">
        <v>181</v>
      </c>
      <c r="I45" s="74">
        <v>128</v>
      </c>
      <c r="J45" s="74" t="str">
        <f t="shared" si="1"/>
        <v>t-bdp-cxmadm01-disk02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384</v>
      </c>
      <c r="E46" s="88" t="s">
        <v>24</v>
      </c>
      <c r="F46" s="73" t="s">
        <v>540</v>
      </c>
      <c r="G46" s="73" t="str">
        <f t="shared" si="2"/>
        <v>t-bdp-slap01-disk01</v>
      </c>
      <c r="H46" s="73" t="s">
        <v>181</v>
      </c>
      <c r="I46" s="73">
        <v>128</v>
      </c>
      <c r="J46" s="73" t="str">
        <f t="shared" si="1"/>
        <v>t-bdp-slap01-disk02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DIP</v>
      </c>
      <c r="D47" s="78" t="s">
        <v>385</v>
      </c>
      <c r="E47" s="89" t="s">
        <v>24</v>
      </c>
      <c r="F47" s="74" t="s">
        <v>541</v>
      </c>
      <c r="G47" s="74" t="str">
        <f t="shared" si="2"/>
        <v>t-dip-adm01-disk01</v>
      </c>
      <c r="H47" s="74" t="s">
        <v>181</v>
      </c>
      <c r="I47" s="74">
        <v>128</v>
      </c>
      <c r="J47" s="74" t="str">
        <f t="shared" si="1"/>
        <v>t-dip-adm01-disk02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DIP</v>
      </c>
      <c r="D48" s="88" t="s">
        <v>385</v>
      </c>
      <c r="E48" s="88" t="s">
        <v>24</v>
      </c>
      <c r="F48" s="73" t="s">
        <v>542</v>
      </c>
      <c r="G48" s="73" t="str">
        <f t="shared" si="2"/>
        <v>t-dip-ap01-disk01</v>
      </c>
      <c r="H48" s="73" t="s">
        <v>181</v>
      </c>
      <c r="I48" s="73">
        <v>128</v>
      </c>
      <c r="J48" s="73" t="str">
        <f t="shared" si="1"/>
        <v>t-dip-ap01-disk02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385</v>
      </c>
      <c r="E49" s="89" t="s">
        <v>24</v>
      </c>
      <c r="F49" s="74" t="s">
        <v>543</v>
      </c>
      <c r="G49" s="74" t="str">
        <f t="shared" si="2"/>
        <v>t-dip-flk01-disk01</v>
      </c>
      <c r="H49" s="74" t="s">
        <v>181</v>
      </c>
      <c r="I49" s="74">
        <v>128</v>
      </c>
      <c r="J49" s="74" t="str">
        <f t="shared" si="1"/>
        <v>t-dip-flk01-disk02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385</v>
      </c>
      <c r="E50" s="88" t="s">
        <v>24</v>
      </c>
      <c r="F50" s="73" t="s">
        <v>544</v>
      </c>
      <c r="G50" s="73" t="str">
        <f t="shared" si="2"/>
        <v>t-dip-flk02-disk01</v>
      </c>
      <c r="H50" s="73" t="s">
        <v>181</v>
      </c>
      <c r="I50" s="73">
        <v>128</v>
      </c>
      <c r="J50" s="73" t="str">
        <f t="shared" si="1"/>
        <v>t-dip-flk02-disk02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385</v>
      </c>
      <c r="E51" s="89" t="s">
        <v>24</v>
      </c>
      <c r="F51" s="74" t="s">
        <v>545</v>
      </c>
      <c r="G51" s="74" t="str">
        <f t="shared" si="2"/>
        <v>t-dip-flk03-disk01</v>
      </c>
      <c r="H51" s="74" t="s">
        <v>181</v>
      </c>
      <c r="I51" s="74">
        <v>128</v>
      </c>
      <c r="J51" s="74" t="str">
        <f t="shared" si="1"/>
        <v>t-dip-flk03-disk02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385</v>
      </c>
      <c r="E52" s="88" t="s">
        <v>24</v>
      </c>
      <c r="F52" s="73" t="s">
        <v>546</v>
      </c>
      <c r="G52" s="73" t="str">
        <f t="shared" si="2"/>
        <v>t-dip-geoap01-disk01</v>
      </c>
      <c r="H52" s="73" t="s">
        <v>181</v>
      </c>
      <c r="I52" s="73">
        <v>128</v>
      </c>
      <c r="J52" s="73" t="str">
        <f t="shared" si="1"/>
        <v>t-dip-geoap01-disk02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385</v>
      </c>
      <c r="E53" s="89" t="s">
        <v>24</v>
      </c>
      <c r="F53" s="74" t="s">
        <v>547</v>
      </c>
      <c r="G53" s="74" t="str">
        <f t="shared" si="2"/>
        <v>t-dip-kfk01-disk01</v>
      </c>
      <c r="H53" s="74" t="s">
        <v>181</v>
      </c>
      <c r="I53" s="74">
        <v>128</v>
      </c>
      <c r="J53" s="74" t="str">
        <f t="shared" si="1"/>
        <v>t-dip-kfk01-disk02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385</v>
      </c>
      <c r="E54" s="88" t="s">
        <v>24</v>
      </c>
      <c r="F54" s="73" t="s">
        <v>548</v>
      </c>
      <c r="G54" s="73" t="str">
        <f t="shared" si="2"/>
        <v>t-dip-kfk02-disk01</v>
      </c>
      <c r="H54" s="73" t="s">
        <v>181</v>
      </c>
      <c r="I54" s="73">
        <v>128</v>
      </c>
      <c r="J54" s="73" t="str">
        <f t="shared" si="1"/>
        <v>t-dip-kfk02-disk02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385</v>
      </c>
      <c r="E55" s="89" t="s">
        <v>24</v>
      </c>
      <c r="F55" s="74" t="s">
        <v>549</v>
      </c>
      <c r="G55" s="74" t="str">
        <f t="shared" si="2"/>
        <v>t-dip-kfk03-disk01</v>
      </c>
      <c r="H55" s="74" t="s">
        <v>181</v>
      </c>
      <c r="I55" s="74">
        <v>128</v>
      </c>
      <c r="J55" s="74" t="str">
        <f t="shared" si="1"/>
        <v>t-dip-kfk03-disk02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385</v>
      </c>
      <c r="E56" s="88" t="s">
        <v>24</v>
      </c>
      <c r="F56" s="73" t="s">
        <v>550</v>
      </c>
      <c r="G56" s="73" t="str">
        <f t="shared" si="2"/>
        <v>t-dip-mqap01-disk01</v>
      </c>
      <c r="H56" s="73" t="s">
        <v>181</v>
      </c>
      <c r="I56" s="73">
        <v>128</v>
      </c>
      <c r="J56" s="73" t="str">
        <f t="shared" si="1"/>
        <v>t-dip-mqap01-disk02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385</v>
      </c>
      <c r="E57" s="89" t="s">
        <v>24</v>
      </c>
      <c r="F57" s="74" t="s">
        <v>551</v>
      </c>
      <c r="G57" s="74" t="str">
        <f t="shared" si="2"/>
        <v>t-dip-mqweb01-disk01</v>
      </c>
      <c r="H57" s="74" t="s">
        <v>181</v>
      </c>
      <c r="I57" s="74">
        <v>128</v>
      </c>
      <c r="J57" s="74" t="str">
        <f t="shared" si="1"/>
        <v>t-dip-mqweb01-disk02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385</v>
      </c>
      <c r="E58" s="88" t="s">
        <v>24</v>
      </c>
      <c r="F58" s="73" t="s">
        <v>552</v>
      </c>
      <c r="G58" s="73" t="str">
        <f t="shared" si="2"/>
        <v>t-dip-oms01-disk01</v>
      </c>
      <c r="H58" s="73" t="s">
        <v>181</v>
      </c>
      <c r="I58" s="73">
        <v>128</v>
      </c>
      <c r="J58" s="73" t="str">
        <f t="shared" si="1"/>
        <v>t-dip-oms01-disk02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385</v>
      </c>
      <c r="E59" s="89" t="s">
        <v>24</v>
      </c>
      <c r="F59" s="74" t="s">
        <v>553</v>
      </c>
      <c r="G59" s="74" t="str">
        <f t="shared" si="2"/>
        <v>t-dip-web01-disk01</v>
      </c>
      <c r="H59" s="74" t="s">
        <v>181</v>
      </c>
      <c r="I59" s="74">
        <v>128</v>
      </c>
      <c r="J59" s="74" t="str">
        <f t="shared" si="1"/>
        <v>t-dip-web01-disk02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IF</v>
      </c>
      <c r="D60" s="88" t="s">
        <v>474</v>
      </c>
      <c r="E60" s="88" t="s">
        <v>24</v>
      </c>
      <c r="F60" s="73" t="s">
        <v>599</v>
      </c>
      <c r="G60" s="73" t="str">
        <f t="shared" si="2"/>
        <v>t-if-auth01-disk01</v>
      </c>
      <c r="H60" s="73" t="s">
        <v>181</v>
      </c>
      <c r="I60" s="73">
        <v>128</v>
      </c>
      <c r="J60" s="73" t="str">
        <f t="shared" si="1"/>
        <v>t-if-auth01-disk02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88" t="s">
        <v>182</v>
      </c>
      <c r="C61" s="73" t="str" cm="1">
        <f t="array" ref="C61">UPPER(INDEX(_xlfn.TEXTSPLIT($D61, "-"), 3))</f>
        <v>IF</v>
      </c>
      <c r="D61" s="88" t="s">
        <v>474</v>
      </c>
      <c r="E61" s="88" t="s">
        <v>24</v>
      </c>
      <c r="F61" s="73" t="s">
        <v>554</v>
      </c>
      <c r="G61" s="73" t="str">
        <f t="shared" si="2"/>
        <v>t-if-gramon01-disk01</v>
      </c>
      <c r="H61" s="73" t="s">
        <v>181</v>
      </c>
      <c r="I61" s="73">
        <v>128</v>
      </c>
      <c r="J61" s="73" t="str">
        <f t="shared" si="1"/>
        <v>t-if-gramon01-disk02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8" t="s">
        <v>182</v>
      </c>
      <c r="C62" s="74" t="str" cm="1">
        <f t="array" ref="C62">UPPER(INDEX(_xlfn.TEXTSPLIT($D62, "-"), 3))</f>
        <v>DOIP</v>
      </c>
      <c r="D62" s="78" t="s">
        <v>386</v>
      </c>
      <c r="E62" s="89" t="s">
        <v>24</v>
      </c>
      <c r="F62" s="74" t="s">
        <v>555</v>
      </c>
      <c r="G62" s="74" t="str">
        <f t="shared" si="2"/>
        <v>t-doip-web01-disk01</v>
      </c>
      <c r="H62" s="74" t="s">
        <v>181</v>
      </c>
      <c r="I62" s="74">
        <v>128</v>
      </c>
      <c r="J62" s="74" t="str">
        <f t="shared" si="1"/>
        <v>t-doip-web01-disk02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A63" s="98"/>
      <c r="B63" s="88" t="s">
        <v>182</v>
      </c>
      <c r="C63" s="73" t="str" cm="1">
        <f t="array" ref="C63">UPPER(INDEX(_xlfn.TEXTSPLIT($D63, "-"), 3))</f>
        <v>DOIP</v>
      </c>
      <c r="D63" s="88" t="s">
        <v>386</v>
      </c>
      <c r="E63" s="88" t="s">
        <v>24</v>
      </c>
      <c r="F63" s="73" t="s">
        <v>556</v>
      </c>
      <c r="G63" s="73" t="str">
        <f t="shared" si="2"/>
        <v>t-doip-ap01-disk01</v>
      </c>
      <c r="H63" s="73" t="s">
        <v>181</v>
      </c>
      <c r="I63" s="73">
        <v>128</v>
      </c>
      <c r="J63" s="73" t="str">
        <f t="shared" si="1"/>
        <v>t-doip-ap01-disk02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A64" s="98"/>
      <c r="B64" s="78" t="s">
        <v>182</v>
      </c>
      <c r="C64" s="74" t="str" cm="1">
        <f t="array" ref="C64">UPPER(INDEX(_xlfn.TEXTSPLIT($D64, "-"), 3))</f>
        <v>DOIP</v>
      </c>
      <c r="D64" s="78" t="s">
        <v>386</v>
      </c>
      <c r="E64" s="89" t="s">
        <v>24</v>
      </c>
      <c r="F64" s="74" t="s">
        <v>557</v>
      </c>
      <c r="G64" s="74" t="str">
        <f t="shared" si="2"/>
        <v>t-doip-adm01-disk01</v>
      </c>
      <c r="H64" s="74" t="s">
        <v>181</v>
      </c>
      <c r="I64" s="74">
        <v>128</v>
      </c>
      <c r="J64" s="74" t="str">
        <f t="shared" si="1"/>
        <v>t-doip-adm01-disk02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1:18" x14ac:dyDescent="0.3">
      <c r="A65" s="98"/>
      <c r="B65" s="88" t="s">
        <v>182</v>
      </c>
      <c r="C65" s="73" t="str" cm="1">
        <f t="array" ref="C65">UPPER(INDEX(_xlfn.TEXTSPLIT($D65, "-"), 3))</f>
        <v>BDP</v>
      </c>
      <c r="D65" s="88" t="s">
        <v>384</v>
      </c>
      <c r="E65" s="88" t="s">
        <v>24</v>
      </c>
      <c r="F65" s="73" t="s">
        <v>558</v>
      </c>
      <c r="G65" s="73" t="str">
        <f t="shared" si="2"/>
        <v>t-bdp-crkweb01-disk01</v>
      </c>
      <c r="H65" s="73" t="s">
        <v>181</v>
      </c>
      <c r="I65" s="73">
        <v>128</v>
      </c>
      <c r="J65" s="73" t="str">
        <f t="shared" si="1"/>
        <v>t-bdp-crkweb01-disk02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1:18" x14ac:dyDescent="0.3">
      <c r="A66" s="98"/>
      <c r="B66" s="78" t="s">
        <v>182</v>
      </c>
      <c r="C66" s="74" t="str" cm="1">
        <f t="array" ref="C66">UPPER(INDEX(_xlfn.TEXTSPLIT($D66, "-"), 3))</f>
        <v>BDP</v>
      </c>
      <c r="D66" s="78" t="s">
        <v>384</v>
      </c>
      <c r="E66" s="89" t="s">
        <v>24</v>
      </c>
      <c r="F66" s="74" t="s">
        <v>559</v>
      </c>
      <c r="G66" s="74" t="str">
        <f t="shared" si="2"/>
        <v>t-bdp-crkap01-disk01</v>
      </c>
      <c r="H66" s="74" t="s">
        <v>181</v>
      </c>
      <c r="I66" s="74">
        <v>128</v>
      </c>
      <c r="J66" s="74" t="str">
        <f t="shared" ref="J66:J69" si="3">SUBSTITUTE($F66,"hazr-","")&amp;"-disk02"</f>
        <v>t-bdp-crkap01-disk02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1:18" x14ac:dyDescent="0.3">
      <c r="A67" s="98"/>
      <c r="B67" s="88" t="s">
        <v>182</v>
      </c>
      <c r="C67" s="73" t="str" cm="1">
        <f t="array" ref="C67">UPPER(INDEX(_xlfn.TEXTSPLIT($D67, "-"), 3))</f>
        <v>BDP</v>
      </c>
      <c r="D67" s="88" t="s">
        <v>384</v>
      </c>
      <c r="E67" s="88" t="s">
        <v>24</v>
      </c>
      <c r="F67" s="73" t="s">
        <v>560</v>
      </c>
      <c r="G67" s="73" t="str">
        <f t="shared" si="2"/>
        <v>t-bdp-crkml01-disk01</v>
      </c>
      <c r="H67" s="73" t="s">
        <v>181</v>
      </c>
      <c r="I67" s="73">
        <v>128</v>
      </c>
      <c r="J67" s="73" t="str">
        <f t="shared" si="3"/>
        <v>t-bdp-crkml01-disk02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  <row r="68" spans="1:18" x14ac:dyDescent="0.3">
      <c r="A68" s="98"/>
      <c r="B68" s="78" t="s">
        <v>586</v>
      </c>
      <c r="C68" s="74" t="str" cm="1">
        <f t="array" ref="C68">UPPER(INDEX(_xlfn.TEXTSPLIT($D68, "-"), 3))</f>
        <v>MON</v>
      </c>
      <c r="D68" s="78" t="s">
        <v>572</v>
      </c>
      <c r="E68" s="89" t="s">
        <v>24</v>
      </c>
      <c r="F68" s="74" t="s">
        <v>579</v>
      </c>
      <c r="G68" s="74" t="str">
        <f t="shared" si="2"/>
        <v>l-mon-whtap01-disk01</v>
      </c>
      <c r="H68" s="74" t="s">
        <v>181</v>
      </c>
      <c r="I68" s="74">
        <v>1024</v>
      </c>
      <c r="J68" s="74" t="str">
        <f t="shared" si="3"/>
        <v>l-mon-whtap01-disk02</v>
      </c>
      <c r="K68" s="74" t="s">
        <v>181</v>
      </c>
      <c r="L68" s="74">
        <v>128</v>
      </c>
      <c r="M68" s="74">
        <v>1</v>
      </c>
      <c r="N68" s="74" t="s">
        <v>194</v>
      </c>
      <c r="O68" s="74" t="s">
        <v>580</v>
      </c>
      <c r="P68" s="74" t="s">
        <v>585</v>
      </c>
      <c r="Q68" s="74" t="b">
        <v>1</v>
      </c>
      <c r="R68" s="74"/>
    </row>
    <row r="69" spans="1:18" x14ac:dyDescent="0.3">
      <c r="A69" s="98"/>
      <c r="B69" s="88" t="s">
        <v>586</v>
      </c>
      <c r="C69" s="73" t="s">
        <v>581</v>
      </c>
      <c r="D69" s="88" t="s">
        <v>572</v>
      </c>
      <c r="E69" s="88" t="s">
        <v>24</v>
      </c>
      <c r="F69" s="73" t="s">
        <v>578</v>
      </c>
      <c r="G69" s="73" t="str">
        <f t="shared" ref="G69" si="4">SUBSTITUTE($F69,"hazr-","")&amp;"-disk01"</f>
        <v>l-mon-whtap02-disk01</v>
      </c>
      <c r="H69" s="73" t="s">
        <v>181</v>
      </c>
      <c r="I69" s="73">
        <v>1024</v>
      </c>
      <c r="J69" s="73" t="str">
        <f t="shared" si="3"/>
        <v>l-mon-whtap02-disk02</v>
      </c>
      <c r="K69" s="73" t="s">
        <v>181</v>
      </c>
      <c r="L69" s="73">
        <v>128</v>
      </c>
      <c r="M69" s="73">
        <v>2</v>
      </c>
      <c r="N69" s="73" t="s">
        <v>194</v>
      </c>
      <c r="O69" s="73" t="s">
        <v>580</v>
      </c>
      <c r="P69" s="73" t="s">
        <v>584</v>
      </c>
      <c r="Q69" s="73" t="b">
        <v>1</v>
      </c>
      <c r="R69" s="73"/>
    </row>
    <row r="70" spans="1:18" x14ac:dyDescent="0.3">
      <c r="A70" s="98"/>
      <c r="B70" s="78" t="s">
        <v>586</v>
      </c>
      <c r="C70" s="74" t="str" cm="1">
        <f t="array" ref="C70">UPPER(INDEX(_xlfn.TEXTSPLIT($D70, "-"), 3))</f>
        <v>MON</v>
      </c>
      <c r="D70" s="78" t="s">
        <v>572</v>
      </c>
      <c r="E70" s="89" t="s">
        <v>24</v>
      </c>
      <c r="F70" s="74" t="s">
        <v>587</v>
      </c>
      <c r="G70" s="74" t="str">
        <f>SUBSTITUTE($F70,"hazr-","")&amp;"-disk01"</f>
        <v>l-mon-whtap03-disk01</v>
      </c>
      <c r="H70" s="74" t="s">
        <v>181</v>
      </c>
      <c r="I70" s="74">
        <v>128</v>
      </c>
      <c r="J70" s="74" t="s">
        <v>565</v>
      </c>
      <c r="K70" s="74" t="s">
        <v>565</v>
      </c>
      <c r="L70" s="74" t="s">
        <v>565</v>
      </c>
      <c r="M70" s="74">
        <v>3</v>
      </c>
      <c r="N70" s="74" t="s">
        <v>194</v>
      </c>
      <c r="O70" s="74" t="s">
        <v>580</v>
      </c>
      <c r="P70" s="74" t="s">
        <v>585</v>
      </c>
      <c r="Q70" s="74" t="b">
        <v>1</v>
      </c>
      <c r="R70" s="74"/>
    </row>
    <row r="71" spans="1:18" x14ac:dyDescent="0.3">
      <c r="A71" s="98"/>
      <c r="B71" s="88" t="s">
        <v>182</v>
      </c>
      <c r="C71" s="88" t="str" cm="1">
        <f t="array" ref="C71">UPPER(INDEX(_xlfn.TEXTSPLIT($D71, "-"), 3))</f>
        <v>IF</v>
      </c>
      <c r="D71" s="88" t="s">
        <v>474</v>
      </c>
      <c r="E71" s="88" t="s">
        <v>24</v>
      </c>
      <c r="F71" s="73" t="s">
        <v>595</v>
      </c>
      <c r="G71" s="73" t="str">
        <f>SUBSTITUTE($F71,"hazr-","")&amp;"-disk01"</f>
        <v>t-if-icsweb01-disk01</v>
      </c>
      <c r="H71" s="73" t="s">
        <v>181</v>
      </c>
      <c r="I71" s="73">
        <v>128</v>
      </c>
      <c r="J71" s="73" t="str">
        <f>SUBSTITUTE($F71,"hazr-","")&amp;"-disk02"</f>
        <v>t-if-icsweb01-disk02</v>
      </c>
      <c r="K71" s="73" t="s">
        <v>181</v>
      </c>
      <c r="L71" s="73">
        <v>128</v>
      </c>
      <c r="M71" s="73">
        <v>3</v>
      </c>
      <c r="N71" s="73" t="s">
        <v>194</v>
      </c>
      <c r="O71" s="73" t="s">
        <v>198</v>
      </c>
      <c r="P71" s="73" t="s">
        <v>210</v>
      </c>
      <c r="Q71" s="73" t="b">
        <v>1</v>
      </c>
      <c r="R71" s="73"/>
    </row>
    <row r="72" spans="1:18" x14ac:dyDescent="0.3">
      <c r="B72" s="74" t="s">
        <v>182</v>
      </c>
      <c r="C72" s="74" t="str" cm="1">
        <f t="array" ref="C72">UPPER(INDEX(_xlfn.TEXTSPLIT($D72, "-"), 3))</f>
        <v>COM</v>
      </c>
      <c r="D72" s="74" t="s">
        <v>613</v>
      </c>
      <c r="E72" s="74" t="s">
        <v>24</v>
      </c>
      <c r="F72" s="74" t="s">
        <v>614</v>
      </c>
      <c r="G72" s="74" t="str">
        <f>SUBSTITUTE($F72,"hazr-","")&amp;"-disk01"</f>
        <v>t-com-esnweb01-disk01</v>
      </c>
      <c r="H72" s="74" t="s">
        <v>181</v>
      </c>
      <c r="I72" s="74">
        <v>128</v>
      </c>
      <c r="J72" s="74" t="str">
        <f t="shared" ref="J72:J73" si="5">SUBSTITUTE($F72,"hazr-","")&amp;"-disk02"</f>
        <v>t-com-esnweb01-disk02</v>
      </c>
      <c r="K72" s="74" t="s">
        <v>181</v>
      </c>
      <c r="L72" s="74">
        <v>128</v>
      </c>
      <c r="M72" s="74">
        <v>3</v>
      </c>
      <c r="N72" s="74" t="s">
        <v>194</v>
      </c>
      <c r="O72" s="74" t="s">
        <v>198</v>
      </c>
      <c r="P72" s="74" t="s">
        <v>210</v>
      </c>
      <c r="Q72" s="74" t="b">
        <v>1</v>
      </c>
      <c r="R72" s="74"/>
    </row>
    <row r="73" spans="1:18" x14ac:dyDescent="0.3">
      <c r="B73" s="88" t="s">
        <v>182</v>
      </c>
      <c r="C73" s="88" t="str" cm="1">
        <f t="array" ref="C73">UPPER(INDEX(_xlfn.TEXTSPLIT($D73, "-"), 3))</f>
        <v>COM</v>
      </c>
      <c r="D73" s="73" t="s">
        <v>613</v>
      </c>
      <c r="E73" s="73" t="s">
        <v>24</v>
      </c>
      <c r="F73" s="73" t="s">
        <v>615</v>
      </c>
      <c r="G73" s="73" t="str">
        <f>SUBSTITUTE($F73,"hazr-","")&amp;"-disk01"</f>
        <v>t-com-esnwas01-disk01</v>
      </c>
      <c r="H73" s="73" t="s">
        <v>181</v>
      </c>
      <c r="I73" s="73">
        <v>128</v>
      </c>
      <c r="J73" s="73" t="str">
        <f t="shared" si="5"/>
        <v>t-com-esnwas01-disk02</v>
      </c>
      <c r="K73" s="73" t="s">
        <v>181</v>
      </c>
      <c r="L73" s="73">
        <v>128</v>
      </c>
      <c r="M73" s="73">
        <v>3</v>
      </c>
      <c r="N73" s="73" t="s">
        <v>194</v>
      </c>
      <c r="O73" s="73" t="s">
        <v>198</v>
      </c>
      <c r="P73" s="73" t="s">
        <v>210</v>
      </c>
      <c r="Q73" s="73" t="b">
        <v>1</v>
      </c>
      <c r="R73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1"/>
  <sheetViews>
    <sheetView topLeftCell="A67" workbookViewId="0">
      <selection activeCell="B90" sqref="B90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567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566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566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4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4" si="1">SUBSTITUTE(I4,"hazr-","")&amp;"-nic"</f>
        <v>t-cs-chtap01-nic</v>
      </c>
      <c r="L4" s="81" t="s">
        <v>566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476</v>
      </c>
      <c r="H5" s="74" t="s">
        <v>387</v>
      </c>
      <c r="I5" s="74" t="s">
        <v>499</v>
      </c>
      <c r="J5" s="74" t="s">
        <v>286</v>
      </c>
      <c r="K5" s="74" t="str">
        <f t="shared" si="1"/>
        <v>t-dis-ap01-nic</v>
      </c>
      <c r="L5" s="83" t="s">
        <v>566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476</v>
      </c>
      <c r="H6" s="73" t="s">
        <v>387</v>
      </c>
      <c r="I6" s="73" t="s">
        <v>500</v>
      </c>
      <c r="J6" s="73" t="s">
        <v>286</v>
      </c>
      <c r="K6" s="73" t="str">
        <f t="shared" si="1"/>
        <v>t-dis-adm01-nic</v>
      </c>
      <c r="L6" s="81" t="s">
        <v>566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477</v>
      </c>
      <c r="H7" s="74" t="s">
        <v>390</v>
      </c>
      <c r="I7" s="74" t="s">
        <v>501</v>
      </c>
      <c r="J7" s="74" t="s">
        <v>286</v>
      </c>
      <c r="K7" s="74" t="str">
        <f t="shared" si="1"/>
        <v>t-dis-bbiweb01-nic</v>
      </c>
      <c r="L7" s="83" t="s">
        <v>566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476</v>
      </c>
      <c r="H8" s="73" t="s">
        <v>387</v>
      </c>
      <c r="I8" s="73" t="s">
        <v>502</v>
      </c>
      <c r="J8" s="73" t="s">
        <v>286</v>
      </c>
      <c r="K8" s="73" t="str">
        <f t="shared" si="1"/>
        <v>t-dis-bbicltap01-nic</v>
      </c>
      <c r="L8" s="81" t="s">
        <v>566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476</v>
      </c>
      <c r="H9" s="74" t="s">
        <v>387</v>
      </c>
      <c r="I9" s="74" t="s">
        <v>503</v>
      </c>
      <c r="J9" s="74" t="s">
        <v>286</v>
      </c>
      <c r="K9" s="74" t="str">
        <f t="shared" si="1"/>
        <v>t-dis-bbimsgap01-nic</v>
      </c>
      <c r="L9" s="83" t="s">
        <v>566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476</v>
      </c>
      <c r="H10" s="74" t="s">
        <v>387</v>
      </c>
      <c r="I10" s="74" t="s">
        <v>504</v>
      </c>
      <c r="J10" s="74" t="s">
        <v>286</v>
      </c>
      <c r="K10" s="74" t="str">
        <f t="shared" si="1"/>
        <v>t-dis-bat01-nic</v>
      </c>
      <c r="L10" s="83" t="s">
        <v>566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476</v>
      </c>
      <c r="H11" s="73" t="s">
        <v>387</v>
      </c>
      <c r="I11" s="73" t="s">
        <v>505</v>
      </c>
      <c r="J11" s="73" t="s">
        <v>286</v>
      </c>
      <c r="K11" s="73" t="str">
        <f t="shared" si="1"/>
        <v>t-dis-drvcltap01-nic</v>
      </c>
      <c r="L11" s="81" t="s">
        <v>566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476</v>
      </c>
      <c r="H12" s="73" t="s">
        <v>387</v>
      </c>
      <c r="I12" s="73" t="s">
        <v>506</v>
      </c>
      <c r="J12" s="73" t="s">
        <v>286</v>
      </c>
      <c r="K12" s="73" t="str">
        <f t="shared" si="1"/>
        <v>t-dis-drvmsgap01-nic</v>
      </c>
      <c r="L12" s="81" t="s">
        <v>566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477</v>
      </c>
      <c r="H13" s="74" t="s">
        <v>390</v>
      </c>
      <c r="I13" s="74" t="s">
        <v>507</v>
      </c>
      <c r="J13" s="74" t="s">
        <v>286</v>
      </c>
      <c r="K13" s="74" t="str">
        <f t="shared" si="1"/>
        <v>t-dis-web01-nic</v>
      </c>
      <c r="L13" s="83" t="s">
        <v>566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476</v>
      </c>
      <c r="H14" s="73" t="s">
        <v>387</v>
      </c>
      <c r="I14" s="73" t="s">
        <v>508</v>
      </c>
      <c r="J14" s="73" t="s">
        <v>286</v>
      </c>
      <c r="K14" s="73" t="str">
        <f t="shared" si="1"/>
        <v>t-dis-cmsadm01-nic</v>
      </c>
      <c r="L14" s="81" t="s">
        <v>566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476</v>
      </c>
      <c r="H15" s="74" t="s">
        <v>387</v>
      </c>
      <c r="I15" s="74" t="s">
        <v>509</v>
      </c>
      <c r="J15" s="74" t="s">
        <v>286</v>
      </c>
      <c r="K15" s="74" t="str">
        <f t="shared" si="1"/>
        <v>t-dis-cmsap01-nic</v>
      </c>
      <c r="L15" s="83" t="s">
        <v>566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477</v>
      </c>
      <c r="H16" s="73" t="s">
        <v>390</v>
      </c>
      <c r="I16" s="73" t="s">
        <v>510</v>
      </c>
      <c r="J16" s="73" t="s">
        <v>286</v>
      </c>
      <c r="K16" s="73" t="str">
        <f t="shared" si="1"/>
        <v>t-dis-cmsweb01-nic</v>
      </c>
      <c r="L16" s="81" t="s">
        <v>566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476</v>
      </c>
      <c r="H17" s="74" t="s">
        <v>387</v>
      </c>
      <c r="I17" s="74" t="s">
        <v>511</v>
      </c>
      <c r="J17" s="74" t="s">
        <v>286</v>
      </c>
      <c r="K17" s="74" t="str">
        <f t="shared" si="1"/>
        <v>t-dis-cmbsap01-nic</v>
      </c>
      <c r="L17" s="83" t="s">
        <v>566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t-dis-dfir01-nsg</v>
      </c>
      <c r="F18" s="80" t="s">
        <v>198</v>
      </c>
      <c r="G18" s="73" t="s">
        <v>476</v>
      </c>
      <c r="H18" s="73" t="s">
        <v>387</v>
      </c>
      <c r="I18" s="73" t="s">
        <v>512</v>
      </c>
      <c r="J18" s="73" t="s">
        <v>286</v>
      </c>
      <c r="K18" s="73" t="str">
        <f t="shared" si="1"/>
        <v>t-dis-dfir01-nic</v>
      </c>
      <c r="L18" s="81" t="s">
        <v>566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DTG</v>
      </c>
      <c r="D19" s="82" t="s">
        <v>198</v>
      </c>
      <c r="E19" s="82" t="str">
        <f t="shared" si="0"/>
        <v>t-dtg-ingap01-nsg</v>
      </c>
      <c r="F19" s="82" t="s">
        <v>198</v>
      </c>
      <c r="G19" s="74" t="s">
        <v>476</v>
      </c>
      <c r="H19" s="74" t="s">
        <v>398</v>
      </c>
      <c r="I19" s="74" t="s">
        <v>513</v>
      </c>
      <c r="J19" s="74" t="s">
        <v>383</v>
      </c>
      <c r="K19" s="74" t="str">
        <f t="shared" si="1"/>
        <v>t-dtg-ingap01-nic</v>
      </c>
      <c r="L19" s="83" t="s">
        <v>566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DTG</v>
      </c>
      <c r="D20" s="80" t="s">
        <v>198</v>
      </c>
      <c r="E20" s="80" t="str">
        <f t="shared" si="0"/>
        <v>t-dtg-ap01-nsg</v>
      </c>
      <c r="F20" s="80" t="s">
        <v>198</v>
      </c>
      <c r="G20" s="73" t="s">
        <v>476</v>
      </c>
      <c r="H20" s="73" t="s">
        <v>398</v>
      </c>
      <c r="I20" s="73" t="s">
        <v>514</v>
      </c>
      <c r="J20" s="73" t="s">
        <v>383</v>
      </c>
      <c r="K20" s="73" t="str">
        <f t="shared" si="1"/>
        <v>t-dtg-ap01-nic</v>
      </c>
      <c r="L20" s="81" t="s">
        <v>566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t-dtg-extgeoap01-nsg</v>
      </c>
      <c r="F21" s="82" t="s">
        <v>198</v>
      </c>
      <c r="G21" s="74" t="s">
        <v>476</v>
      </c>
      <c r="H21" s="74" t="s">
        <v>398</v>
      </c>
      <c r="I21" s="74" t="s">
        <v>515</v>
      </c>
      <c r="J21" s="74" t="s">
        <v>383</v>
      </c>
      <c r="K21" s="74" t="str">
        <f t="shared" si="1"/>
        <v>t-dtg-extgeoap01-nic</v>
      </c>
      <c r="L21" s="83" t="s">
        <v>566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t-dtg-geoap01-nsg</v>
      </c>
      <c r="F22" s="80" t="s">
        <v>198</v>
      </c>
      <c r="G22" s="73" t="s">
        <v>476</v>
      </c>
      <c r="H22" s="73" t="s">
        <v>398</v>
      </c>
      <c r="I22" s="73" t="s">
        <v>516</v>
      </c>
      <c r="J22" s="73" t="s">
        <v>383</v>
      </c>
      <c r="K22" s="73" t="str">
        <f t="shared" si="1"/>
        <v>t-dtg-geoap01-nic</v>
      </c>
      <c r="L22" s="81" t="s">
        <v>566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t-dtg-mq01-nsg</v>
      </c>
      <c r="F23" s="82" t="s">
        <v>198</v>
      </c>
      <c r="G23" s="74" t="s">
        <v>477</v>
      </c>
      <c r="H23" s="74" t="s">
        <v>403</v>
      </c>
      <c r="I23" s="74" t="s">
        <v>517</v>
      </c>
      <c r="J23" s="74" t="s">
        <v>383</v>
      </c>
      <c r="K23" s="74" t="str">
        <f t="shared" si="1"/>
        <v>t-dtg-mq01-nic</v>
      </c>
      <c r="L23" s="83" t="s">
        <v>566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t-dtg-admweb01-nsg</v>
      </c>
      <c r="F24" s="80" t="s">
        <v>198</v>
      </c>
      <c r="G24" s="73" t="s">
        <v>476</v>
      </c>
      <c r="H24" s="73" t="s">
        <v>398</v>
      </c>
      <c r="I24" s="73" t="s">
        <v>518</v>
      </c>
      <c r="J24" s="73" t="s">
        <v>383</v>
      </c>
      <c r="K24" s="73" t="str">
        <f t="shared" si="1"/>
        <v>t-dtg-admweb01-nic</v>
      </c>
      <c r="L24" s="81" t="s">
        <v>566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t-dtg-admap01-nsg</v>
      </c>
      <c r="F25" s="82" t="s">
        <v>198</v>
      </c>
      <c r="G25" s="74" t="s">
        <v>476</v>
      </c>
      <c r="H25" s="74" t="s">
        <v>398</v>
      </c>
      <c r="I25" s="74" t="s">
        <v>519</v>
      </c>
      <c r="J25" s="74" t="s">
        <v>383</v>
      </c>
      <c r="K25" s="74" t="str">
        <f t="shared" si="1"/>
        <v>t-dtg-admap01-nic</v>
      </c>
      <c r="L25" s="83" t="s">
        <v>566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t-dtg-dtoms01-nsg</v>
      </c>
      <c r="F26" s="80" t="s">
        <v>198</v>
      </c>
      <c r="G26" s="73" t="s">
        <v>476</v>
      </c>
      <c r="H26" s="73" t="s">
        <v>398</v>
      </c>
      <c r="I26" s="73" t="s">
        <v>520</v>
      </c>
      <c r="J26" s="73" t="s">
        <v>383</v>
      </c>
      <c r="K26" s="73" t="str">
        <f t="shared" si="1"/>
        <v>t-dtg-dtoms01-nic</v>
      </c>
      <c r="L26" s="81" t="s">
        <v>566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t-dtg-tsdb01-nsg</v>
      </c>
      <c r="F27" s="82" t="s">
        <v>198</v>
      </c>
      <c r="G27" s="74" t="s">
        <v>476</v>
      </c>
      <c r="H27" s="74" t="s">
        <v>483</v>
      </c>
      <c r="I27" s="74" t="s">
        <v>521</v>
      </c>
      <c r="J27" s="74" t="s">
        <v>383</v>
      </c>
      <c r="K27" s="74" t="str">
        <f t="shared" si="1"/>
        <v>t-dtg-tsdb01-nic</v>
      </c>
      <c r="L27" s="83" t="s">
        <v>566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t-dtg-web01-nsg</v>
      </c>
      <c r="F28" s="80" t="s">
        <v>198</v>
      </c>
      <c r="G28" s="73" t="s">
        <v>477</v>
      </c>
      <c r="H28" s="73" t="s">
        <v>403</v>
      </c>
      <c r="I28" s="73" t="s">
        <v>522</v>
      </c>
      <c r="J28" s="73" t="s">
        <v>383</v>
      </c>
      <c r="K28" s="73" t="str">
        <f t="shared" si="1"/>
        <v>t-dtg-web01-nic</v>
      </c>
      <c r="L28" s="81" t="s">
        <v>566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t-dtg-zkp01-nsg</v>
      </c>
      <c r="F29" s="82" t="s">
        <v>198</v>
      </c>
      <c r="G29" s="74" t="s">
        <v>476</v>
      </c>
      <c r="H29" s="74" t="s">
        <v>398</v>
      </c>
      <c r="I29" s="74" t="s">
        <v>523</v>
      </c>
      <c r="J29" s="74" t="s">
        <v>383</v>
      </c>
      <c r="K29" s="74" t="str">
        <f t="shared" si="1"/>
        <v>t-dtg-zkp01-nic</v>
      </c>
      <c r="L29" s="83" t="s">
        <v>566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t-dtg-zkp02-nsg</v>
      </c>
      <c r="F30" s="80" t="s">
        <v>198</v>
      </c>
      <c r="G30" s="73" t="s">
        <v>476</v>
      </c>
      <c r="H30" s="73" t="s">
        <v>398</v>
      </c>
      <c r="I30" s="73" t="s">
        <v>524</v>
      </c>
      <c r="J30" s="73" t="s">
        <v>383</v>
      </c>
      <c r="K30" s="73" t="str">
        <f t="shared" si="1"/>
        <v>t-dtg-zkp02-nic</v>
      </c>
      <c r="L30" s="81" t="s">
        <v>566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t-dtg-zkp03-nsg</v>
      </c>
      <c r="F31" s="82" t="s">
        <v>198</v>
      </c>
      <c r="G31" s="74" t="s">
        <v>476</v>
      </c>
      <c r="H31" s="74" t="s">
        <v>398</v>
      </c>
      <c r="I31" s="74" t="s">
        <v>525</v>
      </c>
      <c r="J31" s="74" t="s">
        <v>383</v>
      </c>
      <c r="K31" s="74" t="str">
        <f t="shared" si="1"/>
        <v>t-dtg-zkp03-nic</v>
      </c>
      <c r="L31" s="83" t="s">
        <v>566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t-dtg-kfk01-nsg</v>
      </c>
      <c r="F32" s="80" t="s">
        <v>198</v>
      </c>
      <c r="G32" s="73" t="s">
        <v>476</v>
      </c>
      <c r="H32" s="73" t="s">
        <v>398</v>
      </c>
      <c r="I32" s="73" t="s">
        <v>526</v>
      </c>
      <c r="J32" s="73" t="s">
        <v>383</v>
      </c>
      <c r="K32" s="73" t="str">
        <f t="shared" si="1"/>
        <v>t-dtg-kfk01-nic</v>
      </c>
      <c r="L32" s="81" t="s">
        <v>566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t-dtg-kfk02-nsg</v>
      </c>
      <c r="F33" s="82" t="s">
        <v>198</v>
      </c>
      <c r="G33" s="74" t="s">
        <v>476</v>
      </c>
      <c r="H33" s="74" t="s">
        <v>398</v>
      </c>
      <c r="I33" s="74" t="s">
        <v>527</v>
      </c>
      <c r="J33" s="74" t="s">
        <v>383</v>
      </c>
      <c r="K33" s="74" t="str">
        <f t="shared" si="1"/>
        <v>t-dtg-kfk02-nic</v>
      </c>
      <c r="L33" s="83" t="s">
        <v>566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t-dtg-kfk03-nsg</v>
      </c>
      <c r="F34" s="80" t="s">
        <v>198</v>
      </c>
      <c r="G34" s="73" t="s">
        <v>476</v>
      </c>
      <c r="H34" s="73" t="s">
        <v>398</v>
      </c>
      <c r="I34" s="73" t="s">
        <v>528</v>
      </c>
      <c r="J34" s="73" t="s">
        <v>383</v>
      </c>
      <c r="K34" s="73" t="str">
        <f t="shared" si="1"/>
        <v>t-dtg-kfk03-nic</v>
      </c>
      <c r="L34" s="81" t="s">
        <v>566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t-dtg-mdoms01-nsg</v>
      </c>
      <c r="F35" s="82" t="s">
        <v>198</v>
      </c>
      <c r="G35" s="74" t="s">
        <v>476</v>
      </c>
      <c r="H35" s="74" t="s">
        <v>398</v>
      </c>
      <c r="I35" s="74" t="s">
        <v>529</v>
      </c>
      <c r="J35" s="74" t="s">
        <v>383</v>
      </c>
      <c r="K35" s="74" t="str">
        <f t="shared" si="1"/>
        <v>t-dtg-mdoms01-nic</v>
      </c>
      <c r="L35" s="83" t="s">
        <v>566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t-dtg-cdmlap01-nsg</v>
      </c>
      <c r="F36" s="80" t="s">
        <v>198</v>
      </c>
      <c r="G36" s="73" t="s">
        <v>476</v>
      </c>
      <c r="H36" s="73" t="s">
        <v>398</v>
      </c>
      <c r="I36" s="73" t="s">
        <v>530</v>
      </c>
      <c r="J36" s="73" t="s">
        <v>383</v>
      </c>
      <c r="K36" s="73" t="str">
        <f t="shared" si="1"/>
        <v>t-dtg-cdmlap01-nic</v>
      </c>
      <c r="L36" s="81" t="s">
        <v>566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t-dtg-cdstap01-nsg</v>
      </c>
      <c r="F37" s="82" t="s">
        <v>198</v>
      </c>
      <c r="G37" s="74" t="s">
        <v>476</v>
      </c>
      <c r="H37" s="74" t="s">
        <v>398</v>
      </c>
      <c r="I37" s="74" t="s">
        <v>531</v>
      </c>
      <c r="J37" s="74" t="s">
        <v>383</v>
      </c>
      <c r="K37" s="74" t="str">
        <f t="shared" si="1"/>
        <v>t-dtg-cdstap01-nic</v>
      </c>
      <c r="L37" s="83" t="s">
        <v>566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t-dtg-cdsvadm01-nsg</v>
      </c>
      <c r="F38" s="80" t="s">
        <v>198</v>
      </c>
      <c r="G38" s="73" t="s">
        <v>476</v>
      </c>
      <c r="H38" s="73" t="s">
        <v>398</v>
      </c>
      <c r="I38" s="73" t="s">
        <v>532</v>
      </c>
      <c r="J38" s="73" t="s">
        <v>383</v>
      </c>
      <c r="K38" s="73" t="str">
        <f t="shared" si="1"/>
        <v>t-dtg-cdsvadm01-nic</v>
      </c>
      <c r="L38" s="81" t="s">
        <v>566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t-dtg-diosap01-nsg</v>
      </c>
      <c r="F39" s="82" t="s">
        <v>198</v>
      </c>
      <c r="G39" s="74" t="s">
        <v>476</v>
      </c>
      <c r="H39" s="74" t="s">
        <v>398</v>
      </c>
      <c r="I39" s="74" t="s">
        <v>533</v>
      </c>
      <c r="J39" s="74" t="s">
        <v>383</v>
      </c>
      <c r="K39" s="74" t="str">
        <f t="shared" si="1"/>
        <v>t-dtg-diosap01-nic</v>
      </c>
      <c r="L39" s="83" t="s">
        <v>566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t-dtg-diosweb01-nsg</v>
      </c>
      <c r="F40" s="80" t="s">
        <v>198</v>
      </c>
      <c r="G40" s="73" t="s">
        <v>476</v>
      </c>
      <c r="H40" s="73" t="s">
        <v>398</v>
      </c>
      <c r="I40" s="73" t="s">
        <v>534</v>
      </c>
      <c r="J40" s="73" t="s">
        <v>383</v>
      </c>
      <c r="K40" s="73" t="str">
        <f t="shared" si="1"/>
        <v>t-dtg-diosweb01-nic</v>
      </c>
      <c r="L40" s="81" t="s">
        <v>566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t-dtg-dprweb01-nsg</v>
      </c>
      <c r="F41" s="82" t="s">
        <v>198</v>
      </c>
      <c r="G41" s="74" t="s">
        <v>477</v>
      </c>
      <c r="H41" s="74" t="s">
        <v>403</v>
      </c>
      <c r="I41" s="74" t="s">
        <v>535</v>
      </c>
      <c r="J41" s="74" t="s">
        <v>383</v>
      </c>
      <c r="K41" s="74" t="str">
        <f t="shared" si="1"/>
        <v>t-dtg-dprweb01-nic</v>
      </c>
      <c r="L41" s="83" t="s">
        <v>566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t-dtg-dprap01-nsg</v>
      </c>
      <c r="F42" s="80" t="s">
        <v>198</v>
      </c>
      <c r="G42" s="73" t="s">
        <v>476</v>
      </c>
      <c r="H42" s="73" t="s">
        <v>398</v>
      </c>
      <c r="I42" s="73" t="s">
        <v>536</v>
      </c>
      <c r="J42" s="73" t="s">
        <v>383</v>
      </c>
      <c r="K42" s="73" t="str">
        <f t="shared" si="1"/>
        <v>t-dtg-dprap01-nic</v>
      </c>
      <c r="L42" s="81" t="s">
        <v>566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BDP</v>
      </c>
      <c r="D43" s="82" t="s">
        <v>198</v>
      </c>
      <c r="E43" s="82" t="str">
        <f t="shared" si="0"/>
        <v>t-bdp-airfw01-nsg</v>
      </c>
      <c r="F43" s="82" t="s">
        <v>198</v>
      </c>
      <c r="G43" s="74" t="s">
        <v>476</v>
      </c>
      <c r="H43" s="74" t="s">
        <v>415</v>
      </c>
      <c r="I43" s="74" t="s">
        <v>537</v>
      </c>
      <c r="J43" s="74" t="s">
        <v>384</v>
      </c>
      <c r="K43" s="74" t="str">
        <f t="shared" si="1"/>
        <v>t-bdp-airfw01-nic</v>
      </c>
      <c r="L43" s="83" t="s">
        <v>566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BDP</v>
      </c>
      <c r="D44" s="80" t="s">
        <v>198</v>
      </c>
      <c r="E44" s="80" t="str">
        <f t="shared" si="0"/>
        <v>t-bdp-kepler01-nsg</v>
      </c>
      <c r="F44" s="80" t="s">
        <v>198</v>
      </c>
      <c r="G44" s="73" t="s">
        <v>476</v>
      </c>
      <c r="H44" s="73" t="s">
        <v>415</v>
      </c>
      <c r="I44" s="73" t="s">
        <v>538</v>
      </c>
      <c r="J44" s="73" t="s">
        <v>384</v>
      </c>
      <c r="K44" s="73" t="str">
        <f t="shared" si="1"/>
        <v>t-bdp-kepler01-nic</v>
      </c>
      <c r="L44" s="81" t="s">
        <v>566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t-bdp-cxmadm01-nsg</v>
      </c>
      <c r="F45" s="82" t="s">
        <v>198</v>
      </c>
      <c r="G45" s="74" t="s">
        <v>476</v>
      </c>
      <c r="H45" s="74" t="s">
        <v>415</v>
      </c>
      <c r="I45" s="74" t="s">
        <v>539</v>
      </c>
      <c r="J45" s="74" t="s">
        <v>384</v>
      </c>
      <c r="K45" s="74" t="str">
        <f t="shared" si="1"/>
        <v>t-bdp-cxmadm01-nic</v>
      </c>
      <c r="L45" s="83" t="s">
        <v>566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t-bdp-slap01-nsg</v>
      </c>
      <c r="F46" s="80" t="s">
        <v>198</v>
      </c>
      <c r="G46" s="73" t="s">
        <v>476</v>
      </c>
      <c r="H46" s="73" t="s">
        <v>415</v>
      </c>
      <c r="I46" s="73" t="s">
        <v>540</v>
      </c>
      <c r="J46" s="73" t="s">
        <v>384</v>
      </c>
      <c r="K46" s="73" t="str">
        <f t="shared" si="1"/>
        <v>t-bdp-slap01-nic</v>
      </c>
      <c r="L46" s="81" t="s">
        <v>566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DIP</v>
      </c>
      <c r="D47" s="82" t="s">
        <v>198</v>
      </c>
      <c r="E47" s="82" t="str">
        <f t="shared" si="0"/>
        <v>t-dip-adm01-nsg</v>
      </c>
      <c r="F47" s="82" t="s">
        <v>198</v>
      </c>
      <c r="G47" s="74" t="s">
        <v>476</v>
      </c>
      <c r="H47" s="74" t="s">
        <v>419</v>
      </c>
      <c r="I47" s="74" t="s">
        <v>541</v>
      </c>
      <c r="J47" s="74" t="s">
        <v>385</v>
      </c>
      <c r="K47" s="74" t="str">
        <f t="shared" si="1"/>
        <v>t-dip-adm01-nic</v>
      </c>
      <c r="L47" s="83" t="s">
        <v>566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DIP</v>
      </c>
      <c r="D48" s="80" t="s">
        <v>198</v>
      </c>
      <c r="E48" s="80" t="str">
        <f t="shared" si="0"/>
        <v>t-dip-ap01-nsg</v>
      </c>
      <c r="F48" s="80" t="s">
        <v>198</v>
      </c>
      <c r="G48" s="73" t="s">
        <v>476</v>
      </c>
      <c r="H48" s="73" t="s">
        <v>419</v>
      </c>
      <c r="I48" s="73" t="s">
        <v>542</v>
      </c>
      <c r="J48" s="73" t="s">
        <v>385</v>
      </c>
      <c r="K48" s="73" t="str">
        <f t="shared" si="1"/>
        <v>t-dip-ap01-nic</v>
      </c>
      <c r="L48" s="81" t="s">
        <v>566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t-dip-flk01-nsg</v>
      </c>
      <c r="F49" s="82" t="s">
        <v>198</v>
      </c>
      <c r="G49" s="74" t="s">
        <v>476</v>
      </c>
      <c r="H49" s="74" t="s">
        <v>419</v>
      </c>
      <c r="I49" s="74" t="s">
        <v>543</v>
      </c>
      <c r="J49" s="74" t="s">
        <v>385</v>
      </c>
      <c r="K49" s="74" t="str">
        <f t="shared" si="1"/>
        <v>t-dip-flk01-nic</v>
      </c>
      <c r="L49" s="83" t="s">
        <v>566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t-dip-flk02-nsg</v>
      </c>
      <c r="F50" s="80" t="s">
        <v>198</v>
      </c>
      <c r="G50" s="73" t="s">
        <v>476</v>
      </c>
      <c r="H50" s="73" t="s">
        <v>419</v>
      </c>
      <c r="I50" s="73" t="s">
        <v>544</v>
      </c>
      <c r="J50" s="73" t="s">
        <v>385</v>
      </c>
      <c r="K50" s="73" t="str">
        <f t="shared" si="1"/>
        <v>t-dip-flk02-nic</v>
      </c>
      <c r="L50" s="81" t="s">
        <v>566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t-dip-flk03-nsg</v>
      </c>
      <c r="F51" s="82" t="s">
        <v>198</v>
      </c>
      <c r="G51" s="74" t="s">
        <v>476</v>
      </c>
      <c r="H51" s="74" t="s">
        <v>419</v>
      </c>
      <c r="I51" s="74" t="s">
        <v>545</v>
      </c>
      <c r="J51" s="74" t="s">
        <v>385</v>
      </c>
      <c r="K51" s="74" t="str">
        <f t="shared" si="1"/>
        <v>t-dip-flk03-nic</v>
      </c>
      <c r="L51" s="83" t="s">
        <v>566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t-dip-geoap01-nsg</v>
      </c>
      <c r="F52" s="80" t="s">
        <v>198</v>
      </c>
      <c r="G52" s="73" t="s">
        <v>476</v>
      </c>
      <c r="H52" s="73" t="s">
        <v>419</v>
      </c>
      <c r="I52" s="73" t="s">
        <v>546</v>
      </c>
      <c r="J52" s="73" t="s">
        <v>385</v>
      </c>
      <c r="K52" s="73" t="str">
        <f t="shared" si="1"/>
        <v>t-dip-geoap01-nic</v>
      </c>
      <c r="L52" s="81" t="s">
        <v>566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t-dip-kfk01-nsg</v>
      </c>
      <c r="F53" s="82" t="s">
        <v>198</v>
      </c>
      <c r="G53" s="74" t="s">
        <v>476</v>
      </c>
      <c r="H53" s="74" t="s">
        <v>419</v>
      </c>
      <c r="I53" s="74" t="s">
        <v>547</v>
      </c>
      <c r="J53" s="74" t="s">
        <v>385</v>
      </c>
      <c r="K53" s="74" t="str">
        <f t="shared" si="1"/>
        <v>t-dip-kfk01-nic</v>
      </c>
      <c r="L53" s="83" t="s">
        <v>566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t-dip-kfk02-nsg</v>
      </c>
      <c r="F54" s="80" t="s">
        <v>198</v>
      </c>
      <c r="G54" s="73" t="s">
        <v>476</v>
      </c>
      <c r="H54" s="73" t="s">
        <v>419</v>
      </c>
      <c r="I54" s="73" t="s">
        <v>548</v>
      </c>
      <c r="J54" s="73" t="s">
        <v>385</v>
      </c>
      <c r="K54" s="73" t="str">
        <f t="shared" si="1"/>
        <v>t-dip-kfk02-nic</v>
      </c>
      <c r="L54" s="81" t="s">
        <v>566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t-dip-kfk03-nsg</v>
      </c>
      <c r="F55" s="82" t="s">
        <v>198</v>
      </c>
      <c r="G55" s="74" t="s">
        <v>476</v>
      </c>
      <c r="H55" s="74" t="s">
        <v>419</v>
      </c>
      <c r="I55" s="74" t="s">
        <v>549</v>
      </c>
      <c r="J55" s="74" t="s">
        <v>385</v>
      </c>
      <c r="K55" s="74" t="str">
        <f t="shared" si="1"/>
        <v>t-dip-kfk03-nic</v>
      </c>
      <c r="L55" s="83" t="s">
        <v>566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t-dip-mqap01-nsg</v>
      </c>
      <c r="F56" s="80" t="s">
        <v>198</v>
      </c>
      <c r="G56" s="73" t="s">
        <v>476</v>
      </c>
      <c r="H56" s="73" t="s">
        <v>419</v>
      </c>
      <c r="I56" s="73" t="s">
        <v>550</v>
      </c>
      <c r="J56" s="73" t="s">
        <v>385</v>
      </c>
      <c r="K56" s="73" t="str">
        <f t="shared" si="1"/>
        <v>t-dip-mqap01-nic</v>
      </c>
      <c r="L56" s="81" t="s">
        <v>566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t-dip-mqweb01-nsg</v>
      </c>
      <c r="F57" s="82" t="s">
        <v>198</v>
      </c>
      <c r="G57" s="74" t="s">
        <v>476</v>
      </c>
      <c r="H57" s="74" t="s">
        <v>419</v>
      </c>
      <c r="I57" s="74" t="s">
        <v>551</v>
      </c>
      <c r="J57" s="74" t="s">
        <v>385</v>
      </c>
      <c r="K57" s="74" t="str">
        <f t="shared" si="1"/>
        <v>t-dip-mqweb01-nic</v>
      </c>
      <c r="L57" s="83" t="s">
        <v>566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t-dip-oms01-nsg</v>
      </c>
      <c r="F58" s="80" t="s">
        <v>198</v>
      </c>
      <c r="G58" s="73" t="s">
        <v>476</v>
      </c>
      <c r="H58" s="73" t="s">
        <v>419</v>
      </c>
      <c r="I58" s="73" t="s">
        <v>552</v>
      </c>
      <c r="J58" s="73" t="s">
        <v>385</v>
      </c>
      <c r="K58" s="73" t="str">
        <f t="shared" si="1"/>
        <v>t-dip-oms01-nic</v>
      </c>
      <c r="L58" s="81" t="s">
        <v>566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t-dip-web01-nsg</v>
      </c>
      <c r="F59" s="82" t="s">
        <v>198</v>
      </c>
      <c r="G59" s="74" t="s">
        <v>476</v>
      </c>
      <c r="H59" s="74" t="s">
        <v>419</v>
      </c>
      <c r="I59" s="74" t="s">
        <v>553</v>
      </c>
      <c r="J59" s="74" t="s">
        <v>385</v>
      </c>
      <c r="K59" s="74" t="str">
        <f t="shared" si="1"/>
        <v>t-dip-web01-nic</v>
      </c>
      <c r="L59" s="83" t="s">
        <v>566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IF</v>
      </c>
      <c r="D60" s="80" t="s">
        <v>198</v>
      </c>
      <c r="E60" s="80" t="str">
        <f t="shared" si="0"/>
        <v>t-if-auth01-nsg</v>
      </c>
      <c r="F60" s="80" t="s">
        <v>198</v>
      </c>
      <c r="G60" s="73" t="s">
        <v>476</v>
      </c>
      <c r="H60" s="73" t="s">
        <v>321</v>
      </c>
      <c r="I60" s="73" t="s">
        <v>599</v>
      </c>
      <c r="J60" s="73" t="s">
        <v>474</v>
      </c>
      <c r="K60" s="73" t="str">
        <f t="shared" si="1"/>
        <v>t-if-auth01-nic</v>
      </c>
      <c r="L60" s="81" t="s">
        <v>566</v>
      </c>
      <c r="M60" s="81"/>
    </row>
    <row r="61" spans="1:13" x14ac:dyDescent="0.3">
      <c r="A61" s="97"/>
      <c r="B61" s="80" t="s">
        <v>182</v>
      </c>
      <c r="C61" s="80" t="str" cm="1">
        <f t="array" ref="C61">UPPER(INDEX(_xlfn.TEXTSPLIT($E61, "-"), 2))</f>
        <v>IF</v>
      </c>
      <c r="D61" s="80" t="s">
        <v>198</v>
      </c>
      <c r="E61" s="80" t="str">
        <f t="shared" si="0"/>
        <v>t-if-gramon01-nsg</v>
      </c>
      <c r="F61" s="80" t="s">
        <v>198</v>
      </c>
      <c r="G61" s="73" t="s">
        <v>476</v>
      </c>
      <c r="H61" s="73" t="s">
        <v>497</v>
      </c>
      <c r="I61" s="73" t="s">
        <v>554</v>
      </c>
      <c r="J61" s="73" t="s">
        <v>474</v>
      </c>
      <c r="K61" s="73" t="str">
        <f t="shared" si="1"/>
        <v>t-if-gramon01-nic</v>
      </c>
      <c r="L61" s="81" t="s">
        <v>566</v>
      </c>
      <c r="M61" s="81"/>
    </row>
    <row r="62" spans="1:13" x14ac:dyDescent="0.3">
      <c r="A62" s="97"/>
      <c r="B62" s="82" t="s">
        <v>182</v>
      </c>
      <c r="C62" s="82" t="str" cm="1">
        <f t="array" ref="C62">UPPER(INDEX(_xlfn.TEXTSPLIT($E62, "-"), 2))</f>
        <v>DOIP</v>
      </c>
      <c r="D62" s="82" t="s">
        <v>198</v>
      </c>
      <c r="E62" s="82" t="str">
        <f t="shared" si="0"/>
        <v>t-doip-web01-nsg</v>
      </c>
      <c r="F62" s="82" t="s">
        <v>198</v>
      </c>
      <c r="G62" s="74" t="s">
        <v>476</v>
      </c>
      <c r="H62" s="74" t="s">
        <v>429</v>
      </c>
      <c r="I62" s="74" t="s">
        <v>555</v>
      </c>
      <c r="J62" s="74" t="s">
        <v>386</v>
      </c>
      <c r="K62" s="74" t="str">
        <f t="shared" si="1"/>
        <v>t-doip-web01-nic</v>
      </c>
      <c r="L62" s="83" t="s">
        <v>566</v>
      </c>
      <c r="M62" s="83"/>
    </row>
    <row r="63" spans="1:13" x14ac:dyDescent="0.3">
      <c r="A63" s="97"/>
      <c r="B63" s="80" t="s">
        <v>182</v>
      </c>
      <c r="C63" s="80" t="str" cm="1">
        <f t="array" ref="C63">UPPER(INDEX(_xlfn.TEXTSPLIT($E63, "-"), 2))</f>
        <v>DOIP</v>
      </c>
      <c r="D63" s="80" t="s">
        <v>198</v>
      </c>
      <c r="E63" s="80" t="str">
        <f t="shared" si="0"/>
        <v>t-doip-ap01-nsg</v>
      </c>
      <c r="F63" s="80" t="s">
        <v>198</v>
      </c>
      <c r="G63" s="73" t="s">
        <v>476</v>
      </c>
      <c r="H63" s="73" t="s">
        <v>429</v>
      </c>
      <c r="I63" s="73" t="s">
        <v>556</v>
      </c>
      <c r="J63" s="73" t="s">
        <v>386</v>
      </c>
      <c r="K63" s="73" t="str">
        <f t="shared" si="1"/>
        <v>t-doip-ap01-nic</v>
      </c>
      <c r="L63" s="81" t="s">
        <v>566</v>
      </c>
      <c r="M63" s="81"/>
    </row>
    <row r="64" spans="1:13" x14ac:dyDescent="0.3">
      <c r="A64" s="97"/>
      <c r="B64" s="82" t="s">
        <v>182</v>
      </c>
      <c r="C64" s="82" t="str" cm="1">
        <f t="array" ref="C64">UPPER(INDEX(_xlfn.TEXTSPLIT($E64, "-"), 2))</f>
        <v>DOIP</v>
      </c>
      <c r="D64" s="82" t="s">
        <v>198</v>
      </c>
      <c r="E64" s="82" t="str">
        <f t="shared" si="0"/>
        <v>t-doip-adm01-nsg</v>
      </c>
      <c r="F64" s="82" t="s">
        <v>198</v>
      </c>
      <c r="G64" s="74" t="s">
        <v>476</v>
      </c>
      <c r="H64" s="74" t="s">
        <v>429</v>
      </c>
      <c r="I64" s="74" t="s">
        <v>557</v>
      </c>
      <c r="J64" s="74" t="s">
        <v>386</v>
      </c>
      <c r="K64" s="74" t="str">
        <f t="shared" si="1"/>
        <v>t-doip-adm01-nic</v>
      </c>
      <c r="L64" s="83" t="s">
        <v>566</v>
      </c>
      <c r="M64" s="83"/>
    </row>
    <row r="65" spans="1:13" x14ac:dyDescent="0.3">
      <c r="A65" s="97"/>
      <c r="B65" s="80" t="s">
        <v>182</v>
      </c>
      <c r="C65" s="80" t="str" cm="1">
        <f t="array" ref="C65">UPPER(INDEX(_xlfn.TEXTSPLIT($E65, "-"), 2))</f>
        <v>BDP</v>
      </c>
      <c r="D65" s="80" t="s">
        <v>198</v>
      </c>
      <c r="E65" s="80" t="str">
        <f t="shared" ref="E65:E67" si="2">SUBSTITUTE(I65,"hazr-","")&amp;"-nsg"</f>
        <v>t-bdp-crkweb01-nsg</v>
      </c>
      <c r="F65" s="80" t="s">
        <v>198</v>
      </c>
      <c r="G65" s="73" t="s">
        <v>477</v>
      </c>
      <c r="H65" s="73" t="s">
        <v>433</v>
      </c>
      <c r="I65" s="73" t="s">
        <v>558</v>
      </c>
      <c r="J65" s="73" t="s">
        <v>384</v>
      </c>
      <c r="K65" s="73" t="str">
        <f t="shared" ref="K65:K67" si="3">SUBSTITUTE(I65,"hazr-","")&amp;"-nic"</f>
        <v>t-bdp-crkweb01-nic</v>
      </c>
      <c r="L65" s="81" t="s">
        <v>566</v>
      </c>
      <c r="M65" s="81"/>
    </row>
    <row r="66" spans="1:13" x14ac:dyDescent="0.3">
      <c r="A66" s="97"/>
      <c r="B66" s="82" t="s">
        <v>182</v>
      </c>
      <c r="C66" s="82" t="str" cm="1">
        <f t="array" ref="C66">UPPER(INDEX(_xlfn.TEXTSPLIT($E66, "-"), 2))</f>
        <v>BDP</v>
      </c>
      <c r="D66" s="82" t="s">
        <v>198</v>
      </c>
      <c r="E66" s="82" t="str">
        <f t="shared" si="2"/>
        <v>t-bdp-crkap01-nsg</v>
      </c>
      <c r="F66" s="82" t="s">
        <v>198</v>
      </c>
      <c r="G66" s="74" t="s">
        <v>476</v>
      </c>
      <c r="H66" s="74" t="s">
        <v>415</v>
      </c>
      <c r="I66" s="74" t="s">
        <v>559</v>
      </c>
      <c r="J66" s="74" t="s">
        <v>384</v>
      </c>
      <c r="K66" s="74" t="str">
        <f t="shared" si="3"/>
        <v>t-bdp-crkap01-nic</v>
      </c>
      <c r="L66" s="83" t="s">
        <v>566</v>
      </c>
      <c r="M66" s="83"/>
    </row>
    <row r="67" spans="1:13" x14ac:dyDescent="0.3">
      <c r="A67" s="97"/>
      <c r="B67" s="80" t="s">
        <v>182</v>
      </c>
      <c r="C67" s="80" t="str" cm="1">
        <f t="array" ref="C67">UPPER(INDEX(_xlfn.TEXTSPLIT($E67, "-"), 2))</f>
        <v>BDP</v>
      </c>
      <c r="D67" s="80" t="s">
        <v>198</v>
      </c>
      <c r="E67" s="80" t="str">
        <f t="shared" si="2"/>
        <v>t-bdp-crkml01-nsg</v>
      </c>
      <c r="F67" s="80" t="s">
        <v>198</v>
      </c>
      <c r="G67" s="73" t="s">
        <v>476</v>
      </c>
      <c r="H67" s="73" t="s">
        <v>415</v>
      </c>
      <c r="I67" s="73" t="s">
        <v>560</v>
      </c>
      <c r="J67" s="73" t="s">
        <v>384</v>
      </c>
      <c r="K67" s="73" t="str">
        <f t="shared" si="3"/>
        <v>t-bdp-crkml01-nic</v>
      </c>
      <c r="L67" s="81" t="s">
        <v>566</v>
      </c>
      <c r="M67" s="81"/>
    </row>
    <row r="68" spans="1:13" x14ac:dyDescent="0.3">
      <c r="A68" s="97"/>
      <c r="B68" s="82" t="s">
        <v>182</v>
      </c>
      <c r="C68" s="82" t="str" cm="1">
        <f t="array" ref="C68">UPPER(INDEX(_xlfn.TEXTSPLIT($E68, "-"), 2))</f>
        <v>DIS</v>
      </c>
      <c r="D68" s="82" t="s">
        <v>198</v>
      </c>
      <c r="E68" s="82" t="str">
        <f>SUBSTITUTE(H68,"-sbn","")&amp;"-nsg"</f>
        <v>t-dis-db-nsg</v>
      </c>
      <c r="F68" s="82" t="s">
        <v>198</v>
      </c>
      <c r="G68" s="74" t="s">
        <v>476</v>
      </c>
      <c r="H68" s="74" t="s">
        <v>295</v>
      </c>
      <c r="I68" s="74"/>
      <c r="J68" s="74"/>
      <c r="K68" s="74"/>
      <c r="L68" s="74" t="s">
        <v>570</v>
      </c>
      <c r="M68" s="74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DIS</v>
      </c>
      <c r="D69" s="80" t="s">
        <v>198</v>
      </c>
      <c r="E69" s="80" t="str">
        <f t="shared" ref="E69:E85" si="4">SUBSTITUTE(H69,"-sbn","")&amp;"-nsg"</f>
        <v>t-dis-pe-nsg</v>
      </c>
      <c r="F69" s="80" t="s">
        <v>198</v>
      </c>
      <c r="G69" s="73" t="s">
        <v>476</v>
      </c>
      <c r="H69" s="73" t="s">
        <v>302</v>
      </c>
      <c r="I69" s="73"/>
      <c r="J69" s="73"/>
      <c r="K69" s="73"/>
      <c r="L69" s="73" t="s">
        <v>570</v>
      </c>
      <c r="M69" s="73"/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PULS</v>
      </c>
      <c r="D70" s="82" t="s">
        <v>198</v>
      </c>
      <c r="E70" s="82" t="str">
        <f t="shared" si="4"/>
        <v>t-puls-db-nsg</v>
      </c>
      <c r="F70" s="82" t="s">
        <v>198</v>
      </c>
      <c r="G70" s="74" t="s">
        <v>476</v>
      </c>
      <c r="H70" s="74" t="s">
        <v>571</v>
      </c>
      <c r="I70" s="74"/>
      <c r="J70" s="74"/>
      <c r="K70" s="74"/>
      <c r="L70" s="74" t="s">
        <v>570</v>
      </c>
      <c r="M70" s="74"/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PULS</v>
      </c>
      <c r="D71" s="80" t="s">
        <v>198</v>
      </c>
      <c r="E71" s="80" t="str">
        <f t="shared" si="4"/>
        <v>t-puls-pe-nsg</v>
      </c>
      <c r="F71" s="80" t="s">
        <v>198</v>
      </c>
      <c r="G71" s="73" t="s">
        <v>476</v>
      </c>
      <c r="H71" s="73" t="s">
        <v>305</v>
      </c>
      <c r="I71" s="73"/>
      <c r="J71" s="73"/>
      <c r="K71" s="73"/>
      <c r="L71" s="73" t="s">
        <v>570</v>
      </c>
      <c r="M71" s="73"/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DOIP</v>
      </c>
      <c r="D72" s="82" t="s">
        <v>198</v>
      </c>
      <c r="E72" s="82" t="str">
        <f t="shared" si="4"/>
        <v>t-doip-db-nsg</v>
      </c>
      <c r="F72" s="82" t="s">
        <v>198</v>
      </c>
      <c r="G72" s="74" t="s">
        <v>476</v>
      </c>
      <c r="H72" s="74" t="s">
        <v>307</v>
      </c>
      <c r="I72" s="74"/>
      <c r="J72" s="74"/>
      <c r="K72" s="74"/>
      <c r="L72" s="74" t="s">
        <v>570</v>
      </c>
      <c r="M72" s="74"/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DOIP</v>
      </c>
      <c r="D73" s="80" t="s">
        <v>198</v>
      </c>
      <c r="E73" s="80" t="str">
        <f t="shared" si="4"/>
        <v>t-doip-pe-nsg</v>
      </c>
      <c r="F73" s="80" t="s">
        <v>198</v>
      </c>
      <c r="G73" s="73" t="s">
        <v>476</v>
      </c>
      <c r="H73" s="73" t="s">
        <v>308</v>
      </c>
      <c r="I73" s="73"/>
      <c r="J73" s="73"/>
      <c r="K73" s="73"/>
      <c r="L73" s="73" t="s">
        <v>570</v>
      </c>
      <c r="M73" s="73"/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DTG</v>
      </c>
      <c r="D74" s="82" t="s">
        <v>198</v>
      </c>
      <c r="E74" s="82" t="str">
        <f t="shared" si="4"/>
        <v>t-dtg-db-nsg</v>
      </c>
      <c r="F74" s="82" t="s">
        <v>198</v>
      </c>
      <c r="G74" s="74" t="s">
        <v>476</v>
      </c>
      <c r="H74" s="74" t="s">
        <v>309</v>
      </c>
      <c r="I74" s="74"/>
      <c r="J74" s="74"/>
      <c r="K74" s="74"/>
      <c r="L74" s="74" t="s">
        <v>570</v>
      </c>
      <c r="M74" s="74"/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DTG</v>
      </c>
      <c r="D75" s="80" t="s">
        <v>198</v>
      </c>
      <c r="E75" s="80" t="str">
        <f t="shared" si="4"/>
        <v>t-dtg-pe-nsg</v>
      </c>
      <c r="F75" s="80" t="s">
        <v>198</v>
      </c>
      <c r="G75" s="73" t="s">
        <v>476</v>
      </c>
      <c r="H75" s="73" t="s">
        <v>311</v>
      </c>
      <c r="I75" s="73"/>
      <c r="J75" s="73"/>
      <c r="K75" s="73"/>
      <c r="L75" s="73" t="s">
        <v>570</v>
      </c>
      <c r="M75" s="73"/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BDP</v>
      </c>
      <c r="D76" s="82" t="s">
        <v>198</v>
      </c>
      <c r="E76" s="82" t="str">
        <f t="shared" si="4"/>
        <v>t-bdp-db-nsg</v>
      </c>
      <c r="F76" s="82" t="s">
        <v>198</v>
      </c>
      <c r="G76" s="74" t="s">
        <v>476</v>
      </c>
      <c r="H76" s="74" t="s">
        <v>312</v>
      </c>
      <c r="I76" s="74"/>
      <c r="J76" s="74"/>
      <c r="K76" s="74"/>
      <c r="L76" s="74" t="s">
        <v>570</v>
      </c>
      <c r="M76" s="74"/>
    </row>
    <row r="77" spans="1:13" x14ac:dyDescent="0.3">
      <c r="A77" s="97"/>
      <c r="B77" s="80" t="s">
        <v>182</v>
      </c>
      <c r="C77" s="80" t="str" cm="1">
        <f t="array" ref="C77">UPPER(INDEX(_xlfn.TEXTSPLIT($E77, "-"), 2))</f>
        <v>BDP</v>
      </c>
      <c r="D77" s="80" t="s">
        <v>198</v>
      </c>
      <c r="E77" s="80" t="str">
        <f t="shared" si="4"/>
        <v>t-bdp-pe-nsg</v>
      </c>
      <c r="F77" s="80" t="s">
        <v>198</v>
      </c>
      <c r="G77" s="73" t="s">
        <v>476</v>
      </c>
      <c r="H77" s="73" t="s">
        <v>314</v>
      </c>
      <c r="I77" s="73"/>
      <c r="J77" s="73"/>
      <c r="K77" s="73"/>
      <c r="L77" s="73" t="s">
        <v>570</v>
      </c>
      <c r="M77" s="73"/>
    </row>
    <row r="78" spans="1:13" x14ac:dyDescent="0.3">
      <c r="A78" s="97"/>
      <c r="B78" s="82" t="s">
        <v>182</v>
      </c>
      <c r="C78" s="82" t="str" cm="1">
        <f t="array" ref="C78">UPPER(INDEX(_xlfn.TEXTSPLIT($E78, "-"), 2))</f>
        <v>DIP</v>
      </c>
      <c r="D78" s="82" t="s">
        <v>198</v>
      </c>
      <c r="E78" s="82" t="str">
        <f t="shared" si="4"/>
        <v>t-dip-db-nsg</v>
      </c>
      <c r="F78" s="82" t="s">
        <v>198</v>
      </c>
      <c r="G78" s="74" t="s">
        <v>476</v>
      </c>
      <c r="H78" s="74" t="s">
        <v>316</v>
      </c>
      <c r="I78" s="74"/>
      <c r="J78" s="74"/>
      <c r="K78" s="74"/>
      <c r="L78" s="74" t="s">
        <v>570</v>
      </c>
      <c r="M78" s="74"/>
    </row>
    <row r="79" spans="1:13" x14ac:dyDescent="0.3">
      <c r="A79" s="97"/>
      <c r="B79" s="80" t="s">
        <v>182</v>
      </c>
      <c r="C79" s="80" t="str" cm="1">
        <f t="array" ref="C79">UPPER(INDEX(_xlfn.TEXTSPLIT($E79, "-"), 2))</f>
        <v>DIP</v>
      </c>
      <c r="D79" s="80" t="s">
        <v>198</v>
      </c>
      <c r="E79" s="80" t="str">
        <f t="shared" si="4"/>
        <v>t-dip-pe-nsg</v>
      </c>
      <c r="F79" s="80" t="s">
        <v>198</v>
      </c>
      <c r="G79" s="73" t="s">
        <v>476</v>
      </c>
      <c r="H79" s="73" t="s">
        <v>317</v>
      </c>
      <c r="I79" s="73"/>
      <c r="J79" s="73"/>
      <c r="K79" s="73"/>
      <c r="L79" s="73" t="s">
        <v>570</v>
      </c>
      <c r="M79" s="73"/>
    </row>
    <row r="80" spans="1:13" x14ac:dyDescent="0.3">
      <c r="A80" s="99"/>
      <c r="B80" s="82" t="s">
        <v>182</v>
      </c>
      <c r="C80" s="82" t="str" cm="1">
        <f t="array" ref="C80">UPPER(INDEX(_xlfn.TEXTSPLIT($E80, "-"), 2))</f>
        <v>COM</v>
      </c>
      <c r="D80" s="82" t="s">
        <v>198</v>
      </c>
      <c r="E80" s="82" t="str">
        <f>SUBSTITUTE(H80,"-sbn","")&amp;"-nsg"</f>
        <v>t-com-db-nsg</v>
      </c>
      <c r="F80" s="82" t="s">
        <v>198</v>
      </c>
      <c r="G80" s="74" t="s">
        <v>476</v>
      </c>
      <c r="H80" s="74" t="s">
        <v>319</v>
      </c>
      <c r="I80" s="74"/>
      <c r="J80" s="74"/>
      <c r="K80" s="74"/>
      <c r="L80" s="74" t="s">
        <v>570</v>
      </c>
      <c r="M80" s="74"/>
    </row>
    <row r="81" spans="1:13" x14ac:dyDescent="0.3">
      <c r="A81" s="99"/>
      <c r="B81" s="80" t="s">
        <v>182</v>
      </c>
      <c r="C81" s="80" t="str" cm="1">
        <f t="array" ref="C81">UPPER(INDEX(_xlfn.TEXTSPLIT($E81, "-"), 2))</f>
        <v>COM</v>
      </c>
      <c r="D81" s="80" t="s">
        <v>198</v>
      </c>
      <c r="E81" s="80" t="str">
        <f t="shared" si="4"/>
        <v>t-com-pe-nsg</v>
      </c>
      <c r="F81" s="80" t="s">
        <v>198</v>
      </c>
      <c r="G81" s="73" t="s">
        <v>476</v>
      </c>
      <c r="H81" s="73" t="s">
        <v>320</v>
      </c>
      <c r="I81" s="73"/>
      <c r="J81" s="73"/>
      <c r="K81" s="73"/>
      <c r="L81" s="73" t="s">
        <v>570</v>
      </c>
      <c r="M81" s="73"/>
    </row>
    <row r="82" spans="1:13" x14ac:dyDescent="0.3">
      <c r="A82" s="97"/>
      <c r="B82" s="82" t="s">
        <v>182</v>
      </c>
      <c r="C82" s="82" t="str" cm="1">
        <f t="array" ref="C82">UPPER(INDEX(_xlfn.TEXTSPLIT($E82, "-"), 2))</f>
        <v>IF</v>
      </c>
      <c r="D82" s="82" t="s">
        <v>198</v>
      </c>
      <c r="E82" s="82" t="str">
        <f t="shared" si="4"/>
        <v>t-if-db-nsg</v>
      </c>
      <c r="F82" s="82" t="s">
        <v>198</v>
      </c>
      <c r="G82" s="74" t="s">
        <v>476</v>
      </c>
      <c r="H82" s="74" t="s">
        <v>322</v>
      </c>
      <c r="I82" s="74"/>
      <c r="J82" s="74"/>
      <c r="K82" s="74"/>
      <c r="L82" s="74" t="s">
        <v>570</v>
      </c>
      <c r="M82" s="74"/>
    </row>
    <row r="83" spans="1:13" x14ac:dyDescent="0.3">
      <c r="A83" s="97"/>
      <c r="B83" s="80" t="s">
        <v>182</v>
      </c>
      <c r="C83" s="80" t="str" cm="1">
        <f t="array" ref="C83">UPPER(INDEX(_xlfn.TEXTSPLIT($E83, "-"), 2))</f>
        <v>IF</v>
      </c>
      <c r="D83" s="80" t="s">
        <v>198</v>
      </c>
      <c r="E83" s="80" t="str">
        <f t="shared" si="4"/>
        <v>t-if-pe-nsg</v>
      </c>
      <c r="F83" s="80" t="s">
        <v>198</v>
      </c>
      <c r="G83" s="73" t="s">
        <v>476</v>
      </c>
      <c r="H83" s="73" t="s">
        <v>323</v>
      </c>
      <c r="I83" s="73"/>
      <c r="J83" s="73"/>
      <c r="K83" s="73"/>
      <c r="L83" s="73" t="s">
        <v>570</v>
      </c>
      <c r="M83" s="73"/>
    </row>
    <row r="84" spans="1:13" x14ac:dyDescent="0.3">
      <c r="A84" s="97"/>
      <c r="B84" s="82" t="s">
        <v>182</v>
      </c>
      <c r="C84" s="82" t="str" cm="1">
        <f t="array" ref="C84">UPPER(INDEX(_xlfn.TEXTSPLIT($E84, "-"), 2))</f>
        <v>CS</v>
      </c>
      <c r="D84" s="82" t="s">
        <v>198</v>
      </c>
      <c r="E84" s="82" t="str">
        <f t="shared" si="4"/>
        <v>t-cs-db-nsg</v>
      </c>
      <c r="F84" s="82" t="s">
        <v>198</v>
      </c>
      <c r="G84" s="74" t="s">
        <v>476</v>
      </c>
      <c r="H84" s="74" t="s">
        <v>213</v>
      </c>
      <c r="I84" s="74"/>
      <c r="J84" s="74"/>
      <c r="K84" s="74"/>
      <c r="L84" s="74" t="s">
        <v>570</v>
      </c>
      <c r="M84" s="74"/>
    </row>
    <row r="85" spans="1:13" x14ac:dyDescent="0.3">
      <c r="A85" s="97"/>
      <c r="B85" s="80" t="s">
        <v>182</v>
      </c>
      <c r="C85" s="80" t="str" cm="1">
        <f t="array" ref="C85">UPPER(INDEX(_xlfn.TEXTSPLIT($E85, "-"), 2))</f>
        <v>CS</v>
      </c>
      <c r="D85" s="80" t="s">
        <v>198</v>
      </c>
      <c r="E85" s="80" t="str">
        <f t="shared" si="4"/>
        <v>t-cs-pe-nsg</v>
      </c>
      <c r="F85" s="80" t="s">
        <v>198</v>
      </c>
      <c r="G85" s="73" t="s">
        <v>476</v>
      </c>
      <c r="H85" s="73" t="s">
        <v>214</v>
      </c>
      <c r="I85" s="73"/>
      <c r="J85" s="73"/>
      <c r="K85" s="73" t="s">
        <v>606</v>
      </c>
      <c r="L85" s="73" t="s">
        <v>570</v>
      </c>
      <c r="M85" s="73"/>
    </row>
    <row r="86" spans="1:13" x14ac:dyDescent="0.3">
      <c r="A86" s="110"/>
      <c r="B86" s="82" t="s">
        <v>586</v>
      </c>
      <c r="C86" s="82" t="str" cm="1">
        <f t="array" ref="C86">UPPER(INDEX(_xlfn.TEXTSPLIT($D86, "-"), 3))</f>
        <v>MON</v>
      </c>
      <c r="D86" s="82" t="s">
        <v>572</v>
      </c>
      <c r="E86" s="82" t="str">
        <f t="shared" ref="E86:E91" si="5">SUBSTITUTE(I86,"hazr-","")&amp;"-nsg"</f>
        <v>l-mon-whtap01-nsg</v>
      </c>
      <c r="F86" s="82" t="s">
        <v>572</v>
      </c>
      <c r="G86" s="74" t="s">
        <v>282</v>
      </c>
      <c r="H86" s="74" t="s">
        <v>577</v>
      </c>
      <c r="I86" s="74" t="s">
        <v>579</v>
      </c>
      <c r="J86" s="74" t="s">
        <v>572</v>
      </c>
      <c r="K86" s="74" t="s">
        <v>582</v>
      </c>
      <c r="L86" s="74" t="s">
        <v>566</v>
      </c>
      <c r="M86" s="74" t="s">
        <v>592</v>
      </c>
    </row>
    <row r="87" spans="1:13" x14ac:dyDescent="0.3">
      <c r="A87" s="110"/>
      <c r="B87" s="80" t="s">
        <v>586</v>
      </c>
      <c r="C87" s="80" t="str" cm="1">
        <f t="array" ref="C87">UPPER(INDEX(_xlfn.TEXTSPLIT($D87, "-"), 3))</f>
        <v>MON</v>
      </c>
      <c r="D87" s="80" t="s">
        <v>572</v>
      </c>
      <c r="E87" s="80" t="str">
        <f t="shared" si="5"/>
        <v>l-mon-whtap02-nsg</v>
      </c>
      <c r="F87" s="80" t="s">
        <v>572</v>
      </c>
      <c r="G87" s="73" t="s">
        <v>282</v>
      </c>
      <c r="H87" s="73" t="s">
        <v>577</v>
      </c>
      <c r="I87" s="73" t="s">
        <v>578</v>
      </c>
      <c r="J87" s="73" t="s">
        <v>572</v>
      </c>
      <c r="K87" s="73" t="s">
        <v>583</v>
      </c>
      <c r="L87" s="73" t="s">
        <v>566</v>
      </c>
      <c r="M87" s="73" t="s">
        <v>592</v>
      </c>
    </row>
    <row r="88" spans="1:13" x14ac:dyDescent="0.3">
      <c r="A88" s="110"/>
      <c r="B88" s="82" t="s">
        <v>586</v>
      </c>
      <c r="C88" s="82" t="str" cm="1">
        <f t="array" ref="C88">UPPER(INDEX(_xlfn.TEXTSPLIT($D88, "-"), 3))</f>
        <v>MON</v>
      </c>
      <c r="D88" s="82" t="s">
        <v>572</v>
      </c>
      <c r="E88" s="82" t="str">
        <f t="shared" si="5"/>
        <v>l-mon-whtap03-nsg</v>
      </c>
      <c r="F88" s="82" t="s">
        <v>572</v>
      </c>
      <c r="G88" s="74" t="s">
        <v>282</v>
      </c>
      <c r="H88" s="74" t="s">
        <v>577</v>
      </c>
      <c r="I88" s="74" t="s">
        <v>588</v>
      </c>
      <c r="J88" s="74" t="s">
        <v>572</v>
      </c>
      <c r="K88" s="74" t="s">
        <v>590</v>
      </c>
      <c r="L88" s="74" t="s">
        <v>566</v>
      </c>
      <c r="M88" s="74" t="s">
        <v>591</v>
      </c>
    </row>
    <row r="89" spans="1:13" x14ac:dyDescent="0.3">
      <c r="A89" s="97"/>
      <c r="B89" s="80" t="s">
        <v>182</v>
      </c>
      <c r="C89" s="80" t="str" cm="1">
        <f t="array" ref="C89">UPPER(INDEX(_xlfn.TEXTSPLIT($D89, "-"), 3))</f>
        <v>DCH</v>
      </c>
      <c r="D89" s="80" t="s">
        <v>198</v>
      </c>
      <c r="E89" s="80" t="str">
        <f t="shared" si="5"/>
        <v>t-if-icsweb01-nsg</v>
      </c>
      <c r="F89" s="80" t="s">
        <v>198</v>
      </c>
      <c r="G89" s="73" t="s">
        <v>199</v>
      </c>
      <c r="H89" s="73" t="s">
        <v>338</v>
      </c>
      <c r="I89" s="73" t="s">
        <v>595</v>
      </c>
      <c r="J89" s="73" t="s">
        <v>474</v>
      </c>
      <c r="K89" s="73" t="str">
        <f>SUBSTITUTE(I89,"hazr-","")&amp;"-nic"</f>
        <v>t-if-icsweb01-nic</v>
      </c>
      <c r="L89" s="73" t="s">
        <v>566</v>
      </c>
      <c r="M89" s="73" t="s">
        <v>597</v>
      </c>
    </row>
    <row r="90" spans="1:13" x14ac:dyDescent="0.3">
      <c r="B90" s="82" t="s">
        <v>182</v>
      </c>
      <c r="C90" s="82" t="str" cm="1">
        <f t="array" ref="C90">UPPER(INDEX(_xlfn.TEXTSPLIT($D90, "-"), 3))</f>
        <v>COM</v>
      </c>
      <c r="D90" s="82" t="s">
        <v>613</v>
      </c>
      <c r="E90" s="82" t="str">
        <f t="shared" si="5"/>
        <v>t-com-esnweb01-nsg</v>
      </c>
      <c r="F90" s="82" t="s">
        <v>613</v>
      </c>
      <c r="G90" s="74" t="s">
        <v>199</v>
      </c>
      <c r="H90" s="74" t="s">
        <v>336</v>
      </c>
      <c r="I90" s="74" t="s">
        <v>614</v>
      </c>
      <c r="J90" s="74" t="s">
        <v>613</v>
      </c>
      <c r="K90" s="74" t="str">
        <f>SUBSTITUTE(I90,"hazr-","")&amp;"-nic"</f>
        <v>t-com-esnweb01-nic</v>
      </c>
      <c r="L90" s="74" t="s">
        <v>566</v>
      </c>
      <c r="M90" s="74"/>
    </row>
    <row r="91" spans="1:13" x14ac:dyDescent="0.3">
      <c r="B91" s="80" t="s">
        <v>182</v>
      </c>
      <c r="C91" s="80" t="str" cm="1">
        <f t="array" ref="C91">UPPER(INDEX(_xlfn.TEXTSPLIT($D91, "-"), 3))</f>
        <v>COM</v>
      </c>
      <c r="D91" s="80" t="s">
        <v>613</v>
      </c>
      <c r="E91" s="80" t="str">
        <f t="shared" si="5"/>
        <v>t-com-esnwas01-nsg</v>
      </c>
      <c r="F91" s="80" t="s">
        <v>613</v>
      </c>
      <c r="G91" s="73" t="s">
        <v>200</v>
      </c>
      <c r="H91" s="73" t="s">
        <v>318</v>
      </c>
      <c r="I91" s="73" t="s">
        <v>615</v>
      </c>
      <c r="J91" s="73" t="s">
        <v>613</v>
      </c>
      <c r="K91" s="73" t="str">
        <f>SUBSTITUTE(I91,"hazr-","")&amp;"-nic"</f>
        <v>t-com-esnwas01-nic</v>
      </c>
      <c r="L91" s="73" t="s">
        <v>566</v>
      </c>
      <c r="M91" s="73"/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608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607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1"/>
  <sheetViews>
    <sheetView topLeftCell="A25" workbookViewId="0">
      <selection activeCell="H39" sqref="H39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384</v>
      </c>
      <c r="E2" s="74" t="s">
        <v>24</v>
      </c>
      <c r="F2" s="74" t="s">
        <v>382</v>
      </c>
      <c r="G2" s="74" t="s">
        <v>111</v>
      </c>
      <c r="H2" s="74" t="s">
        <v>610</v>
      </c>
      <c r="I2" s="74" t="s">
        <v>609</v>
      </c>
      <c r="J2" s="74" t="s">
        <v>102</v>
      </c>
      <c r="K2" s="74" t="str">
        <f t="shared" ref="K2:K40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473</v>
      </c>
      <c r="Q2" s="87" t="str">
        <f t="shared" ref="Q2:Q40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384</v>
      </c>
      <c r="E3" s="84" t="s">
        <v>24</v>
      </c>
      <c r="F3" s="84" t="s">
        <v>381</v>
      </c>
      <c r="G3" s="84" t="s">
        <v>111</v>
      </c>
      <c r="H3" s="84" t="s">
        <v>610</v>
      </c>
      <c r="I3" s="84" t="s">
        <v>609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472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384</v>
      </c>
      <c r="E4" s="74" t="s">
        <v>24</v>
      </c>
      <c r="F4" s="74" t="s">
        <v>367</v>
      </c>
      <c r="G4" s="74" t="s">
        <v>111</v>
      </c>
      <c r="H4" s="74" t="s">
        <v>610</v>
      </c>
      <c r="I4" s="74" t="s">
        <v>609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464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384</v>
      </c>
      <c r="E5" s="84" t="s">
        <v>24</v>
      </c>
      <c r="F5" s="84" t="s">
        <v>366</v>
      </c>
      <c r="G5" s="84" t="s">
        <v>111</v>
      </c>
      <c r="H5" s="84" t="s">
        <v>610</v>
      </c>
      <c r="I5" s="84" t="s">
        <v>609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463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384</v>
      </c>
      <c r="E6" s="74" t="s">
        <v>24</v>
      </c>
      <c r="F6" s="74" t="s">
        <v>380</v>
      </c>
      <c r="G6" s="74" t="s">
        <v>111</v>
      </c>
      <c r="H6" s="74" t="s">
        <v>610</v>
      </c>
      <c r="I6" s="74" t="s">
        <v>609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471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376</v>
      </c>
      <c r="G7" s="84" t="s">
        <v>111</v>
      </c>
      <c r="H7" s="84" t="s">
        <v>610</v>
      </c>
      <c r="I7" s="84" t="s">
        <v>609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467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374</v>
      </c>
      <c r="G8" s="74" t="s">
        <v>111</v>
      </c>
      <c r="H8" s="74" t="s">
        <v>610</v>
      </c>
      <c r="I8" s="74" t="s">
        <v>609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465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375</v>
      </c>
      <c r="G9" s="84" t="s">
        <v>111</v>
      </c>
      <c r="H9" s="84" t="s">
        <v>610</v>
      </c>
      <c r="I9" s="84" t="s">
        <v>609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466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610</v>
      </c>
      <c r="I10" s="84" t="s">
        <v>609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442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610</v>
      </c>
      <c r="I11" s="74" t="s">
        <v>609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441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610</v>
      </c>
      <c r="I12" s="74" t="s">
        <v>609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440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610</v>
      </c>
      <c r="I13" s="84" t="s">
        <v>609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439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610</v>
      </c>
      <c r="I14" s="74" t="s">
        <v>609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438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610</v>
      </c>
      <c r="I15" s="84" t="s">
        <v>609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447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610</v>
      </c>
      <c r="I16" s="74" t="s">
        <v>609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445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610</v>
      </c>
      <c r="I17" s="84" t="s">
        <v>609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444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610</v>
      </c>
      <c r="I18" s="74" t="s">
        <v>609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437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610</v>
      </c>
      <c r="I19" s="84" t="s">
        <v>609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446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610</v>
      </c>
      <c r="I20" s="74" t="s">
        <v>609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443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610</v>
      </c>
      <c r="I21" s="74" t="s">
        <v>609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DOIP</v>
      </c>
      <c r="D22" s="74" t="s">
        <v>386</v>
      </c>
      <c r="E22" s="74" t="s">
        <v>24</v>
      </c>
      <c r="F22" s="74" t="s">
        <v>379</v>
      </c>
      <c r="G22" s="74" t="s">
        <v>111</v>
      </c>
      <c r="H22" s="74" t="s">
        <v>610</v>
      </c>
      <c r="I22" s="74" t="s">
        <v>609</v>
      </c>
      <c r="J22" s="74" t="s">
        <v>102</v>
      </c>
      <c r="K22" s="74" t="str">
        <f t="shared" si="0"/>
        <v>t-doip-adm-lb-fe</v>
      </c>
      <c r="L22" s="74" t="s">
        <v>198</v>
      </c>
      <c r="M22" s="74" t="s">
        <v>200</v>
      </c>
      <c r="N22" s="74" t="s">
        <v>306</v>
      </c>
      <c r="O22" s="74" t="s">
        <v>108</v>
      </c>
      <c r="P22" s="74" t="s">
        <v>470</v>
      </c>
      <c r="Q22" s="87" t="str">
        <f t="shared" si="1"/>
        <v>t-doip-adm-lb-bp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DOIP</v>
      </c>
      <c r="D23" s="84" t="s">
        <v>386</v>
      </c>
      <c r="E23" s="84" t="s">
        <v>24</v>
      </c>
      <c r="F23" s="84" t="s">
        <v>378</v>
      </c>
      <c r="G23" s="84" t="s">
        <v>111</v>
      </c>
      <c r="H23" s="84" t="s">
        <v>610</v>
      </c>
      <c r="I23" s="84" t="s">
        <v>609</v>
      </c>
      <c r="J23" s="84" t="s">
        <v>102</v>
      </c>
      <c r="K23" s="84" t="str">
        <f t="shared" si="0"/>
        <v>t-doip-ap-lb-fe</v>
      </c>
      <c r="L23" s="84" t="s">
        <v>198</v>
      </c>
      <c r="M23" s="84" t="s">
        <v>200</v>
      </c>
      <c r="N23" s="84" t="s">
        <v>306</v>
      </c>
      <c r="O23" s="84" t="s">
        <v>108</v>
      </c>
      <c r="P23" s="84" t="s">
        <v>469</v>
      </c>
      <c r="Q23" s="85" t="str">
        <f t="shared" si="1"/>
        <v>t-doip-ap-lb-bp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386</v>
      </c>
      <c r="E24" s="74" t="s">
        <v>24</v>
      </c>
      <c r="F24" s="74" t="s">
        <v>377</v>
      </c>
      <c r="G24" s="74" t="s">
        <v>111</v>
      </c>
      <c r="H24" s="74" t="s">
        <v>610</v>
      </c>
      <c r="I24" s="74" t="s">
        <v>609</v>
      </c>
      <c r="J24" s="74" t="s">
        <v>102</v>
      </c>
      <c r="K24" s="74" t="str">
        <f t="shared" si="0"/>
        <v>t-doip-web-lb-fe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468</v>
      </c>
      <c r="Q24" s="87" t="str">
        <f t="shared" si="1"/>
        <v>t-doip-web-lb-bp</v>
      </c>
    </row>
    <row r="25" spans="1:17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357</v>
      </c>
      <c r="G25" s="74" t="s">
        <v>111</v>
      </c>
      <c r="H25" s="74" t="s">
        <v>610</v>
      </c>
      <c r="I25" s="74" t="s">
        <v>609</v>
      </c>
      <c r="J25" s="74" t="s">
        <v>102</v>
      </c>
      <c r="K25" s="74" t="str">
        <f t="shared" si="0"/>
        <v>t-dtg-admap-lb-fe</v>
      </c>
      <c r="L25" s="74" t="s">
        <v>198</v>
      </c>
      <c r="M25" s="74" t="s">
        <v>200</v>
      </c>
      <c r="N25" s="74" t="s">
        <v>310</v>
      </c>
      <c r="O25" s="74" t="s">
        <v>108</v>
      </c>
      <c r="P25" s="74" t="s">
        <v>454</v>
      </c>
      <c r="Q25" s="87" t="str">
        <f t="shared" si="1"/>
        <v>t-dtg-admap-lb-bp</v>
      </c>
    </row>
    <row r="26" spans="1:17" x14ac:dyDescent="0.3">
      <c r="A26" s="97"/>
      <c r="B26" s="84" t="s">
        <v>182</v>
      </c>
      <c r="C26" s="84" t="str" cm="1">
        <f t="array" ref="C26">UPPER(INDEX(_xlfn.TEXTSPLIT($D26, "-"), 3))</f>
        <v>DTG</v>
      </c>
      <c r="D26" s="84" t="s">
        <v>383</v>
      </c>
      <c r="E26" s="84" t="s">
        <v>24</v>
      </c>
      <c r="F26" s="84" t="s">
        <v>356</v>
      </c>
      <c r="G26" s="84" t="s">
        <v>111</v>
      </c>
      <c r="H26" s="84" t="s">
        <v>610</v>
      </c>
      <c r="I26" s="84" t="s">
        <v>609</v>
      </c>
      <c r="J26" s="84" t="s">
        <v>102</v>
      </c>
      <c r="K26" s="84" t="str">
        <f t="shared" si="0"/>
        <v>t-dtg-admweb-lb-fe</v>
      </c>
      <c r="L26" s="84" t="s">
        <v>198</v>
      </c>
      <c r="M26" s="84" t="s">
        <v>200</v>
      </c>
      <c r="N26" s="84" t="s">
        <v>310</v>
      </c>
      <c r="O26" s="84" t="s">
        <v>108</v>
      </c>
      <c r="P26" s="84" t="s">
        <v>453</v>
      </c>
      <c r="Q26" s="85" t="str">
        <f t="shared" si="1"/>
        <v>t-dtg-admweb-lb-bp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354</v>
      </c>
      <c r="G27" s="74" t="s">
        <v>111</v>
      </c>
      <c r="H27" s="74" t="s">
        <v>610</v>
      </c>
      <c r="I27" s="74" t="s">
        <v>609</v>
      </c>
      <c r="J27" s="74" t="s">
        <v>102</v>
      </c>
      <c r="K27" s="74" t="str">
        <f t="shared" si="0"/>
        <v>t-dtg-geoap-lb-fe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451</v>
      </c>
      <c r="Q27" s="87" t="str">
        <f t="shared" si="1"/>
        <v>t-dtg-geoap-lb-bp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383</v>
      </c>
      <c r="E28" s="84" t="s">
        <v>24</v>
      </c>
      <c r="F28" s="84" t="s">
        <v>353</v>
      </c>
      <c r="G28" s="84" t="s">
        <v>111</v>
      </c>
      <c r="H28" s="84" t="s">
        <v>610</v>
      </c>
      <c r="I28" s="84" t="s">
        <v>609</v>
      </c>
      <c r="J28" s="84" t="s">
        <v>102</v>
      </c>
      <c r="K28" s="84" t="str">
        <f t="shared" si="0"/>
        <v>t-dtg-extgeoap-lb-fe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450</v>
      </c>
      <c r="Q28" s="85" t="str">
        <f t="shared" si="1"/>
        <v>t-dtg-extgeoap-lb-bp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352</v>
      </c>
      <c r="G29" s="74" t="s">
        <v>111</v>
      </c>
      <c r="H29" s="74" t="s">
        <v>610</v>
      </c>
      <c r="I29" s="74" t="s">
        <v>609</v>
      </c>
      <c r="J29" s="74" t="s">
        <v>102</v>
      </c>
      <c r="K29" s="74" t="str">
        <f t="shared" si="0"/>
        <v>t-dtg-ap-lb-fe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449</v>
      </c>
      <c r="Q29" s="87" t="str">
        <f t="shared" si="1"/>
        <v>t-dtg-ap-lb-bp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383</v>
      </c>
      <c r="E30" s="84" t="s">
        <v>24</v>
      </c>
      <c r="F30" s="84" t="s">
        <v>365</v>
      </c>
      <c r="G30" s="84" t="s">
        <v>111</v>
      </c>
      <c r="H30" s="84" t="s">
        <v>610</v>
      </c>
      <c r="I30" s="84" t="s">
        <v>609</v>
      </c>
      <c r="J30" s="84" t="s">
        <v>102</v>
      </c>
      <c r="K30" s="84" t="str">
        <f t="shared" si="0"/>
        <v>t-dtg-dprap-lb-fe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462</v>
      </c>
      <c r="Q30" s="85" t="str">
        <f t="shared" si="1"/>
        <v>t-dtg-dprap-lb-bp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363</v>
      </c>
      <c r="G31" s="74" t="s">
        <v>111</v>
      </c>
      <c r="H31" s="74" t="s">
        <v>610</v>
      </c>
      <c r="I31" s="74" t="s">
        <v>609</v>
      </c>
      <c r="J31" s="74" t="s">
        <v>102</v>
      </c>
      <c r="K31" s="74" t="str">
        <f t="shared" si="0"/>
        <v>t-dtg-diosweb-lb-fe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460</v>
      </c>
      <c r="Q31" s="87" t="str">
        <f t="shared" si="1"/>
        <v>t-dtg-diosweb-lb-bp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383</v>
      </c>
      <c r="E32" s="84" t="s">
        <v>24</v>
      </c>
      <c r="F32" s="84" t="s">
        <v>362</v>
      </c>
      <c r="G32" s="84" t="s">
        <v>111</v>
      </c>
      <c r="H32" s="84" t="s">
        <v>610</v>
      </c>
      <c r="I32" s="84" t="s">
        <v>609</v>
      </c>
      <c r="J32" s="84" t="s">
        <v>102</v>
      </c>
      <c r="K32" s="84" t="str">
        <f t="shared" si="0"/>
        <v>t-dtg-diosap-lb-fe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459</v>
      </c>
      <c r="Q32" s="85" t="str">
        <f t="shared" si="1"/>
        <v>t-dtg-diosap-lb-bp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361</v>
      </c>
      <c r="G33" s="74" t="s">
        <v>111</v>
      </c>
      <c r="H33" s="74" t="s">
        <v>610</v>
      </c>
      <c r="I33" s="74" t="s">
        <v>609</v>
      </c>
      <c r="J33" s="74" t="s">
        <v>102</v>
      </c>
      <c r="K33" s="74" t="str">
        <f t="shared" si="0"/>
        <v>t-dtg-cdsvadm-lb-fe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458</v>
      </c>
      <c r="Q33" s="87" t="str">
        <f t="shared" si="1"/>
        <v>t-dtg-cdsvadm-lb-bp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383</v>
      </c>
      <c r="E34" s="84" t="s">
        <v>24</v>
      </c>
      <c r="F34" s="84" t="s">
        <v>360</v>
      </c>
      <c r="G34" s="84" t="s">
        <v>111</v>
      </c>
      <c r="H34" s="84" t="s">
        <v>610</v>
      </c>
      <c r="I34" s="84" t="s">
        <v>609</v>
      </c>
      <c r="J34" s="84" t="s">
        <v>102</v>
      </c>
      <c r="K34" s="84" t="str">
        <f t="shared" si="0"/>
        <v>t-dtg-cdstap-lb-fe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457</v>
      </c>
      <c r="Q34" s="85" t="str">
        <f t="shared" si="1"/>
        <v>t-dtg-cdstap-lb-bp</v>
      </c>
    </row>
    <row r="35" spans="1:17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359</v>
      </c>
      <c r="G35" s="74" t="s">
        <v>111</v>
      </c>
      <c r="H35" s="74" t="s">
        <v>610</v>
      </c>
      <c r="I35" s="74" t="s">
        <v>609</v>
      </c>
      <c r="J35" s="74" t="s">
        <v>102</v>
      </c>
      <c r="K35" s="74" t="str">
        <f t="shared" si="0"/>
        <v>t-dtg-cdmlap-lb-fe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456</v>
      </c>
      <c r="Q35" s="87" t="str">
        <f t="shared" si="1"/>
        <v>t-dtg-cdmlap-lb-bp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383</v>
      </c>
      <c r="E36" s="84" t="s">
        <v>24</v>
      </c>
      <c r="F36" s="84" t="s">
        <v>351</v>
      </c>
      <c r="G36" s="84" t="s">
        <v>111</v>
      </c>
      <c r="H36" s="84" t="s">
        <v>610</v>
      </c>
      <c r="I36" s="84" t="s">
        <v>609</v>
      </c>
      <c r="J36" s="84" t="s">
        <v>102</v>
      </c>
      <c r="K36" s="84" t="str">
        <f t="shared" si="0"/>
        <v>t-dtg-ingap-lb-fe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448</v>
      </c>
      <c r="Q36" s="85" t="str">
        <f t="shared" si="1"/>
        <v>t-dtg-ingap-lb-bp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364</v>
      </c>
      <c r="G37" s="74" t="s">
        <v>111</v>
      </c>
      <c r="H37" s="74" t="s">
        <v>610</v>
      </c>
      <c r="I37" s="74" t="s">
        <v>609</v>
      </c>
      <c r="J37" s="74" t="s">
        <v>102</v>
      </c>
      <c r="K37" s="74" t="str">
        <f t="shared" si="0"/>
        <v>t-dtg-dprweb-lb-fe</v>
      </c>
      <c r="L37" s="74" t="s">
        <v>198</v>
      </c>
      <c r="M37" s="74" t="s">
        <v>199</v>
      </c>
      <c r="N37" s="74" t="s">
        <v>330</v>
      </c>
      <c r="O37" s="74" t="s">
        <v>108</v>
      </c>
      <c r="P37" s="74" t="s">
        <v>461</v>
      </c>
      <c r="Q37" s="87" t="str">
        <f t="shared" si="1"/>
        <v>t-dtg-dprweb-lb-bp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383</v>
      </c>
      <c r="E38" s="84" t="s">
        <v>24</v>
      </c>
      <c r="F38" s="84" t="s">
        <v>358</v>
      </c>
      <c r="G38" s="84" t="s">
        <v>111</v>
      </c>
      <c r="H38" s="84" t="s">
        <v>610</v>
      </c>
      <c r="I38" s="84" t="s">
        <v>609</v>
      </c>
      <c r="J38" s="84" t="s">
        <v>102</v>
      </c>
      <c r="K38" s="84" t="str">
        <f t="shared" si="0"/>
        <v>t-dtg-web-lb-fe</v>
      </c>
      <c r="L38" s="84" t="s">
        <v>198</v>
      </c>
      <c r="M38" s="84" t="s">
        <v>199</v>
      </c>
      <c r="N38" s="84" t="s">
        <v>330</v>
      </c>
      <c r="O38" s="84" t="s">
        <v>108</v>
      </c>
      <c r="P38" s="84" t="s">
        <v>455</v>
      </c>
      <c r="Q38" s="85" t="str">
        <f t="shared" si="1"/>
        <v>t-dtg-web-lb-bp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355</v>
      </c>
      <c r="G39" s="74" t="s">
        <v>111</v>
      </c>
      <c r="H39" s="74" t="s">
        <v>610</v>
      </c>
      <c r="I39" s="74" t="s">
        <v>609</v>
      </c>
      <c r="J39" s="74" t="s">
        <v>102</v>
      </c>
      <c r="K39" s="74" t="str">
        <f t="shared" si="0"/>
        <v>t-dtg-mq-lb-fe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452</v>
      </c>
      <c r="Q39" s="87" t="str">
        <f t="shared" si="1"/>
        <v>t-dtg-mq-lb-bp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IF</v>
      </c>
      <c r="D40" s="84" t="s">
        <v>474</v>
      </c>
      <c r="E40" s="84" t="s">
        <v>24</v>
      </c>
      <c r="F40" s="84" t="s">
        <v>600</v>
      </c>
      <c r="G40" s="84" t="s">
        <v>111</v>
      </c>
      <c r="H40" s="84" t="s">
        <v>610</v>
      </c>
      <c r="I40" s="84" t="s">
        <v>609</v>
      </c>
      <c r="J40" s="84" t="s">
        <v>102</v>
      </c>
      <c r="K40" s="84" t="str">
        <f t="shared" si="0"/>
        <v>t-if-auth-lb-fe</v>
      </c>
      <c r="L40" s="84" t="s">
        <v>198</v>
      </c>
      <c r="M40" s="84" t="s">
        <v>200</v>
      </c>
      <c r="N40" s="84" t="s">
        <v>602</v>
      </c>
      <c r="O40" s="84" t="s">
        <v>108</v>
      </c>
      <c r="P40" s="84" t="s">
        <v>603</v>
      </c>
      <c r="Q40" s="85" t="str">
        <f t="shared" si="1"/>
        <v>t-if-auth-lb-bp</v>
      </c>
    </row>
    <row r="41" spans="1:17" x14ac:dyDescent="0.3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</sheetData>
  <autoFilter ref="B1:Q40" xr:uid="{CD1A3252-EF11-4361-BCDB-10417C7A0940}">
    <sortState xmlns:xlrd2="http://schemas.microsoft.com/office/spreadsheetml/2017/richdata2" ref="B2:Q40">
      <sortCondition ref="C1:C40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3"/>
  <sheetViews>
    <sheetView topLeftCell="A60" workbookViewId="0">
      <selection activeCell="D81" sqref="D8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383</v>
      </c>
      <c r="E2" s="74" t="s">
        <v>358</v>
      </c>
      <c r="F2" s="74" t="str">
        <f t="shared" ref="F2:F32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383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383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383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383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383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383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383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383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383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383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383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383</v>
      </c>
      <c r="E14" s="86" t="s">
        <v>362</v>
      </c>
      <c r="F14" s="86" t="str">
        <f t="shared" si="0"/>
        <v>t-dtg-diosap-lb-pb8080</v>
      </c>
      <c r="G14" s="86" t="s">
        <v>598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383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383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383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383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383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383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383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383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383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383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383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/>
      <c r="D28" s="84" t="s">
        <v>386</v>
      </c>
      <c r="E28" s="84" t="s">
        <v>377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/>
      <c r="D29" s="86" t="s">
        <v>386</v>
      </c>
      <c r="E29" s="86" t="s">
        <v>378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/>
      <c r="D30" s="84" t="s">
        <v>386</v>
      </c>
      <c r="E30" s="84" t="s">
        <v>379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346</v>
      </c>
      <c r="F33" s="84" t="str">
        <f t="shared" ref="F33:F62" si="2">SUBSTITUTE(E33, "hazr-", "")&amp;"-pb"&amp;H33</f>
        <v>t-dis-drvmsgap-lb-pb8080</v>
      </c>
      <c r="G33" s="84" t="s">
        <v>598</v>
      </c>
      <c r="H33" s="84">
        <v>8080</v>
      </c>
      <c r="I33" s="84"/>
      <c r="J33" s="84">
        <v>5</v>
      </c>
      <c r="K33" s="84">
        <v>2</v>
      </c>
    </row>
    <row r="34" spans="1:11" x14ac:dyDescent="0.3">
      <c r="A34" s="97"/>
      <c r="B34" s="74" t="s">
        <v>182</v>
      </c>
      <c r="C34" s="74" t="str" cm="1">
        <f t="array" ref="C34">UPPER(INDEX(_xlfn.TEXTSPLIT($D34, "-"), 3))</f>
        <v>DIS</v>
      </c>
      <c r="D34" s="74" t="s">
        <v>286</v>
      </c>
      <c r="E34" s="74" t="s">
        <v>345</v>
      </c>
      <c r="F34" s="74" t="str">
        <f t="shared" si="2"/>
        <v>t-dis-drvcltap-lb-pb8081</v>
      </c>
      <c r="G34" s="74" t="s">
        <v>57</v>
      </c>
      <c r="H34" s="74">
        <v>8081</v>
      </c>
      <c r="I34" s="74"/>
      <c r="J34" s="74">
        <v>5</v>
      </c>
      <c r="K34" s="74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349</v>
      </c>
      <c r="F35" s="84" t="str">
        <f t="shared" si="2"/>
        <v>t-dis-cmsweb-lb-pb80</v>
      </c>
      <c r="G35" s="84" t="s">
        <v>57</v>
      </c>
      <c r="H35" s="84">
        <v>80</v>
      </c>
      <c r="I35" s="84"/>
      <c r="J35" s="84">
        <v>5</v>
      </c>
      <c r="K35" s="8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349</v>
      </c>
      <c r="F36" s="84" t="str">
        <f t="shared" si="2"/>
        <v>t-dis-cmsweb-lb-pb443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348</v>
      </c>
      <c r="F37" s="74" t="str">
        <f t="shared" si="2"/>
        <v>t-dis-cmsap-lb-pb4001</v>
      </c>
      <c r="G37" s="74" t="s">
        <v>57</v>
      </c>
      <c r="H37" s="74">
        <v>4001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347</v>
      </c>
      <c r="F38" s="84" t="str">
        <f t="shared" si="2"/>
        <v>t-dis-cmsadm-lb-pb443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t-dis-cmbsap-lb-pb8080</v>
      </c>
      <c r="G39" s="74" t="s">
        <v>598</v>
      </c>
      <c r="H39" s="74">
        <v>8080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342</v>
      </c>
      <c r="F40" s="84" t="str">
        <f t="shared" si="2"/>
        <v>t-dis-bbiweb-lb-pb443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344</v>
      </c>
      <c r="F41" s="74" t="str">
        <f t="shared" si="2"/>
        <v>t-dis-bbimsgap-lb-pb20030</v>
      </c>
      <c r="G41" s="74" t="s">
        <v>598</v>
      </c>
      <c r="H41" s="74">
        <v>20030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2"/>
        <v>t-dis-bbicltap-lb-pb20000</v>
      </c>
      <c r="G42" s="84" t="s">
        <v>598</v>
      </c>
      <c r="H42" s="84">
        <v>20000</v>
      </c>
      <c r="I42" s="84"/>
      <c r="J42" s="84">
        <v>5</v>
      </c>
      <c r="K42" s="84">
        <v>2</v>
      </c>
    </row>
    <row r="43" spans="1:11" x14ac:dyDescent="0.3">
      <c r="A43" s="97"/>
      <c r="B43" s="84" t="s">
        <v>182</v>
      </c>
      <c r="C43" s="84" t="str" cm="1">
        <f t="array" ref="C43">UPPER(INDEX(_xlfn.TEXTSPLIT($D43, "-"), 3))</f>
        <v>DIS</v>
      </c>
      <c r="D43" s="84" t="s">
        <v>286</v>
      </c>
      <c r="E43" s="84" t="s">
        <v>343</v>
      </c>
      <c r="F43" s="84" t="str">
        <f t="shared" si="2"/>
        <v>t-dis-bbicltap-lb-pb21000</v>
      </c>
      <c r="G43" s="84" t="s">
        <v>598</v>
      </c>
      <c r="H43" s="84">
        <v>21000</v>
      </c>
      <c r="I43" s="84"/>
      <c r="J43" s="84">
        <v>5</v>
      </c>
      <c r="K43" s="8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t-dis-bbicltap-lb-pb22000</v>
      </c>
      <c r="G44" s="84" t="s">
        <v>598</v>
      </c>
      <c r="H44" s="84">
        <v>22000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 t="str" cm="1">
        <f t="array" ref="C45">UPPER(INDEX(_xlfn.TEXTSPLIT($D45, "-"), 3))</f>
        <v>DIS</v>
      </c>
      <c r="D45" s="74" t="s">
        <v>286</v>
      </c>
      <c r="E45" s="74" t="s">
        <v>287</v>
      </c>
      <c r="F45" s="74" t="str">
        <f t="shared" si="2"/>
        <v>t-dis-ap-lb-pb8080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341</v>
      </c>
      <c r="F46" s="84" t="str">
        <f t="shared" si="2"/>
        <v>t-dis-adm-lb-pb443</v>
      </c>
      <c r="G46" s="84" t="s">
        <v>57</v>
      </c>
      <c r="H46" s="84">
        <v>443</v>
      </c>
      <c r="I46" s="84"/>
      <c r="J46" s="84">
        <v>5</v>
      </c>
      <c r="K46" s="84">
        <v>2</v>
      </c>
    </row>
    <row r="47" spans="1:11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373</v>
      </c>
      <c r="F47" s="74" t="str">
        <f t="shared" si="2"/>
        <v>t-dip-web-lb-pb443</v>
      </c>
      <c r="G47" s="74" t="s">
        <v>598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373</v>
      </c>
      <c r="F48" s="74" t="str">
        <f t="shared" si="2"/>
        <v>t-dip-web-lb-pb9100</v>
      </c>
      <c r="G48" s="74" t="s">
        <v>598</v>
      </c>
      <c r="H48" s="74">
        <v>9100</v>
      </c>
      <c r="I48" s="74"/>
      <c r="J48" s="74">
        <v>5</v>
      </c>
      <c r="K48" s="74">
        <v>2</v>
      </c>
    </row>
    <row r="49" spans="1:11" x14ac:dyDescent="0.3">
      <c r="A49" s="97"/>
      <c r="B49" s="84" t="s">
        <v>182</v>
      </c>
      <c r="C49" s="84" t="str" cm="1">
        <f t="array" ref="C49">UPPER(INDEX(_xlfn.TEXTSPLIT($D49, "-"), 3))</f>
        <v>DIP</v>
      </c>
      <c r="D49" s="84" t="s">
        <v>385</v>
      </c>
      <c r="E49" s="84" t="s">
        <v>372</v>
      </c>
      <c r="F49" s="84" t="str">
        <f t="shared" si="2"/>
        <v>t-dip-mqweb-lb-pb8883</v>
      </c>
      <c r="G49" s="84" t="s">
        <v>598</v>
      </c>
      <c r="H49" s="84">
        <v>8883</v>
      </c>
      <c r="I49" s="84"/>
      <c r="J49" s="84">
        <v>5</v>
      </c>
      <c r="K49" s="84">
        <v>2</v>
      </c>
    </row>
    <row r="50" spans="1:11" x14ac:dyDescent="0.3">
      <c r="A50" s="97"/>
      <c r="B50" s="84" t="s">
        <v>182</v>
      </c>
      <c r="C50" s="84" t="str" cm="1">
        <f t="array" ref="C50">UPPER(INDEX(_xlfn.TEXTSPLIT($D50, "-"), 3))</f>
        <v>DIP</v>
      </c>
      <c r="D50" s="84" t="s">
        <v>385</v>
      </c>
      <c r="E50" s="84" t="s">
        <v>372</v>
      </c>
      <c r="F50" s="84" t="str">
        <f t="shared" si="2"/>
        <v>t-dip-mqweb-lb-pb1884</v>
      </c>
      <c r="G50" s="84" t="s">
        <v>598</v>
      </c>
      <c r="H50" s="84">
        <v>1884</v>
      </c>
      <c r="I50" s="84"/>
      <c r="J50" s="84">
        <v>5</v>
      </c>
      <c r="K50" s="8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385</v>
      </c>
      <c r="E51" s="84" t="s">
        <v>372</v>
      </c>
      <c r="F51" s="84" t="str">
        <f t="shared" si="2"/>
        <v>t-dip-mqweb-lb-pb9100</v>
      </c>
      <c r="G51" s="84" t="s">
        <v>598</v>
      </c>
      <c r="H51" s="84">
        <v>9100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371</v>
      </c>
      <c r="F52" s="74" t="str">
        <f t="shared" si="2"/>
        <v>t-dip-mqap-lb-pb1883</v>
      </c>
      <c r="G52" s="74" t="s">
        <v>598</v>
      </c>
      <c r="H52" s="74">
        <v>1883</v>
      </c>
      <c r="I52" s="74"/>
      <c r="J52" s="74">
        <v>5</v>
      </c>
      <c r="K52" s="74">
        <v>2</v>
      </c>
    </row>
    <row r="53" spans="1:11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371</v>
      </c>
      <c r="F53" s="74" t="str">
        <f t="shared" si="2"/>
        <v>t-dip-mqap-lb-pb1884</v>
      </c>
      <c r="G53" s="74" t="s">
        <v>598</v>
      </c>
      <c r="H53" s="74">
        <v>1884</v>
      </c>
      <c r="I53" s="74"/>
      <c r="J53" s="74">
        <v>5</v>
      </c>
      <c r="K53" s="7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371</v>
      </c>
      <c r="F54" s="74" t="str">
        <f t="shared" si="2"/>
        <v>t-dip-mqap-lb-pb18083</v>
      </c>
      <c r="G54" s="74" t="s">
        <v>598</v>
      </c>
      <c r="H54" s="74">
        <v>18083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371</v>
      </c>
      <c r="F55" s="74" t="str">
        <f t="shared" si="2"/>
        <v>t-dip-mqap-lb-pb9100</v>
      </c>
      <c r="G55" s="74" t="s">
        <v>598</v>
      </c>
      <c r="H55" s="74">
        <v>9100</v>
      </c>
      <c r="I55" s="74"/>
      <c r="J55" s="74">
        <v>5</v>
      </c>
      <c r="K55" s="74">
        <v>2</v>
      </c>
    </row>
    <row r="56" spans="1:11" x14ac:dyDescent="0.3">
      <c r="A56" s="97"/>
      <c r="B56" s="84" t="s">
        <v>182</v>
      </c>
      <c r="C56" s="84" t="str" cm="1">
        <f t="array" ref="C56">UPPER(INDEX(_xlfn.TEXTSPLIT($D56, "-"), 3))</f>
        <v>DIP</v>
      </c>
      <c r="D56" s="84" t="s">
        <v>385</v>
      </c>
      <c r="E56" s="84" t="s">
        <v>370</v>
      </c>
      <c r="F56" s="84" t="str">
        <f t="shared" si="2"/>
        <v>t-dip-geoap-lb-pb3660</v>
      </c>
      <c r="G56" s="84" t="s">
        <v>598</v>
      </c>
      <c r="H56" s="84">
        <v>3660</v>
      </c>
      <c r="I56" s="84"/>
      <c r="J56" s="84">
        <v>5</v>
      </c>
      <c r="K56" s="84">
        <v>2</v>
      </c>
    </row>
    <row r="57" spans="1:11" x14ac:dyDescent="0.3">
      <c r="A57" s="97"/>
      <c r="B57" s="84" t="s">
        <v>182</v>
      </c>
      <c r="C57" s="84" t="str" cm="1">
        <f t="array" ref="C57">UPPER(INDEX(_xlfn.TEXTSPLIT($D57, "-"), 3))</f>
        <v>DIP</v>
      </c>
      <c r="D57" s="84" t="s">
        <v>385</v>
      </c>
      <c r="E57" s="84" t="s">
        <v>370</v>
      </c>
      <c r="F57" s="84" t="str">
        <f t="shared" si="2"/>
        <v>t-dip-geoap-lb-pb3661</v>
      </c>
      <c r="G57" s="84" t="s">
        <v>598</v>
      </c>
      <c r="H57" s="84">
        <v>3661</v>
      </c>
      <c r="I57" s="84"/>
      <c r="J57" s="84">
        <v>5</v>
      </c>
      <c r="K57" s="8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385</v>
      </c>
      <c r="E58" s="84" t="s">
        <v>370</v>
      </c>
      <c r="F58" s="84" t="str">
        <f t="shared" si="2"/>
        <v>t-dip-geoap-lb-pb3670</v>
      </c>
      <c r="G58" s="84" t="s">
        <v>598</v>
      </c>
      <c r="H58" s="84">
        <v>3670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385</v>
      </c>
      <c r="E59" s="84" t="s">
        <v>370</v>
      </c>
      <c r="F59" s="84" t="str">
        <f t="shared" si="2"/>
        <v>t-dip-geoap-lb-pb3671</v>
      </c>
      <c r="G59" s="84" t="s">
        <v>598</v>
      </c>
      <c r="H59" s="84">
        <v>3671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385</v>
      </c>
      <c r="E60" s="84" t="s">
        <v>370</v>
      </c>
      <c r="F60" s="84" t="str">
        <f t="shared" si="2"/>
        <v>t-dip-geoap-lb-pb9100</v>
      </c>
      <c r="G60" s="84" t="s">
        <v>598</v>
      </c>
      <c r="H60" s="84">
        <v>9100</v>
      </c>
      <c r="I60" s="84"/>
      <c r="J60" s="84">
        <v>5</v>
      </c>
      <c r="K60" s="84">
        <v>2</v>
      </c>
    </row>
    <row r="61" spans="1:11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385</v>
      </c>
      <c r="E61" s="74" t="s">
        <v>369</v>
      </c>
      <c r="F61" s="74" t="str">
        <f t="shared" si="2"/>
        <v>t-dip-ap-lb-pb443</v>
      </c>
      <c r="G61" s="74" t="s">
        <v>598</v>
      </c>
      <c r="H61" s="74">
        <v>443</v>
      </c>
      <c r="I61" s="74"/>
      <c r="J61" s="74">
        <v>5</v>
      </c>
      <c r="K61" s="74">
        <v>2</v>
      </c>
    </row>
    <row r="62" spans="1:11" x14ac:dyDescent="0.3">
      <c r="A62" s="97"/>
      <c r="B62" s="74" t="s">
        <v>182</v>
      </c>
      <c r="C62" s="74" t="str" cm="1">
        <f t="array" ref="C62">UPPER(INDEX(_xlfn.TEXTSPLIT($D62, "-"), 3))</f>
        <v>DIP</v>
      </c>
      <c r="D62" s="74" t="s">
        <v>385</v>
      </c>
      <c r="E62" s="74" t="s">
        <v>369</v>
      </c>
      <c r="F62" s="74" t="str">
        <f t="shared" si="2"/>
        <v>t-dip-ap-lb-pb8100</v>
      </c>
      <c r="G62" s="74" t="s">
        <v>598</v>
      </c>
      <c r="H62" s="74">
        <v>8100</v>
      </c>
      <c r="I62" s="74"/>
      <c r="J62" s="74">
        <v>5</v>
      </c>
      <c r="K62" s="7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385</v>
      </c>
      <c r="E63" s="74" t="s">
        <v>369</v>
      </c>
      <c r="F63" s="74" t="str">
        <f t="shared" ref="F63:F83" si="3">SUBSTITUTE(E63, "hazr-", "")&amp;"-pb"&amp;H63</f>
        <v>t-dip-ap-lb-pb8200</v>
      </c>
      <c r="G63" s="74" t="s">
        <v>598</v>
      </c>
      <c r="H63" s="74">
        <v>8200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385</v>
      </c>
      <c r="E64" s="74" t="s">
        <v>369</v>
      </c>
      <c r="F64" s="74" t="str">
        <f t="shared" si="3"/>
        <v>t-dip-ap-lb-pb8300</v>
      </c>
      <c r="G64" s="74" t="s">
        <v>598</v>
      </c>
      <c r="H64" s="74">
        <v>8300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385</v>
      </c>
      <c r="E65" s="74" t="s">
        <v>369</v>
      </c>
      <c r="F65" s="74" t="str">
        <f t="shared" si="3"/>
        <v>t-dip-ap-lb-pb8400</v>
      </c>
      <c r="G65" s="74" t="s">
        <v>598</v>
      </c>
      <c r="H65" s="74">
        <v>8400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385</v>
      </c>
      <c r="E66" s="74" t="s">
        <v>369</v>
      </c>
      <c r="F66" s="74" t="str">
        <f t="shared" si="3"/>
        <v>t-dip-ap-lb-pb9100</v>
      </c>
      <c r="G66" s="74" t="s">
        <v>598</v>
      </c>
      <c r="H66" s="74">
        <v>9100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385</v>
      </c>
      <c r="E67" s="74" t="s">
        <v>369</v>
      </c>
      <c r="F67" s="74" t="str">
        <f t="shared" si="3"/>
        <v>t-dip-ap-lb-pb9113</v>
      </c>
      <c r="G67" s="74" t="s">
        <v>598</v>
      </c>
      <c r="H67" s="74">
        <v>9113</v>
      </c>
      <c r="I67" s="74"/>
      <c r="J67" s="74">
        <v>5</v>
      </c>
      <c r="K67" s="74">
        <v>2</v>
      </c>
    </row>
    <row r="68" spans="1:11" x14ac:dyDescent="0.3">
      <c r="A68" s="97"/>
      <c r="B68" s="84" t="s">
        <v>182</v>
      </c>
      <c r="C68" s="84" t="str" cm="1">
        <f t="array" ref="C68">UPPER(INDEX(_xlfn.TEXTSPLIT($D68, "-"), 3))</f>
        <v>DIP</v>
      </c>
      <c r="D68" s="84" t="s">
        <v>385</v>
      </c>
      <c r="E68" s="84" t="s">
        <v>368</v>
      </c>
      <c r="F68" s="84" t="str">
        <f t="shared" si="3"/>
        <v>t-dip-adm-lb-pb443</v>
      </c>
      <c r="G68" s="84" t="s">
        <v>598</v>
      </c>
      <c r="H68" s="84">
        <v>443</v>
      </c>
      <c r="I68" s="84"/>
      <c r="J68" s="84">
        <v>5</v>
      </c>
      <c r="K68" s="84">
        <v>2</v>
      </c>
    </row>
    <row r="69" spans="1:11" x14ac:dyDescent="0.3">
      <c r="A69" s="97"/>
      <c r="B69" s="84" t="s">
        <v>182</v>
      </c>
      <c r="C69" s="84" t="str" cm="1">
        <f t="array" ref="C69">UPPER(INDEX(_xlfn.TEXTSPLIT($D69, "-"), 3))</f>
        <v>DIP</v>
      </c>
      <c r="D69" s="84" t="s">
        <v>385</v>
      </c>
      <c r="E69" s="84" t="s">
        <v>368</v>
      </c>
      <c r="F69" s="84" t="str">
        <f t="shared" si="3"/>
        <v>t-dip-adm-lb-pb8085</v>
      </c>
      <c r="G69" s="84" t="s">
        <v>598</v>
      </c>
      <c r="H69" s="84">
        <v>8085</v>
      </c>
      <c r="I69" s="84"/>
      <c r="J69" s="84">
        <v>5</v>
      </c>
      <c r="K69" s="8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385</v>
      </c>
      <c r="E70" s="84" t="s">
        <v>368</v>
      </c>
      <c r="F70" s="84" t="str">
        <f t="shared" si="3"/>
        <v>t-dip-adm-lb-pb8900</v>
      </c>
      <c r="G70" s="84" t="s">
        <v>598</v>
      </c>
      <c r="H70" s="84">
        <v>8900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385</v>
      </c>
      <c r="E71" s="84" t="s">
        <v>368</v>
      </c>
      <c r="F71" s="84" t="str">
        <f t="shared" si="3"/>
        <v>t-dip-adm-lb-pb8901</v>
      </c>
      <c r="G71" s="84" t="s">
        <v>598</v>
      </c>
      <c r="H71" s="84">
        <v>8901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385</v>
      </c>
      <c r="E72" s="84" t="s">
        <v>368</v>
      </c>
      <c r="F72" s="84" t="str">
        <f t="shared" si="3"/>
        <v>t-dip-adm-lb-pb9100</v>
      </c>
      <c r="G72" s="84" t="s">
        <v>598</v>
      </c>
      <c r="H72" s="84">
        <v>9100</v>
      </c>
      <c r="I72" s="84"/>
      <c r="J72" s="84">
        <v>5</v>
      </c>
      <c r="K72" s="84">
        <v>2</v>
      </c>
    </row>
    <row r="73" spans="1:11" x14ac:dyDescent="0.3">
      <c r="B73" s="74" t="s">
        <v>182</v>
      </c>
      <c r="C73" s="74"/>
      <c r="D73" s="74" t="s">
        <v>205</v>
      </c>
      <c r="E73" s="74" t="s">
        <v>375</v>
      </c>
      <c r="F73" s="74" t="str">
        <f t="shared" si="3"/>
        <v>t-cs-chtweb-lb-pb</v>
      </c>
      <c r="G73" s="74"/>
      <c r="H73" s="74"/>
      <c r="I73" s="74"/>
      <c r="J73" s="74">
        <v>5</v>
      </c>
      <c r="K73" s="74">
        <v>2</v>
      </c>
    </row>
    <row r="74" spans="1:11" x14ac:dyDescent="0.3">
      <c r="B74" s="84" t="s">
        <v>182</v>
      </c>
      <c r="C74" s="84"/>
      <c r="D74" s="84" t="s">
        <v>205</v>
      </c>
      <c r="E74" s="84" t="s">
        <v>376</v>
      </c>
      <c r="F74" s="84" t="str">
        <f t="shared" si="3"/>
        <v>t-cs-chtintweb-lb-pb</v>
      </c>
      <c r="G74" s="84"/>
      <c r="H74" s="84"/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374</v>
      </c>
      <c r="F75" s="74" t="str">
        <f t="shared" si="3"/>
        <v>t-cs-chtap-lb-pb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A76" s="97"/>
      <c r="B76" s="74" t="s">
        <v>182</v>
      </c>
      <c r="C76" s="74" t="str" cm="1">
        <f t="array" ref="C76">UPPER(INDEX(_xlfn.TEXTSPLIT($D76, "-"), 3))</f>
        <v>IF</v>
      </c>
      <c r="D76" s="74" t="s">
        <v>474</v>
      </c>
      <c r="E76" s="74" t="s">
        <v>605</v>
      </c>
      <c r="F76" s="74" t="str">
        <f t="shared" si="3"/>
        <v>t-if-auth-lb-pb8088</v>
      </c>
      <c r="G76" s="74" t="s">
        <v>57</v>
      </c>
      <c r="H76" s="74">
        <v>8088</v>
      </c>
      <c r="I76" s="74"/>
      <c r="J76" s="74">
        <v>5</v>
      </c>
      <c r="K76" s="74">
        <v>2</v>
      </c>
    </row>
    <row r="77" spans="1:11" x14ac:dyDescent="0.3">
      <c r="A77" s="97"/>
      <c r="B77" s="74" t="s">
        <v>182</v>
      </c>
      <c r="C77" s="74" t="str" cm="1">
        <f t="array" ref="C77">UPPER(INDEX(_xlfn.TEXTSPLIT($D77, "-"), 3))</f>
        <v>IF</v>
      </c>
      <c r="D77" s="74" t="s">
        <v>474</v>
      </c>
      <c r="E77" s="74" t="s">
        <v>605</v>
      </c>
      <c r="F77" s="74" t="str">
        <f t="shared" si="3"/>
        <v>t-if-auth-lb-pb9003</v>
      </c>
      <c r="G77" s="74" t="s">
        <v>57</v>
      </c>
      <c r="H77" s="74">
        <v>9003</v>
      </c>
      <c r="I77" s="74"/>
      <c r="J77" s="74">
        <v>5</v>
      </c>
      <c r="K77" s="74">
        <v>2</v>
      </c>
    </row>
    <row r="78" spans="1:11" x14ac:dyDescent="0.3">
      <c r="A78" s="97"/>
      <c r="B78" s="74" t="s">
        <v>182</v>
      </c>
      <c r="C78" s="74" t="str" cm="1">
        <f t="array" ref="C78">UPPER(INDEX(_xlfn.TEXTSPLIT($D78, "-"), 3))</f>
        <v>IF</v>
      </c>
      <c r="D78" s="74" t="s">
        <v>474</v>
      </c>
      <c r="E78" s="74" t="s">
        <v>605</v>
      </c>
      <c r="F78" s="74" t="str">
        <f t="shared" si="3"/>
        <v>t-if-auth-lb-pb9005</v>
      </c>
      <c r="G78" s="74" t="s">
        <v>57</v>
      </c>
      <c r="H78" s="74">
        <v>9005</v>
      </c>
      <c r="I78" s="74"/>
      <c r="J78" s="74">
        <v>5</v>
      </c>
      <c r="K78" s="7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BDP</v>
      </c>
      <c r="D79" s="84" t="s">
        <v>384</v>
      </c>
      <c r="E79" s="84" t="s">
        <v>367</v>
      </c>
      <c r="F79" s="84" t="str">
        <f t="shared" si="3"/>
        <v>t-bdp-slap-lb-pb443</v>
      </c>
      <c r="G79" s="84" t="s">
        <v>598</v>
      </c>
      <c r="H79" s="84">
        <v>443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BDP</v>
      </c>
      <c r="D80" s="74" t="s">
        <v>384</v>
      </c>
      <c r="E80" s="74" t="s">
        <v>366</v>
      </c>
      <c r="F80" s="74" t="str">
        <f t="shared" si="3"/>
        <v>t-bdp-cxmadm-lb-pb443</v>
      </c>
      <c r="G80" s="74" t="s">
        <v>598</v>
      </c>
      <c r="H80" s="74">
        <v>443</v>
      </c>
      <c r="I80" s="74"/>
      <c r="J80" s="74">
        <v>5</v>
      </c>
      <c r="K80" s="74">
        <v>2</v>
      </c>
    </row>
    <row r="81" spans="2:11" x14ac:dyDescent="0.3">
      <c r="B81" s="84" t="s">
        <v>182</v>
      </c>
      <c r="C81" s="84" t="str" cm="1">
        <f t="array" ref="C81">UPPER(INDEX(_xlfn.TEXTSPLIT($D81, "-"), 3))</f>
        <v>BDP</v>
      </c>
      <c r="D81" s="84" t="s">
        <v>384</v>
      </c>
      <c r="E81" s="84" t="s">
        <v>380</v>
      </c>
      <c r="F81" s="84" t="str">
        <f t="shared" si="3"/>
        <v>t-bdp-crkweb-lb-pb443</v>
      </c>
      <c r="G81" s="84" t="s">
        <v>57</v>
      </c>
      <c r="H81" s="84">
        <v>443</v>
      </c>
      <c r="I81" s="84"/>
      <c r="J81" s="84">
        <v>5</v>
      </c>
      <c r="K81" s="84">
        <v>2</v>
      </c>
    </row>
    <row r="82" spans="2:11" x14ac:dyDescent="0.3">
      <c r="B82" s="74" t="s">
        <v>182</v>
      </c>
      <c r="C82" s="74" t="str" cm="1">
        <f t="array" ref="C82">UPPER(INDEX(_xlfn.TEXTSPLIT($D82, "-"), 3))</f>
        <v>BDP</v>
      </c>
      <c r="D82" s="74" t="s">
        <v>384</v>
      </c>
      <c r="E82" s="74" t="s">
        <v>382</v>
      </c>
      <c r="F82" s="74" t="str">
        <f t="shared" si="3"/>
        <v>t-bdp-crkml-lb-pb8082</v>
      </c>
      <c r="G82" s="74" t="s">
        <v>57</v>
      </c>
      <c r="H82" s="74">
        <v>8082</v>
      </c>
      <c r="I82" s="74"/>
      <c r="J82" s="74">
        <v>5</v>
      </c>
      <c r="K82" s="74">
        <v>2</v>
      </c>
    </row>
    <row r="83" spans="2:11" x14ac:dyDescent="0.3">
      <c r="B83" s="84" t="s">
        <v>182</v>
      </c>
      <c r="C83" s="84" t="str" cm="1">
        <f t="array" ref="C83">UPPER(INDEX(_xlfn.TEXTSPLIT($D83, "-"), 3))</f>
        <v>BDP</v>
      </c>
      <c r="D83" s="84" t="s">
        <v>384</v>
      </c>
      <c r="E83" s="84" t="s">
        <v>381</v>
      </c>
      <c r="F83" s="84" t="str">
        <f t="shared" si="3"/>
        <v>t-bdp-crkap-lb-pb8085</v>
      </c>
      <c r="G83" s="84" t="s">
        <v>57</v>
      </c>
      <c r="H83" s="84">
        <v>8085</v>
      </c>
      <c r="I83" s="84"/>
      <c r="J83" s="84">
        <v>5</v>
      </c>
      <c r="K83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3"/>
  <sheetViews>
    <sheetView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594</v>
      </c>
      <c r="N1" s="72" t="s">
        <v>593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383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2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2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383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383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383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383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383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383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383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383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383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383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383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383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598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383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383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383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383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383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383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383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383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383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383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383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383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383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386</v>
      </c>
      <c r="D28" s="84" t="s">
        <v>377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386</v>
      </c>
      <c r="D29" s="86" t="s">
        <v>378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386</v>
      </c>
      <c r="D30" s="84" t="s">
        <v>379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0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0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346</v>
      </c>
      <c r="E33" s="84" t="str">
        <f t="shared" si="8"/>
        <v>t-dis-drvmsgap-lb-rule8080</v>
      </c>
      <c r="F33" s="84" t="str">
        <f t="shared" ref="F33:F62" si="10">SUBSTITUTE(D33, "hazr-", "")&amp;"-fe"</f>
        <v>t-dis-drvmsgap-lb-fe</v>
      </c>
      <c r="G33" s="84" t="s">
        <v>57</v>
      </c>
      <c r="H33" s="84">
        <v>8080</v>
      </c>
      <c r="I33" s="84" t="b">
        <v>0</v>
      </c>
      <c r="J33" s="84" t="str">
        <f t="shared" ref="J33:J62" si="11">SUBSTITUTE(D33, "hazr-", "")&amp;"-bp"</f>
        <v>t-dis-drvmsgap-lb-bp</v>
      </c>
      <c r="K33" s="84">
        <v>8080</v>
      </c>
      <c r="L33" s="84" t="str">
        <f t="shared" si="9"/>
        <v>t-dis-drvmsgap-lb-pb8080</v>
      </c>
      <c r="M33" s="84" t="s">
        <v>598</v>
      </c>
      <c r="N33" s="84">
        <v>8080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74" t="s">
        <v>182</v>
      </c>
      <c r="B34" s="74" t="str" cm="1">
        <f t="array" ref="B34">UPPER(INDEX(_xlfn.TEXTSPLIT($C34, "-"), 3))</f>
        <v>DIS</v>
      </c>
      <c r="C34" s="74" t="s">
        <v>286</v>
      </c>
      <c r="D34" s="74" t="s">
        <v>345</v>
      </c>
      <c r="E34" s="74" t="str">
        <f t="shared" si="8"/>
        <v>t-dis-drvcltap-lb-rule8081</v>
      </c>
      <c r="F34" s="74" t="str">
        <f t="shared" si="10"/>
        <v>t-dis-drvcltap-lb-fe</v>
      </c>
      <c r="G34" s="74" t="s">
        <v>57</v>
      </c>
      <c r="H34" s="74">
        <v>8081</v>
      </c>
      <c r="I34" s="74" t="b">
        <v>0</v>
      </c>
      <c r="J34" s="74" t="str">
        <f t="shared" si="11"/>
        <v>t-dis-drvcltap-lb-bp</v>
      </c>
      <c r="K34" s="74">
        <v>8081</v>
      </c>
      <c r="L34" s="74" t="str">
        <f t="shared" si="9"/>
        <v>t-dis-drvcltap-lb-pb8081</v>
      </c>
      <c r="M34" s="74" t="s">
        <v>57</v>
      </c>
      <c r="N34" s="74">
        <v>8081</v>
      </c>
      <c r="O34" s="74">
        <v>4</v>
      </c>
      <c r="P34" s="74" t="s">
        <v>123</v>
      </c>
      <c r="Q34" s="74" t="b">
        <v>1</v>
      </c>
      <c r="R34" s="74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349</v>
      </c>
      <c r="E35" s="84" t="str">
        <f t="shared" si="8"/>
        <v>t-dis-cmsweb-lb-rule80</v>
      </c>
      <c r="F35" s="84" t="str">
        <f t="shared" si="10"/>
        <v>t-dis-cmsweb-lb-fe</v>
      </c>
      <c r="G35" s="84" t="s">
        <v>57</v>
      </c>
      <c r="H35" s="84">
        <v>80</v>
      </c>
      <c r="I35" s="84" t="b">
        <v>0</v>
      </c>
      <c r="J35" s="84" t="str">
        <f t="shared" si="11"/>
        <v>t-dis-cmsweb-lb-bp</v>
      </c>
      <c r="K35" s="84">
        <v>80</v>
      </c>
      <c r="L35" s="84" t="str">
        <f t="shared" si="9"/>
        <v>t-dis-cmsweb-lb-pb80</v>
      </c>
      <c r="M35" s="84" t="s">
        <v>57</v>
      </c>
      <c r="N35" s="84">
        <v>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349</v>
      </c>
      <c r="E36" s="84" t="str">
        <f t="shared" si="8"/>
        <v>t-dis-cmsweb-lb-rule443</v>
      </c>
      <c r="F36" s="84" t="str">
        <f t="shared" si="10"/>
        <v>t-dis-cmsweb-lb-fe</v>
      </c>
      <c r="G36" s="84" t="s">
        <v>57</v>
      </c>
      <c r="H36" s="84">
        <v>443</v>
      </c>
      <c r="I36" s="84" t="b">
        <v>0</v>
      </c>
      <c r="J36" s="84" t="str">
        <f t="shared" si="11"/>
        <v>t-dis-cmsweb-lb-bp</v>
      </c>
      <c r="K36" s="84">
        <v>443</v>
      </c>
      <c r="L36" s="84" t="str">
        <f t="shared" si="9"/>
        <v>t-dis-cmsweb-lb-pb443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348</v>
      </c>
      <c r="E37" s="74" t="str">
        <f t="shared" si="8"/>
        <v>t-dis-cmsap-lb-rule4001</v>
      </c>
      <c r="F37" s="74" t="str">
        <f t="shared" si="10"/>
        <v>t-dis-cmsap-lb-fe</v>
      </c>
      <c r="G37" s="74" t="s">
        <v>57</v>
      </c>
      <c r="H37" s="74">
        <v>4001</v>
      </c>
      <c r="I37" s="74" t="b">
        <v>0</v>
      </c>
      <c r="J37" s="74" t="str">
        <f t="shared" si="11"/>
        <v>t-dis-cmsap-lb-bp</v>
      </c>
      <c r="K37" s="74">
        <v>4001</v>
      </c>
      <c r="L37" s="74" t="str">
        <f t="shared" si="9"/>
        <v>t-dis-cmsap-lb-pb4001</v>
      </c>
      <c r="M37" s="74" t="s">
        <v>57</v>
      </c>
      <c r="N37" s="74">
        <v>4001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347</v>
      </c>
      <c r="E38" s="84" t="str">
        <f t="shared" si="8"/>
        <v>t-dis-cmsadm-lb-rule443</v>
      </c>
      <c r="F38" s="84" t="str">
        <f t="shared" si="10"/>
        <v>t-dis-cmsadm-lb-fe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t-dis-cmsadm-lb-bp</v>
      </c>
      <c r="K38" s="84">
        <v>443</v>
      </c>
      <c r="L38" s="84" t="str">
        <f t="shared" si="9"/>
        <v>t-dis-cmsadm-lb-pb443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t-dis-cmbsap-lb-rule8080</v>
      </c>
      <c r="F39" s="74" t="str">
        <f t="shared" si="10"/>
        <v>t-dis-cmbsap-lb-fe</v>
      </c>
      <c r="G39" s="74" t="s">
        <v>57</v>
      </c>
      <c r="H39" s="74">
        <v>8080</v>
      </c>
      <c r="I39" s="74" t="b">
        <v>0</v>
      </c>
      <c r="J39" s="74" t="str">
        <f t="shared" si="11"/>
        <v>t-dis-cmbsap-lb-bp</v>
      </c>
      <c r="K39" s="74">
        <v>8080</v>
      </c>
      <c r="L39" s="74" t="str">
        <f t="shared" si="9"/>
        <v>t-dis-cmbsap-lb-pb8080</v>
      </c>
      <c r="M39" s="74" t="s">
        <v>598</v>
      </c>
      <c r="N39" s="74">
        <v>8080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342</v>
      </c>
      <c r="E40" s="84" t="str">
        <f t="shared" si="8"/>
        <v>t-dis-bbiweb-lb-rule443</v>
      </c>
      <c r="F40" s="84" t="str">
        <f t="shared" si="10"/>
        <v>t-dis-bbiweb-lb-fe</v>
      </c>
      <c r="G40" s="84" t="s">
        <v>57</v>
      </c>
      <c r="H40" s="84">
        <v>443</v>
      </c>
      <c r="I40" s="84" t="b">
        <v>0</v>
      </c>
      <c r="J40" s="84" t="str">
        <f t="shared" si="11"/>
        <v>t-dis-bbiweb-lb-bp</v>
      </c>
      <c r="K40" s="84">
        <v>443</v>
      </c>
      <c r="L40" s="84" t="str">
        <f t="shared" si="9"/>
        <v>t-dis-bbiweb-lb-pb443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344</v>
      </c>
      <c r="E41" s="74" t="str">
        <f t="shared" si="8"/>
        <v>t-dis-bbimsgap-lb-rule20030</v>
      </c>
      <c r="F41" s="74" t="str">
        <f t="shared" si="10"/>
        <v>t-dis-bbimsgap-lb-fe</v>
      </c>
      <c r="G41" s="74" t="s">
        <v>57</v>
      </c>
      <c r="H41" s="74">
        <v>20030</v>
      </c>
      <c r="I41" s="74" t="b">
        <v>0</v>
      </c>
      <c r="J41" s="74" t="str">
        <f t="shared" si="11"/>
        <v>t-dis-bbimsgap-lb-bp</v>
      </c>
      <c r="K41" s="74">
        <v>20030</v>
      </c>
      <c r="L41" s="74" t="str">
        <f t="shared" si="9"/>
        <v>t-dis-bbimsgap-lb-pb20030</v>
      </c>
      <c r="M41" s="74" t="s">
        <v>598</v>
      </c>
      <c r="N41" s="74">
        <v>20030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8"/>
        <v>t-dis-bbicltap-lb-rule20000</v>
      </c>
      <c r="F42" s="84" t="str">
        <f t="shared" si="10"/>
        <v>t-dis-bbicltap-lb-fe</v>
      </c>
      <c r="G42" s="84" t="s">
        <v>57</v>
      </c>
      <c r="H42" s="84">
        <v>20000</v>
      </c>
      <c r="I42" s="84" t="b">
        <v>0</v>
      </c>
      <c r="J42" s="84" t="str">
        <f t="shared" si="11"/>
        <v>t-dis-bbicltap-lb-bp</v>
      </c>
      <c r="K42" s="84">
        <v>20000</v>
      </c>
      <c r="L42" s="84" t="str">
        <f t="shared" si="9"/>
        <v>t-dis-bbicltap-lb-pb20000</v>
      </c>
      <c r="M42" s="84" t="s">
        <v>598</v>
      </c>
      <c r="N42" s="84">
        <v>20000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84" t="s">
        <v>182</v>
      </c>
      <c r="B43" s="84" t="str" cm="1">
        <f t="array" ref="B43">UPPER(INDEX(_xlfn.TEXTSPLIT($C43, "-"), 3))</f>
        <v>DIS</v>
      </c>
      <c r="C43" s="84" t="s">
        <v>286</v>
      </c>
      <c r="D43" s="84" t="s">
        <v>343</v>
      </c>
      <c r="E43" s="84" t="str">
        <f t="shared" si="8"/>
        <v>t-dis-bbicltap-lb-rule21000</v>
      </c>
      <c r="F43" s="84" t="str">
        <f t="shared" si="10"/>
        <v>t-dis-bbicltap-lb-fe</v>
      </c>
      <c r="G43" s="84" t="s">
        <v>57</v>
      </c>
      <c r="H43" s="84">
        <v>21000</v>
      </c>
      <c r="I43" s="84" t="b">
        <v>0</v>
      </c>
      <c r="J43" s="84" t="str">
        <f t="shared" si="11"/>
        <v>t-dis-bbicltap-lb-bp</v>
      </c>
      <c r="K43" s="84">
        <v>21000</v>
      </c>
      <c r="L43" s="84" t="str">
        <f t="shared" si="9"/>
        <v>t-dis-bbicltap-lb-pb21000</v>
      </c>
      <c r="M43" s="84" t="s">
        <v>598</v>
      </c>
      <c r="N43" s="84">
        <v>21000</v>
      </c>
      <c r="O43" s="84">
        <v>4</v>
      </c>
      <c r="P43" s="84" t="s">
        <v>123</v>
      </c>
      <c r="Q43" s="84" t="b">
        <v>1</v>
      </c>
      <c r="R43" s="8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t-dis-bbicltap-lb-rule22000</v>
      </c>
      <c r="F44" s="84" t="str">
        <f t="shared" si="10"/>
        <v>t-dis-bbicltap-lb-fe</v>
      </c>
      <c r="G44" s="84" t="s">
        <v>57</v>
      </c>
      <c r="H44" s="84">
        <v>22000</v>
      </c>
      <c r="I44" s="84" t="b">
        <v>0</v>
      </c>
      <c r="J44" s="84" t="str">
        <f t="shared" si="11"/>
        <v>t-dis-bbicltap-lb-bp</v>
      </c>
      <c r="K44" s="84">
        <v>22000</v>
      </c>
      <c r="L44" s="84" t="str">
        <f t="shared" si="9"/>
        <v>t-dis-bbicltap-lb-pb22000</v>
      </c>
      <c r="M44" s="84" t="s">
        <v>598</v>
      </c>
      <c r="N44" s="84">
        <v>22000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 t="str" cm="1">
        <f t="array" ref="B45">UPPER(INDEX(_xlfn.TEXTSPLIT($C45, "-"), 3))</f>
        <v>DIS</v>
      </c>
      <c r="C45" s="74" t="s">
        <v>286</v>
      </c>
      <c r="D45" s="74" t="s">
        <v>287</v>
      </c>
      <c r="E45" s="74" t="str">
        <f t="shared" si="8"/>
        <v>t-dis-ap-lb-rule8080</v>
      </c>
      <c r="F45" s="74" t="str">
        <f t="shared" si="10"/>
        <v>t-dis-ap-lb-fe</v>
      </c>
      <c r="G45" s="74" t="s">
        <v>57</v>
      </c>
      <c r="H45" s="74">
        <v>8080</v>
      </c>
      <c r="I45" s="74" t="b">
        <v>0</v>
      </c>
      <c r="J45" s="74" t="str">
        <f t="shared" si="11"/>
        <v>t-dis-ap-lb-bp</v>
      </c>
      <c r="K45" s="74">
        <v>8080</v>
      </c>
      <c r="L45" s="74" t="str">
        <f t="shared" si="9"/>
        <v>t-dis-ap-lb-pb8080</v>
      </c>
      <c r="M45" s="74" t="s">
        <v>57</v>
      </c>
      <c r="N45" s="74">
        <v>8080</v>
      </c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341</v>
      </c>
      <c r="E46" s="84" t="str">
        <f t="shared" si="8"/>
        <v>t-dis-adm-lb-rule443</v>
      </c>
      <c r="F46" s="84" t="str">
        <f t="shared" si="10"/>
        <v>t-dis-adm-lb-fe</v>
      </c>
      <c r="G46" s="84" t="s">
        <v>57</v>
      </c>
      <c r="H46" s="84">
        <v>443</v>
      </c>
      <c r="I46" s="84" t="b">
        <v>0</v>
      </c>
      <c r="J46" s="84" t="str">
        <f t="shared" si="11"/>
        <v>t-dis-adm-lb-bp</v>
      </c>
      <c r="K46" s="84">
        <v>443</v>
      </c>
      <c r="L46" s="84" t="str">
        <f t="shared" si="9"/>
        <v>t-dis-adm-lb-pb443</v>
      </c>
      <c r="M46" s="84" t="s">
        <v>57</v>
      </c>
      <c r="N46" s="84">
        <v>443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DIP</v>
      </c>
      <c r="C47" s="74" t="s">
        <v>385</v>
      </c>
      <c r="D47" s="74" t="s">
        <v>373</v>
      </c>
      <c r="E47" s="74" t="str">
        <f t="shared" si="8"/>
        <v>t-dip-web-lb-rule443</v>
      </c>
      <c r="F47" s="74" t="str">
        <f t="shared" si="10"/>
        <v>t-dip-web-lb-fe</v>
      </c>
      <c r="G47" s="74" t="s">
        <v>57</v>
      </c>
      <c r="H47" s="74">
        <v>443</v>
      </c>
      <c r="I47" s="74" t="b">
        <v>0</v>
      </c>
      <c r="J47" s="74" t="str">
        <f t="shared" si="11"/>
        <v>t-dip-web-lb-bp</v>
      </c>
      <c r="K47" s="74">
        <v>443</v>
      </c>
      <c r="L47" s="74" t="str">
        <f t="shared" si="9"/>
        <v>t-dip-web-lb-pb443</v>
      </c>
      <c r="M47" s="74" t="s">
        <v>598</v>
      </c>
      <c r="N47" s="74">
        <v>443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DIP</v>
      </c>
      <c r="C48" s="74" t="s">
        <v>385</v>
      </c>
      <c r="D48" s="74" t="s">
        <v>373</v>
      </c>
      <c r="E48" s="74" t="str">
        <f t="shared" si="8"/>
        <v>t-dip-web-lb-rule9100</v>
      </c>
      <c r="F48" s="74" t="str">
        <f t="shared" si="10"/>
        <v>t-dip-web-lb-fe</v>
      </c>
      <c r="G48" s="74" t="s">
        <v>57</v>
      </c>
      <c r="H48" s="74">
        <v>9100</v>
      </c>
      <c r="I48" s="74" t="b">
        <v>0</v>
      </c>
      <c r="J48" s="74" t="str">
        <f t="shared" si="11"/>
        <v>t-dip-web-lb-bp</v>
      </c>
      <c r="K48" s="74">
        <v>9100</v>
      </c>
      <c r="L48" s="74" t="str">
        <f t="shared" si="9"/>
        <v>t-dip-web-lb-pb9100</v>
      </c>
      <c r="M48" s="74" t="s">
        <v>598</v>
      </c>
      <c r="N48" s="74">
        <v>9100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84" t="s">
        <v>182</v>
      </c>
      <c r="B49" s="84" t="str" cm="1">
        <f t="array" ref="B49">UPPER(INDEX(_xlfn.TEXTSPLIT($C49, "-"), 3))</f>
        <v>DIP</v>
      </c>
      <c r="C49" s="84" t="s">
        <v>385</v>
      </c>
      <c r="D49" s="84" t="s">
        <v>372</v>
      </c>
      <c r="E49" s="84" t="str">
        <f t="shared" si="8"/>
        <v>t-dip-mqweb-lb-rule8883</v>
      </c>
      <c r="F49" s="84" t="str">
        <f t="shared" si="10"/>
        <v>t-dip-mqweb-lb-fe</v>
      </c>
      <c r="G49" s="84" t="s">
        <v>57</v>
      </c>
      <c r="H49" s="84">
        <v>8883</v>
      </c>
      <c r="I49" s="84" t="b">
        <v>0</v>
      </c>
      <c r="J49" s="84" t="str">
        <f t="shared" si="11"/>
        <v>t-dip-mqweb-lb-bp</v>
      </c>
      <c r="K49" s="84">
        <v>8883</v>
      </c>
      <c r="L49" s="84" t="str">
        <f t="shared" si="9"/>
        <v>t-dip-mqweb-lb-pb8883</v>
      </c>
      <c r="M49" s="84" t="s">
        <v>598</v>
      </c>
      <c r="N49" s="84">
        <v>8883</v>
      </c>
      <c r="O49" s="84">
        <v>4</v>
      </c>
      <c r="P49" s="84" t="s">
        <v>123</v>
      </c>
      <c r="Q49" s="84" t="b">
        <v>1</v>
      </c>
      <c r="R49" s="84" t="b">
        <v>0</v>
      </c>
    </row>
    <row r="50" spans="1:18" x14ac:dyDescent="0.3">
      <c r="A50" s="84" t="s">
        <v>182</v>
      </c>
      <c r="B50" s="84" t="str" cm="1">
        <f t="array" ref="B50">UPPER(INDEX(_xlfn.TEXTSPLIT($C50, "-"), 3))</f>
        <v>DIP</v>
      </c>
      <c r="C50" s="84" t="s">
        <v>385</v>
      </c>
      <c r="D50" s="84" t="s">
        <v>372</v>
      </c>
      <c r="E50" s="84" t="str">
        <f t="shared" si="8"/>
        <v>t-dip-mqweb-lb-rule1884</v>
      </c>
      <c r="F50" s="84" t="str">
        <f t="shared" si="10"/>
        <v>t-dip-mqweb-lb-fe</v>
      </c>
      <c r="G50" s="84" t="s">
        <v>57</v>
      </c>
      <c r="H50" s="84">
        <v>1884</v>
      </c>
      <c r="I50" s="84" t="b">
        <v>0</v>
      </c>
      <c r="J50" s="84" t="str">
        <f t="shared" si="11"/>
        <v>t-dip-mqweb-lb-bp</v>
      </c>
      <c r="K50" s="84">
        <v>1884</v>
      </c>
      <c r="L50" s="84" t="str">
        <f t="shared" si="9"/>
        <v>t-dip-mqweb-lb-pb1884</v>
      </c>
      <c r="M50" s="84" t="s">
        <v>598</v>
      </c>
      <c r="N50" s="84">
        <v>1884</v>
      </c>
      <c r="O50" s="84">
        <v>4</v>
      </c>
      <c r="P50" s="84" t="s">
        <v>123</v>
      </c>
      <c r="Q50" s="84" t="b">
        <v>1</v>
      </c>
      <c r="R50" s="8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385</v>
      </c>
      <c r="D51" s="84" t="s">
        <v>372</v>
      </c>
      <c r="E51" s="84" t="str">
        <f t="shared" si="8"/>
        <v>t-dip-mqweb-lb-rule9100</v>
      </c>
      <c r="F51" s="84" t="str">
        <f t="shared" si="10"/>
        <v>t-dip-mqweb-lb-fe</v>
      </c>
      <c r="G51" s="84" t="s">
        <v>57</v>
      </c>
      <c r="H51" s="84">
        <v>9100</v>
      </c>
      <c r="I51" s="84" t="b">
        <v>0</v>
      </c>
      <c r="J51" s="84" t="str">
        <f t="shared" si="11"/>
        <v>t-dip-mqweb-lb-bp</v>
      </c>
      <c r="K51" s="84">
        <v>9100</v>
      </c>
      <c r="L51" s="84" t="str">
        <f t="shared" si="9"/>
        <v>t-dip-mqweb-lb-pb9100</v>
      </c>
      <c r="M51" s="84" t="s">
        <v>598</v>
      </c>
      <c r="N51" s="84">
        <v>9100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DIP</v>
      </c>
      <c r="C52" s="74" t="s">
        <v>385</v>
      </c>
      <c r="D52" s="74" t="s">
        <v>371</v>
      </c>
      <c r="E52" s="74" t="str">
        <f t="shared" si="8"/>
        <v>t-dip-mqap-lb-rule1883</v>
      </c>
      <c r="F52" s="74" t="str">
        <f t="shared" si="10"/>
        <v>t-dip-mqap-lb-fe</v>
      </c>
      <c r="G52" s="74" t="s">
        <v>57</v>
      </c>
      <c r="H52" s="74">
        <v>1883</v>
      </c>
      <c r="I52" s="74" t="b">
        <v>0</v>
      </c>
      <c r="J52" s="74" t="str">
        <f t="shared" si="11"/>
        <v>t-dip-mqap-lb-bp</v>
      </c>
      <c r="K52" s="74">
        <v>1883</v>
      </c>
      <c r="L52" s="74" t="str">
        <f t="shared" si="9"/>
        <v>t-dip-mqap-lb-pb1883</v>
      </c>
      <c r="M52" s="74" t="s">
        <v>598</v>
      </c>
      <c r="N52" s="74">
        <v>1883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74" t="s">
        <v>182</v>
      </c>
      <c r="B53" s="74" t="str" cm="1">
        <f t="array" ref="B53">UPPER(INDEX(_xlfn.TEXTSPLIT($C53, "-"), 3))</f>
        <v>DIP</v>
      </c>
      <c r="C53" s="74" t="s">
        <v>385</v>
      </c>
      <c r="D53" s="74" t="s">
        <v>371</v>
      </c>
      <c r="E53" s="74" t="str">
        <f t="shared" si="8"/>
        <v>t-dip-mqap-lb-rule1884</v>
      </c>
      <c r="F53" s="74" t="str">
        <f t="shared" si="10"/>
        <v>t-dip-mqap-lb-fe</v>
      </c>
      <c r="G53" s="74" t="s">
        <v>57</v>
      </c>
      <c r="H53" s="74">
        <v>1884</v>
      </c>
      <c r="I53" s="74" t="b">
        <v>0</v>
      </c>
      <c r="J53" s="74" t="str">
        <f t="shared" si="11"/>
        <v>t-dip-mqap-lb-bp</v>
      </c>
      <c r="K53" s="74">
        <v>1884</v>
      </c>
      <c r="L53" s="74" t="str">
        <f t="shared" si="9"/>
        <v>t-dip-mqap-lb-pb1884</v>
      </c>
      <c r="M53" s="74" t="s">
        <v>598</v>
      </c>
      <c r="N53" s="74">
        <v>1884</v>
      </c>
      <c r="O53" s="74">
        <v>4</v>
      </c>
      <c r="P53" s="74" t="s">
        <v>123</v>
      </c>
      <c r="Q53" s="74" t="b">
        <v>1</v>
      </c>
      <c r="R53" s="7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385</v>
      </c>
      <c r="D54" s="74" t="s">
        <v>371</v>
      </c>
      <c r="E54" s="74" t="str">
        <f t="shared" si="8"/>
        <v>t-dip-mqap-lb-rule18083</v>
      </c>
      <c r="F54" s="74" t="str">
        <f t="shared" si="10"/>
        <v>t-dip-mqap-lb-fe</v>
      </c>
      <c r="G54" s="74" t="s">
        <v>57</v>
      </c>
      <c r="H54" s="74">
        <v>18083</v>
      </c>
      <c r="I54" s="74" t="b">
        <v>0</v>
      </c>
      <c r="J54" s="74" t="str">
        <f t="shared" si="11"/>
        <v>t-dip-mqap-lb-bp</v>
      </c>
      <c r="K54" s="74">
        <v>18083</v>
      </c>
      <c r="L54" s="74" t="str">
        <f t="shared" si="9"/>
        <v>t-dip-mqap-lb-pb18083</v>
      </c>
      <c r="M54" s="74" t="s">
        <v>598</v>
      </c>
      <c r="N54" s="74">
        <v>18083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385</v>
      </c>
      <c r="D55" s="74" t="s">
        <v>371</v>
      </c>
      <c r="E55" s="74" t="str">
        <f t="shared" si="8"/>
        <v>t-dip-mqap-lb-rule9100</v>
      </c>
      <c r="F55" s="74" t="str">
        <f t="shared" si="10"/>
        <v>t-dip-mqap-lb-fe</v>
      </c>
      <c r="G55" s="74" t="s">
        <v>57</v>
      </c>
      <c r="H55" s="74">
        <v>9100</v>
      </c>
      <c r="I55" s="74" t="b">
        <v>0</v>
      </c>
      <c r="J55" s="74" t="str">
        <f t="shared" si="11"/>
        <v>t-dip-mqap-lb-bp</v>
      </c>
      <c r="K55" s="74">
        <v>9100</v>
      </c>
      <c r="L55" s="74" t="str">
        <f t="shared" si="9"/>
        <v>t-dip-mqap-lb-pb9100</v>
      </c>
      <c r="M55" s="74" t="s">
        <v>598</v>
      </c>
      <c r="N55" s="74">
        <v>9100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84" t="s">
        <v>182</v>
      </c>
      <c r="B56" s="84" t="str" cm="1">
        <f t="array" ref="B56">UPPER(INDEX(_xlfn.TEXTSPLIT($C56, "-"), 3))</f>
        <v>DIP</v>
      </c>
      <c r="C56" s="84" t="s">
        <v>385</v>
      </c>
      <c r="D56" s="84" t="s">
        <v>370</v>
      </c>
      <c r="E56" s="84" t="str">
        <f t="shared" si="8"/>
        <v>t-dip-geoap-lb-rule3660</v>
      </c>
      <c r="F56" s="84" t="str">
        <f t="shared" si="10"/>
        <v>t-dip-geoap-lb-fe</v>
      </c>
      <c r="G56" s="84" t="s">
        <v>57</v>
      </c>
      <c r="H56" s="84">
        <v>3660</v>
      </c>
      <c r="I56" s="84" t="b">
        <v>0</v>
      </c>
      <c r="J56" s="84" t="str">
        <f t="shared" si="11"/>
        <v>t-dip-geoap-lb-bp</v>
      </c>
      <c r="K56" s="84">
        <v>3660</v>
      </c>
      <c r="L56" s="84" t="str">
        <f t="shared" si="9"/>
        <v>t-dip-geoap-lb-pb3660</v>
      </c>
      <c r="M56" s="84" t="s">
        <v>598</v>
      </c>
      <c r="N56" s="84">
        <v>3660</v>
      </c>
      <c r="O56" s="84">
        <v>4</v>
      </c>
      <c r="P56" s="84" t="s">
        <v>123</v>
      </c>
      <c r="Q56" s="84" t="b">
        <v>1</v>
      </c>
      <c r="R56" s="84" t="b">
        <v>0</v>
      </c>
    </row>
    <row r="57" spans="1:18" x14ac:dyDescent="0.3">
      <c r="A57" s="84" t="s">
        <v>182</v>
      </c>
      <c r="B57" s="84" t="str" cm="1">
        <f t="array" ref="B57">UPPER(INDEX(_xlfn.TEXTSPLIT($C57, "-"), 3))</f>
        <v>DIP</v>
      </c>
      <c r="C57" s="84" t="s">
        <v>385</v>
      </c>
      <c r="D57" s="84" t="s">
        <v>370</v>
      </c>
      <c r="E57" s="84" t="str">
        <f t="shared" si="8"/>
        <v>t-dip-geoap-lb-rule3661</v>
      </c>
      <c r="F57" s="84" t="str">
        <f t="shared" si="10"/>
        <v>t-dip-geoap-lb-fe</v>
      </c>
      <c r="G57" s="84" t="s">
        <v>57</v>
      </c>
      <c r="H57" s="84">
        <v>3661</v>
      </c>
      <c r="I57" s="84" t="b">
        <v>0</v>
      </c>
      <c r="J57" s="84" t="str">
        <f t="shared" si="11"/>
        <v>t-dip-geoap-lb-bp</v>
      </c>
      <c r="K57" s="84">
        <v>3661</v>
      </c>
      <c r="L57" s="84" t="str">
        <f t="shared" si="9"/>
        <v>t-dip-geoap-lb-pb3661</v>
      </c>
      <c r="M57" s="84" t="s">
        <v>598</v>
      </c>
      <c r="N57" s="84">
        <v>3661</v>
      </c>
      <c r="O57" s="84">
        <v>4</v>
      </c>
      <c r="P57" s="84" t="s">
        <v>123</v>
      </c>
      <c r="Q57" s="84" t="b">
        <v>1</v>
      </c>
      <c r="R57" s="8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385</v>
      </c>
      <c r="D58" s="84" t="s">
        <v>370</v>
      </c>
      <c r="E58" s="84" t="str">
        <f t="shared" si="8"/>
        <v>t-dip-geoap-lb-rule3670</v>
      </c>
      <c r="F58" s="84" t="str">
        <f t="shared" si="10"/>
        <v>t-dip-geoap-lb-fe</v>
      </c>
      <c r="G58" s="84" t="s">
        <v>57</v>
      </c>
      <c r="H58" s="84">
        <v>3670</v>
      </c>
      <c r="I58" s="84" t="b">
        <v>0</v>
      </c>
      <c r="J58" s="84" t="str">
        <f t="shared" si="11"/>
        <v>t-dip-geoap-lb-bp</v>
      </c>
      <c r="K58" s="84">
        <v>3670</v>
      </c>
      <c r="L58" s="84" t="str">
        <f t="shared" si="9"/>
        <v>t-dip-geoap-lb-pb3670</v>
      </c>
      <c r="M58" s="84" t="s">
        <v>598</v>
      </c>
      <c r="N58" s="84">
        <v>3670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385</v>
      </c>
      <c r="D59" s="84" t="s">
        <v>370</v>
      </c>
      <c r="E59" s="84" t="str">
        <f t="shared" si="8"/>
        <v>t-dip-geoap-lb-rule3671</v>
      </c>
      <c r="F59" s="84" t="str">
        <f t="shared" si="10"/>
        <v>t-dip-geoap-lb-fe</v>
      </c>
      <c r="G59" s="84" t="s">
        <v>57</v>
      </c>
      <c r="H59" s="84">
        <v>3671</v>
      </c>
      <c r="I59" s="84" t="b">
        <v>0</v>
      </c>
      <c r="J59" s="84" t="str">
        <f t="shared" si="11"/>
        <v>t-dip-geoap-lb-bp</v>
      </c>
      <c r="K59" s="84">
        <v>3671</v>
      </c>
      <c r="L59" s="84" t="str">
        <f t="shared" si="9"/>
        <v>t-dip-geoap-lb-pb3671</v>
      </c>
      <c r="M59" s="84" t="s">
        <v>598</v>
      </c>
      <c r="N59" s="84">
        <v>3671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385</v>
      </c>
      <c r="D60" s="84" t="s">
        <v>370</v>
      </c>
      <c r="E60" s="84" t="str">
        <f t="shared" si="8"/>
        <v>t-dip-geoap-lb-rule9100</v>
      </c>
      <c r="F60" s="84" t="str">
        <f t="shared" si="10"/>
        <v>t-dip-geoap-lb-fe</v>
      </c>
      <c r="G60" s="84" t="s">
        <v>57</v>
      </c>
      <c r="H60" s="84">
        <v>9100</v>
      </c>
      <c r="I60" s="84" t="b">
        <v>0</v>
      </c>
      <c r="J60" s="84" t="str">
        <f t="shared" si="11"/>
        <v>t-dip-geoap-lb-bp</v>
      </c>
      <c r="K60" s="84">
        <v>9100</v>
      </c>
      <c r="L60" s="84" t="str">
        <f t="shared" si="9"/>
        <v>t-dip-geoap-lb-pb9100</v>
      </c>
      <c r="M60" s="84" t="s">
        <v>598</v>
      </c>
      <c r="N60" s="84">
        <v>9100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DIP</v>
      </c>
      <c r="C61" s="74" t="s">
        <v>385</v>
      </c>
      <c r="D61" s="74" t="s">
        <v>369</v>
      </c>
      <c r="E61" s="74" t="str">
        <f t="shared" ref="E61:E72" si="12">SUBSTITUTE(D61, "hazr-", "")&amp;"-rule"&amp;N61</f>
        <v>t-dip-ap-lb-rule443</v>
      </c>
      <c r="F61" s="74" t="str">
        <f t="shared" si="10"/>
        <v>t-dip-ap-lb-fe</v>
      </c>
      <c r="G61" s="74" t="s">
        <v>57</v>
      </c>
      <c r="H61" s="74">
        <v>443</v>
      </c>
      <c r="I61" s="74" t="b">
        <v>0</v>
      </c>
      <c r="J61" s="74" t="str">
        <f t="shared" si="11"/>
        <v>t-dip-ap-lb-bp</v>
      </c>
      <c r="K61" s="74">
        <v>443</v>
      </c>
      <c r="L61" s="74" t="str">
        <f t="shared" ref="L61:L72" si="13">SUBSTITUTE(D61, "hazr-", "")&amp;"-pb"&amp;IF(N61="", "", N61)</f>
        <v>t-dip-ap-lb-pb443</v>
      </c>
      <c r="M61" s="74" t="s">
        <v>598</v>
      </c>
      <c r="N61" s="74">
        <v>443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DIP</v>
      </c>
      <c r="C62" s="74" t="s">
        <v>385</v>
      </c>
      <c r="D62" s="74" t="s">
        <v>369</v>
      </c>
      <c r="E62" s="74" t="str">
        <f t="shared" si="12"/>
        <v>t-dip-ap-lb-rule8100</v>
      </c>
      <c r="F62" s="74" t="str">
        <f t="shared" si="10"/>
        <v>t-dip-ap-lb-fe</v>
      </c>
      <c r="G62" s="74" t="s">
        <v>57</v>
      </c>
      <c r="H62" s="74">
        <v>8100</v>
      </c>
      <c r="I62" s="74" t="b">
        <v>0</v>
      </c>
      <c r="J62" s="74" t="str">
        <f t="shared" si="11"/>
        <v>t-dip-ap-lb-bp</v>
      </c>
      <c r="K62" s="74">
        <v>8100</v>
      </c>
      <c r="L62" s="74" t="str">
        <f t="shared" si="13"/>
        <v>t-dip-ap-lb-pb8100</v>
      </c>
      <c r="M62" s="74" t="s">
        <v>598</v>
      </c>
      <c r="N62" s="74">
        <v>8100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385</v>
      </c>
      <c r="D63" s="74" t="s">
        <v>369</v>
      </c>
      <c r="E63" s="74" t="str">
        <f t="shared" si="12"/>
        <v>t-dip-ap-lb-rule8200</v>
      </c>
      <c r="F63" s="74" t="str">
        <f t="shared" ref="F63:F83" si="14">SUBSTITUTE(D63, "hazr-", "")&amp;"-fe"</f>
        <v>t-dip-ap-lb-fe</v>
      </c>
      <c r="G63" s="74" t="s">
        <v>57</v>
      </c>
      <c r="H63" s="74">
        <v>8200</v>
      </c>
      <c r="I63" s="74" t="b">
        <v>0</v>
      </c>
      <c r="J63" s="74" t="str">
        <f t="shared" ref="J63:J83" si="15">SUBSTITUTE(D63, "hazr-", "")&amp;"-bp"</f>
        <v>t-dip-ap-lb-bp</v>
      </c>
      <c r="K63" s="74">
        <v>8200</v>
      </c>
      <c r="L63" s="74" t="str">
        <f t="shared" si="13"/>
        <v>t-dip-ap-lb-pb8200</v>
      </c>
      <c r="M63" s="74" t="s">
        <v>598</v>
      </c>
      <c r="N63" s="74">
        <v>8200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385</v>
      </c>
      <c r="D64" s="74" t="s">
        <v>369</v>
      </c>
      <c r="E64" s="74" t="str">
        <f t="shared" si="12"/>
        <v>t-dip-ap-lb-rule8300</v>
      </c>
      <c r="F64" s="74" t="str">
        <f t="shared" si="14"/>
        <v>t-dip-ap-lb-fe</v>
      </c>
      <c r="G64" s="74" t="s">
        <v>57</v>
      </c>
      <c r="H64" s="74">
        <v>8300</v>
      </c>
      <c r="I64" s="74" t="b">
        <v>0</v>
      </c>
      <c r="J64" s="74" t="str">
        <f t="shared" si="15"/>
        <v>t-dip-ap-lb-bp</v>
      </c>
      <c r="K64" s="74">
        <v>8300</v>
      </c>
      <c r="L64" s="74" t="str">
        <f t="shared" si="13"/>
        <v>t-dip-ap-lb-pb8300</v>
      </c>
      <c r="M64" s="74" t="s">
        <v>598</v>
      </c>
      <c r="N64" s="74">
        <v>8300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385</v>
      </c>
      <c r="D65" s="74" t="s">
        <v>369</v>
      </c>
      <c r="E65" s="74" t="str">
        <f t="shared" si="12"/>
        <v>t-dip-ap-lb-rule8400</v>
      </c>
      <c r="F65" s="74" t="str">
        <f t="shared" si="14"/>
        <v>t-dip-ap-lb-fe</v>
      </c>
      <c r="G65" s="74" t="s">
        <v>57</v>
      </c>
      <c r="H65" s="74">
        <v>8400</v>
      </c>
      <c r="I65" s="74" t="b">
        <v>0</v>
      </c>
      <c r="J65" s="74" t="str">
        <f t="shared" si="15"/>
        <v>t-dip-ap-lb-bp</v>
      </c>
      <c r="K65" s="74">
        <v>8400</v>
      </c>
      <c r="L65" s="74" t="str">
        <f t="shared" si="13"/>
        <v>t-dip-ap-lb-pb8400</v>
      </c>
      <c r="M65" s="74" t="s">
        <v>598</v>
      </c>
      <c r="N65" s="74">
        <v>8400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385</v>
      </c>
      <c r="D66" s="74" t="s">
        <v>369</v>
      </c>
      <c r="E66" s="74" t="str">
        <f t="shared" si="12"/>
        <v>t-dip-ap-lb-rule9100</v>
      </c>
      <c r="F66" s="74" t="str">
        <f t="shared" si="14"/>
        <v>t-dip-ap-lb-fe</v>
      </c>
      <c r="G66" s="74" t="s">
        <v>57</v>
      </c>
      <c r="H66" s="74">
        <v>9100</v>
      </c>
      <c r="I66" s="74" t="b">
        <v>0</v>
      </c>
      <c r="J66" s="74" t="str">
        <f t="shared" si="15"/>
        <v>t-dip-ap-lb-bp</v>
      </c>
      <c r="K66" s="74">
        <v>9100</v>
      </c>
      <c r="L66" s="74" t="str">
        <f t="shared" si="13"/>
        <v>t-dip-ap-lb-pb9100</v>
      </c>
      <c r="M66" s="74" t="s">
        <v>598</v>
      </c>
      <c r="N66" s="74">
        <v>9100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385</v>
      </c>
      <c r="D67" s="74" t="s">
        <v>369</v>
      </c>
      <c r="E67" s="74" t="str">
        <f t="shared" si="12"/>
        <v>t-dip-ap-lb-rule9113</v>
      </c>
      <c r="F67" s="74" t="str">
        <f t="shared" si="14"/>
        <v>t-dip-ap-lb-fe</v>
      </c>
      <c r="G67" s="74" t="s">
        <v>57</v>
      </c>
      <c r="H67" s="74">
        <v>9113</v>
      </c>
      <c r="I67" s="74" t="b">
        <v>0</v>
      </c>
      <c r="J67" s="74" t="str">
        <f t="shared" si="15"/>
        <v>t-dip-ap-lb-bp</v>
      </c>
      <c r="K67" s="74">
        <v>9113</v>
      </c>
      <c r="L67" s="74" t="str">
        <f t="shared" si="13"/>
        <v>t-dip-ap-lb-pb9113</v>
      </c>
      <c r="M67" s="74" t="s">
        <v>598</v>
      </c>
      <c r="N67" s="74">
        <v>9113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DIP</v>
      </c>
      <c r="C68" s="84" t="s">
        <v>385</v>
      </c>
      <c r="D68" s="84" t="s">
        <v>368</v>
      </c>
      <c r="E68" s="84" t="str">
        <f t="shared" si="12"/>
        <v>t-dip-adm-lb-rule443</v>
      </c>
      <c r="F68" s="84" t="str">
        <f t="shared" si="14"/>
        <v>t-dip-adm-lb-fe</v>
      </c>
      <c r="G68" s="84" t="s">
        <v>57</v>
      </c>
      <c r="H68" s="84">
        <v>443</v>
      </c>
      <c r="I68" s="84" t="b">
        <v>0</v>
      </c>
      <c r="J68" s="84" t="str">
        <f t="shared" si="15"/>
        <v>t-dip-adm-lb-bp</v>
      </c>
      <c r="K68" s="84">
        <v>443</v>
      </c>
      <c r="L68" s="84" t="str">
        <f t="shared" si="13"/>
        <v>t-dip-adm-lb-pb443</v>
      </c>
      <c r="M68" s="84" t="s">
        <v>598</v>
      </c>
      <c r="N68" s="84">
        <v>443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84" t="s">
        <v>182</v>
      </c>
      <c r="B69" s="84" t="str" cm="1">
        <f t="array" ref="B69">UPPER(INDEX(_xlfn.TEXTSPLIT($C69, "-"), 3))</f>
        <v>DIP</v>
      </c>
      <c r="C69" s="84" t="s">
        <v>385</v>
      </c>
      <c r="D69" s="84" t="s">
        <v>368</v>
      </c>
      <c r="E69" s="84" t="str">
        <f t="shared" si="12"/>
        <v>t-dip-adm-lb-rule8085</v>
      </c>
      <c r="F69" s="84" t="str">
        <f t="shared" si="14"/>
        <v>t-dip-adm-lb-fe</v>
      </c>
      <c r="G69" s="84" t="s">
        <v>57</v>
      </c>
      <c r="H69" s="84">
        <v>8085</v>
      </c>
      <c r="I69" s="84" t="b">
        <v>0</v>
      </c>
      <c r="J69" s="84" t="str">
        <f t="shared" si="15"/>
        <v>t-dip-adm-lb-bp</v>
      </c>
      <c r="K69" s="84">
        <v>8085</v>
      </c>
      <c r="L69" s="84" t="str">
        <f t="shared" si="13"/>
        <v>t-dip-adm-lb-pb8085</v>
      </c>
      <c r="M69" s="84" t="s">
        <v>598</v>
      </c>
      <c r="N69" s="84">
        <v>8085</v>
      </c>
      <c r="O69" s="84">
        <v>4</v>
      </c>
      <c r="P69" s="84" t="s">
        <v>123</v>
      </c>
      <c r="Q69" s="84" t="b">
        <v>1</v>
      </c>
      <c r="R69" s="8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385</v>
      </c>
      <c r="D70" s="84" t="s">
        <v>368</v>
      </c>
      <c r="E70" s="84" t="str">
        <f t="shared" si="12"/>
        <v>t-dip-adm-lb-rule8900</v>
      </c>
      <c r="F70" s="84" t="str">
        <f t="shared" si="14"/>
        <v>t-dip-adm-lb-fe</v>
      </c>
      <c r="G70" s="84" t="s">
        <v>57</v>
      </c>
      <c r="H70" s="84">
        <v>8900</v>
      </c>
      <c r="I70" s="84" t="b">
        <v>0</v>
      </c>
      <c r="J70" s="84" t="str">
        <f t="shared" si="15"/>
        <v>t-dip-adm-lb-bp</v>
      </c>
      <c r="K70" s="84">
        <v>8900</v>
      </c>
      <c r="L70" s="84" t="str">
        <f t="shared" si="13"/>
        <v>t-dip-adm-lb-pb8900</v>
      </c>
      <c r="M70" s="84" t="s">
        <v>598</v>
      </c>
      <c r="N70" s="84">
        <v>8900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385</v>
      </c>
      <c r="D71" s="84" t="s">
        <v>368</v>
      </c>
      <c r="E71" s="84" t="str">
        <f t="shared" si="12"/>
        <v>t-dip-adm-lb-rule8901</v>
      </c>
      <c r="F71" s="84" t="str">
        <f t="shared" si="14"/>
        <v>t-dip-adm-lb-fe</v>
      </c>
      <c r="G71" s="84" t="s">
        <v>57</v>
      </c>
      <c r="H71" s="84">
        <v>8901</v>
      </c>
      <c r="I71" s="84" t="b">
        <v>0</v>
      </c>
      <c r="J71" s="84" t="str">
        <f t="shared" si="15"/>
        <v>t-dip-adm-lb-bp</v>
      </c>
      <c r="K71" s="84">
        <v>8901</v>
      </c>
      <c r="L71" s="84" t="str">
        <f t="shared" si="13"/>
        <v>t-dip-adm-lb-pb8901</v>
      </c>
      <c r="M71" s="84" t="s">
        <v>598</v>
      </c>
      <c r="N71" s="84">
        <v>8901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385</v>
      </c>
      <c r="D72" s="84" t="s">
        <v>368</v>
      </c>
      <c r="E72" s="84" t="str">
        <f t="shared" si="12"/>
        <v>t-dip-adm-lb-rule9100</v>
      </c>
      <c r="F72" s="84" t="str">
        <f t="shared" si="14"/>
        <v>t-dip-adm-lb-fe</v>
      </c>
      <c r="G72" s="84" t="s">
        <v>57</v>
      </c>
      <c r="H72" s="84">
        <v>9100</v>
      </c>
      <c r="I72" s="84" t="b">
        <v>0</v>
      </c>
      <c r="J72" s="84" t="str">
        <f t="shared" si="15"/>
        <v>t-dip-adm-lb-bp</v>
      </c>
      <c r="K72" s="84">
        <v>9100</v>
      </c>
      <c r="L72" s="84" t="str">
        <f t="shared" si="13"/>
        <v>t-dip-adm-lb-pb9100</v>
      </c>
      <c r="M72" s="84" t="s">
        <v>598</v>
      </c>
      <c r="N72" s="84">
        <v>9100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/>
      <c r="C73" s="74" t="s">
        <v>385</v>
      </c>
      <c r="D73" s="74" t="s">
        <v>375</v>
      </c>
      <c r="E73" s="74"/>
      <c r="F73" s="74" t="str">
        <f t="shared" si="14"/>
        <v>t-cs-chtweb-lb-fe</v>
      </c>
      <c r="G73" s="74" t="s">
        <v>57</v>
      </c>
      <c r="H73" s="74"/>
      <c r="I73" s="74" t="b">
        <v>0</v>
      </c>
      <c r="J73" s="74" t="str">
        <f t="shared" si="15"/>
        <v>t-cs-chtweb-lb-bp</v>
      </c>
      <c r="K73" s="74"/>
      <c r="L73" s="74"/>
      <c r="M73" s="74"/>
      <c r="N73" s="74"/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/>
      <c r="C74" s="84" t="s">
        <v>205</v>
      </c>
      <c r="D74" s="84" t="s">
        <v>376</v>
      </c>
      <c r="E74" s="84"/>
      <c r="F74" s="84" t="str">
        <f t="shared" si="14"/>
        <v>t-cs-chtintweb-lb-fe</v>
      </c>
      <c r="G74" s="84" t="s">
        <v>57</v>
      </c>
      <c r="H74" s="84"/>
      <c r="I74" s="84" t="b">
        <v>0</v>
      </c>
      <c r="J74" s="84" t="str">
        <f t="shared" si="15"/>
        <v>t-cs-chtintweb-lb-bp</v>
      </c>
      <c r="K74" s="84"/>
      <c r="L74" s="84"/>
      <c r="M74" s="84"/>
      <c r="N74" s="84"/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205</v>
      </c>
      <c r="D75" s="74" t="s">
        <v>374</v>
      </c>
      <c r="E75" s="74"/>
      <c r="F75" s="74" t="str">
        <f t="shared" si="14"/>
        <v>t-cs-chtap-lb-fe</v>
      </c>
      <c r="G75" s="74" t="s">
        <v>57</v>
      </c>
      <c r="H75" s="74"/>
      <c r="I75" s="74" t="b">
        <v>0</v>
      </c>
      <c r="J75" s="74" t="str">
        <f t="shared" si="15"/>
        <v>t-cs-chtap-lb-bp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74" t="s">
        <v>182</v>
      </c>
      <c r="B76" s="74" t="str" cm="1">
        <f t="array" ref="B76">UPPER(INDEX(_xlfn.TEXTSPLIT($C76, "-"), 3))</f>
        <v>IF</v>
      </c>
      <c r="C76" s="74" t="s">
        <v>604</v>
      </c>
      <c r="D76" s="74" t="s">
        <v>605</v>
      </c>
      <c r="E76" s="74" t="str">
        <f t="shared" ref="E76:E83" si="16">SUBSTITUTE(D76, "hazr-", "")&amp;"-rule"&amp;N76</f>
        <v>t-if-auth-lb-rule8088</v>
      </c>
      <c r="F76" s="74" t="str">
        <f t="shared" si="14"/>
        <v>t-if-auth-lb-fe</v>
      </c>
      <c r="G76" s="74" t="s">
        <v>57</v>
      </c>
      <c r="H76" s="74">
        <v>8088</v>
      </c>
      <c r="I76" s="74" t="b">
        <v>0</v>
      </c>
      <c r="J76" s="74" t="str">
        <f t="shared" si="15"/>
        <v>t-if-auth-lb-bp</v>
      </c>
      <c r="K76" s="74">
        <v>8088</v>
      </c>
      <c r="L76" s="74" t="str">
        <f t="shared" ref="L76:L83" si="17">SUBSTITUTE(D76, "hazr-", "")&amp;"-pb"&amp;IF(N76="", "", N76)</f>
        <v>t-if-auth-lb-pb8088</v>
      </c>
      <c r="M76" s="74" t="s">
        <v>57</v>
      </c>
      <c r="N76" s="74">
        <v>8088</v>
      </c>
      <c r="O76" s="74">
        <v>4</v>
      </c>
      <c r="P76" s="74" t="s">
        <v>123</v>
      </c>
      <c r="Q76" s="74" t="b">
        <v>1</v>
      </c>
      <c r="R76" s="74" t="b">
        <v>0</v>
      </c>
    </row>
    <row r="77" spans="1:18" x14ac:dyDescent="0.3">
      <c r="A77" s="74" t="s">
        <v>182</v>
      </c>
      <c r="B77" s="74" t="str" cm="1">
        <f t="array" ref="B77">UPPER(INDEX(_xlfn.TEXTSPLIT($C77, "-"), 3))</f>
        <v>IF</v>
      </c>
      <c r="C77" s="74" t="s">
        <v>604</v>
      </c>
      <c r="D77" s="74" t="s">
        <v>605</v>
      </c>
      <c r="E77" s="74" t="str">
        <f t="shared" si="16"/>
        <v>t-if-auth-lb-rule9003</v>
      </c>
      <c r="F77" s="74" t="str">
        <f t="shared" si="14"/>
        <v>t-if-auth-lb-fe</v>
      </c>
      <c r="G77" s="74" t="s">
        <v>57</v>
      </c>
      <c r="H77" s="74">
        <v>9003</v>
      </c>
      <c r="I77" s="74" t="b">
        <v>0</v>
      </c>
      <c r="J77" s="74" t="str">
        <f t="shared" si="15"/>
        <v>t-if-auth-lb-bp</v>
      </c>
      <c r="K77" s="74">
        <v>9003</v>
      </c>
      <c r="L77" s="74" t="str">
        <f t="shared" si="17"/>
        <v>t-if-auth-lb-pb9003</v>
      </c>
      <c r="M77" s="74" t="s">
        <v>57</v>
      </c>
      <c r="N77" s="74">
        <v>9003</v>
      </c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74" t="s">
        <v>182</v>
      </c>
      <c r="B78" s="74" t="str" cm="1">
        <f t="array" ref="B78">UPPER(INDEX(_xlfn.TEXTSPLIT($C78, "-"), 3))</f>
        <v>IF</v>
      </c>
      <c r="C78" s="74" t="s">
        <v>604</v>
      </c>
      <c r="D78" s="74" t="s">
        <v>605</v>
      </c>
      <c r="E78" s="74" t="str">
        <f t="shared" si="16"/>
        <v>t-if-auth-lb-rule9005</v>
      </c>
      <c r="F78" s="74" t="str">
        <f t="shared" si="14"/>
        <v>t-if-auth-lb-fe</v>
      </c>
      <c r="G78" s="74" t="s">
        <v>57</v>
      </c>
      <c r="H78" s="74">
        <v>9005</v>
      </c>
      <c r="I78" s="74" t="b">
        <v>0</v>
      </c>
      <c r="J78" s="74" t="str">
        <f t="shared" si="15"/>
        <v>t-if-auth-lb-bp</v>
      </c>
      <c r="K78" s="74">
        <v>9005</v>
      </c>
      <c r="L78" s="74" t="str">
        <f t="shared" si="17"/>
        <v>t-if-auth-lb-pb9005</v>
      </c>
      <c r="M78" s="74" t="s">
        <v>57</v>
      </c>
      <c r="N78" s="74">
        <v>9005</v>
      </c>
      <c r="O78" s="74">
        <v>4</v>
      </c>
      <c r="P78" s="74" t="s">
        <v>123</v>
      </c>
      <c r="Q78" s="74" t="b">
        <v>1</v>
      </c>
      <c r="R78" s="7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BDP</v>
      </c>
      <c r="C79" s="84" t="s">
        <v>384</v>
      </c>
      <c r="D79" s="84" t="s">
        <v>367</v>
      </c>
      <c r="E79" s="84" t="str">
        <f t="shared" si="16"/>
        <v>t-bdp-slap-lb-rule443</v>
      </c>
      <c r="F79" s="84" t="str">
        <f t="shared" si="14"/>
        <v>t-bdp-slap-lb-fe</v>
      </c>
      <c r="G79" s="84" t="s">
        <v>57</v>
      </c>
      <c r="H79" s="84">
        <v>443</v>
      </c>
      <c r="I79" s="84" t="b">
        <v>0</v>
      </c>
      <c r="J79" s="84" t="str">
        <f t="shared" si="15"/>
        <v>t-bdp-slap-lb-bp</v>
      </c>
      <c r="K79" s="84">
        <v>443</v>
      </c>
      <c r="L79" s="84" t="str">
        <f t="shared" si="17"/>
        <v>t-bdp-slap-lb-pb443</v>
      </c>
      <c r="M79" s="84" t="s">
        <v>598</v>
      </c>
      <c r="N79" s="84">
        <v>443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BDP</v>
      </c>
      <c r="C80" s="74" t="s">
        <v>384</v>
      </c>
      <c r="D80" s="74" t="s">
        <v>366</v>
      </c>
      <c r="E80" s="74" t="str">
        <f t="shared" si="16"/>
        <v>t-bdp-cxmadm-lb-rule443</v>
      </c>
      <c r="F80" s="74" t="str">
        <f t="shared" si="14"/>
        <v>t-bdp-cxmadm-lb-fe</v>
      </c>
      <c r="G80" s="74" t="s">
        <v>57</v>
      </c>
      <c r="H80" s="74">
        <v>443</v>
      </c>
      <c r="I80" s="74" t="b">
        <v>0</v>
      </c>
      <c r="J80" s="74" t="str">
        <f t="shared" si="15"/>
        <v>t-bdp-cxmadm-lb-bp</v>
      </c>
      <c r="K80" s="74">
        <v>443</v>
      </c>
      <c r="L80" s="74" t="str">
        <f t="shared" si="17"/>
        <v>t-bdp-cxmadm-lb-pb443</v>
      </c>
      <c r="M80" s="74" t="s">
        <v>598</v>
      </c>
      <c r="N80" s="74">
        <v>443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84" t="s">
        <v>182</v>
      </c>
      <c r="B81" s="84" t="str" cm="1">
        <f t="array" ref="B81">UPPER(INDEX(_xlfn.TEXTSPLIT($C81, "-"), 3))</f>
        <v>BDP</v>
      </c>
      <c r="C81" s="84" t="s">
        <v>384</v>
      </c>
      <c r="D81" s="84" t="s">
        <v>380</v>
      </c>
      <c r="E81" s="84" t="str">
        <f t="shared" si="16"/>
        <v>t-bdp-crkweb-lb-rule443</v>
      </c>
      <c r="F81" s="84" t="str">
        <f t="shared" si="14"/>
        <v>t-bdp-crkweb-lb-fe</v>
      </c>
      <c r="G81" s="84" t="s">
        <v>57</v>
      </c>
      <c r="H81" s="84">
        <v>443</v>
      </c>
      <c r="I81" s="84" t="b">
        <v>0</v>
      </c>
      <c r="J81" s="84" t="str">
        <f t="shared" si="15"/>
        <v>t-bdp-crkweb-lb-bp</v>
      </c>
      <c r="K81" s="84">
        <v>443</v>
      </c>
      <c r="L81" s="84" t="str">
        <f t="shared" si="17"/>
        <v>t-bdp-crkweb-lb-pb443</v>
      </c>
      <c r="M81" s="84" t="s">
        <v>57</v>
      </c>
      <c r="N81" s="84">
        <v>443</v>
      </c>
      <c r="O81" s="84">
        <v>4</v>
      </c>
      <c r="P81" s="84" t="s">
        <v>123</v>
      </c>
      <c r="Q81" s="84" t="b">
        <v>1</v>
      </c>
      <c r="R81" s="8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BDP</v>
      </c>
      <c r="C82" s="74" t="s">
        <v>384</v>
      </c>
      <c r="D82" s="74" t="s">
        <v>382</v>
      </c>
      <c r="E82" s="74" t="str">
        <f t="shared" si="16"/>
        <v>t-bdp-crkml-lb-rule8082</v>
      </c>
      <c r="F82" s="74" t="str">
        <f t="shared" si="14"/>
        <v>t-bdp-crkml-lb-fe</v>
      </c>
      <c r="G82" s="74" t="s">
        <v>57</v>
      </c>
      <c r="H82" s="74">
        <v>8082</v>
      </c>
      <c r="I82" s="74" t="b">
        <v>0</v>
      </c>
      <c r="J82" s="74" t="str">
        <f t="shared" si="15"/>
        <v>t-bdp-crkml-lb-bp</v>
      </c>
      <c r="K82" s="74">
        <v>8082</v>
      </c>
      <c r="L82" s="74" t="str">
        <f t="shared" si="17"/>
        <v>t-bdp-crkml-lb-pb8082</v>
      </c>
      <c r="M82" s="74" t="s">
        <v>57</v>
      </c>
      <c r="N82" s="74">
        <v>8082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384</v>
      </c>
      <c r="D83" s="84" t="s">
        <v>381</v>
      </c>
      <c r="E83" s="84" t="str">
        <f t="shared" si="16"/>
        <v>t-bdp-crkap-lb-rule8085</v>
      </c>
      <c r="F83" s="84" t="str">
        <f t="shared" si="14"/>
        <v>t-bdp-crkap-lb-fe</v>
      </c>
      <c r="G83" s="84" t="s">
        <v>57</v>
      </c>
      <c r="H83" s="84">
        <v>8085</v>
      </c>
      <c r="I83" s="84" t="b">
        <v>0</v>
      </c>
      <c r="J83" s="84" t="str">
        <f t="shared" si="15"/>
        <v>t-bdp-crkap-lb-bp</v>
      </c>
      <c r="K83" s="84">
        <v>8085</v>
      </c>
      <c r="L83" s="84" t="str">
        <f t="shared" si="17"/>
        <v>t-bdp-crkap-lb-pb8085</v>
      </c>
      <c r="M83" s="84" t="s">
        <v>57</v>
      </c>
      <c r="N83" s="84">
        <v>8085</v>
      </c>
      <c r="O83" s="84">
        <v>4</v>
      </c>
      <c r="P83" s="84" t="s">
        <v>123</v>
      </c>
      <c r="Q83" s="84" t="b">
        <v>1</v>
      </c>
      <c r="R83" s="84" t="b">
        <v>0</v>
      </c>
    </row>
  </sheetData>
  <autoFilter ref="A1:R83" xr:uid="{A4BC862D-08E7-4593-9A34-4D2B508CF25B}">
    <sortState xmlns:xlrd2="http://schemas.microsoft.com/office/spreadsheetml/2017/richdata2" ref="A2:R48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2026-07-03T06:06:05Z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