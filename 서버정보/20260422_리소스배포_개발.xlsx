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5752B76-B730-41EC-A209-B50C404040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 a="1"/>
  <c r="C69" i="2" s="1"/>
  <c r="C70" i="2" a="1"/>
  <c r="C70" i="2" s="1"/>
  <c r="C71" i="2" a="1"/>
  <c r="C71" i="2"/>
  <c r="C72" i="2" a="1"/>
  <c r="C72" i="2" s="1"/>
  <c r="C73" i="2" a="1"/>
  <c r="C73" i="2" s="1"/>
  <c r="C74" i="2" a="1"/>
  <c r="C74" i="2" s="1"/>
  <c r="C75" i="2" a="1"/>
  <c r="C75" i="2"/>
  <c r="C76" i="2" a="1"/>
  <c r="C76" i="2" s="1"/>
  <c r="C77" i="2" a="1"/>
  <c r="C77" i="2" s="1"/>
  <c r="C78" i="2" a="1"/>
  <c r="C78" i="2" s="1"/>
  <c r="C79" i="2" a="1"/>
  <c r="C79" i="2"/>
  <c r="C80" i="2" a="1"/>
  <c r="C80" i="2" s="1"/>
  <c r="C81" i="2" a="1"/>
  <c r="C81" i="2" s="1"/>
  <c r="C82" i="2" a="1"/>
  <c r="C82" i="2" s="1"/>
  <c r="C83" i="2" a="1"/>
  <c r="C83" i="2"/>
  <c r="C84" i="2" a="1"/>
  <c r="C84" i="2" s="1"/>
  <c r="C85" i="2" a="1"/>
  <c r="C85" i="2" s="1"/>
  <c r="C68" i="2" a="1"/>
  <c r="C68" i="2" s="1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K6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  <c r="R56" i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<sst xmlns="http://schemas.openxmlformats.org/spreadsheetml/2006/main" count="2540" uniqueCount="441">
  <si>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</si>
  <si>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</si>
  <si>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</si>
  <si>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</si>
  <si>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</si>
  <si>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</si>
  <si>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</si>
  <si>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</si>
  <si>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</si>
  <si>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</si>
  <si>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</si>
  <si>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</si>
  <si>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</si>
  <si>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</si>
  <si>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</si>
  <si>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</si>
  <si>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</si>
  <si>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</si>
  <si>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</si>
  <si>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</si>
  <si>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</si>
  <si>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</si>
  <si>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</si>
  <si>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</si>
  <si>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</si>
  <si>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</si>
  <si>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</si>
  <si>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</si>
  <si>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</si>
  <si>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</si>
  <si>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</si>
  <si>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</si>
  <si>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</si>
  <si>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</si>
  <si>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</si>
  <si>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</si>
  <si>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</si>
  <si>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</si>
  <si>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</si>
  <si>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</si>
  <si>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</si>
  <si>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</si>
  <si>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</si>
  <si>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</si>
  <si>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</si>
  <si>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</si>
  <si>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</si>
  <si>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</si>
  <si>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</si>
  <si>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</si>
  <si>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</si>
  <si>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</si>
  <si>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</si>
  <si>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</si>
  <si>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</si>
  <si>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</si>
  <si>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</si>
  <si>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</si>
  <si>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</si>
  <si>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</si>
  <si>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</si>
  <si>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</si>
  <si>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</si>
  <si>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</si>
  <si>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</si>
  <si>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</si>
  <si>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</si>
  <si>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</si>
  <si>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</si>
  <si>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</si>
  <si>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</si>
  <si>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</si>
  <si>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</si>
  <si>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</si>
  <si>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</si>
  <si>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</si>
  <si>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</si>
  <si>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</si>
  <si>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</si>
  <si>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</si>
  <si>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</si>
  <si>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</si>
  <si>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</si>
  <si>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</si>
  <si>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</si>
  <si>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</si>
  <si>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</si>
  <si>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</si>
  <si>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</si>
  <si>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</si>
  <si>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</si>
  <si>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</si>
  <si>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</si>
  <si>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</si>
  <si>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</si>
  <si>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</si>
  <si>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</si>
  <si>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</si>
  <si>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</si>
  <si>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</si>
  <si>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</si>
  <si>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</si>
  <si>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</si>
  <si>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</si>
  <si>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</si>
  <si>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</si>
  <si>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</si>
  <si>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</si>
  <si>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</si>
  <si>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</si>
  <si>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</si>
  <si>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</si>
  <si>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</si>
  <si>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</si>
  <si>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</si>
  <si>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</si>
  <si>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</si>
  <si>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</si>
  <si>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</si>
  <si>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</si>
  <si>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</si>
  <si>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</si>
  <si>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</si>
  <si>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</si>
  <si>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</si>
  <si>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</si>
  <si>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</si>
  <si>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</si>
  <si>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</si>
  <si>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</si>
  <si>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</si>
  <si>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</si>
  <si>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</si>
  <si>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</si>
  <si>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</si>
  <si>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</si>
  <si>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</si>
  <si>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</si>
  <si>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</si>
  <si>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</si>
  <si>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</si>
  <si>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</si>
  <si>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</si>
  <si>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</si>
  <si>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</si>
  <si>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</si>
  <si>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</si>
  <si>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</si>
  <si>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</si>
  <si>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</si>
  <si>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</si>
  <si>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</si>
  <si>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</si>
  <si>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</si>
  <si>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</si>
  <si>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</si>
  <si>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</si>
  <si>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</si>
  <si>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</si>
  <si>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</si>
  <si>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</si>
  <si>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</si>
  <si>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</si>
  <si>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</si>
  <si>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</si>
  <si>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</si>
  <si>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</si>
  <si>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</si>
  <si>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</si>
  <si>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</si>
  <si>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</si>
  <si>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</si>
  <si>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</si>
  <si>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</si>
  <si>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</si>
  <si>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</si>
  <si>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</si>
  <si>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</si>
  <si>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</si>
  <si>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</si>
  <si>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</si>
  <si>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</si>
  <si>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</si>
  <si>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</si>
  <si>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</si>
  <si>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</si>
  <si>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</si>
  <si>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</si>
  <si>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</si>
  <si>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</si>
  <si>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</si>
  <si>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</si>
  <si>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</si>
  <si>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</si>
  <si>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</si>
  <si>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</si>
  <si>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</si>
  <si>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</si>
  <si>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</si>
  <si>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</si>
  <si>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</si>
  <si>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</si>
  <si>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</si>
  <si>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</si>
  <si>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</si>
  <si>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</si>
  <si>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</si>
  <si>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</si>
  <si>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</si>
  <si>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</si>
  <si>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</si>
  <si>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</si>
  <si>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</si>
  <si>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</si>
  <si>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</si>
  <si>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</si>
  <si>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</si>
  <si>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</si>
  <si>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</si>
  <si>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</si>
  <si>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</si>
  <si>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</si>
  <si>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</si>
  <si>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</si>
  <si>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</si>
  <si>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</si>
  <si>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</si>
  <si>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</si>
  <si>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</si>
  <si>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</si>
  <si>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</si>
  <si>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</si>
  <si>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</si>
  <si>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</si>
  <si>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</si>
  <si>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</si>
  <si>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</si>
  <si>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</si>
  <si>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</si>
  <si>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</si>
  <si>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</si>
  <si>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</si>
  <si>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</si>
  <si>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</si>
  <si>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</si>
  <si>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</si>
  <si>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</si>
  <si>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</si>
  <si>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</si>
  <si>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</si>
  <si>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</si>
  <si>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</si>
  <si>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</si>
  <si>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</si>
  <si>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</si>
  <si>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</si>
  <si>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</si>
  <si>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</si>
  <si>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</si>
  <si>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</si>
  <si>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</si>
  <si>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</si>
  <si>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</si>
  <si>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</si>
  <si>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</si>
  <si>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</si>
  <si>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</si>
  <si>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</si>
  <si>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</si>
  <si>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</si>
  <si>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</si>
  <si>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</si>
  <si>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</si>
  <si>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</si>
  <si>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</si>
  <si>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</si>
  <si>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</si>
  <si>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</si>
  <si>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</si>
  <si>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</si>
  <si>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</si>
  <si>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</si>
  <si>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</si>
  <si>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</si>
  <si>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</si>
  <si>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</si>
  <si>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</si>
  <si>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</si>
  <si>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</si>
  <si>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</si>
  <si>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</si>
  <si>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</si>
  <si>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</si>
  <si>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</si>
  <si>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</si>
  <si>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</si>
  <si>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</si>
  <si>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</si>
  <si>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</si>
  <si>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</si>
  <si>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</si>
  <si>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</si>
  <si>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</si>
  <si>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</si>
  <si>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</si>
  <si>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</si>
  <si>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</si>
  <si>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</si>
  <si>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</si>
  <si>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</si>
  <si>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</si>
  <si>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</si>
  <si>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</si>
  <si>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</si>
  <si>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</si>
  <si>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</si>
  <si>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</si>
  <si>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</si>
  <si>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</si>
  <si>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</si>
  <si>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</si>
  <si>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</si>
  <si>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</si>
  <si>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</si>
  <si>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</si>
  <si>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</si>
  <si>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</si>
  <si>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</si>
  <si>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</si>
  <si>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</si>
  <si>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</si>
  <si>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</si>
  <si>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</si>
  <si>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</si>
  <si>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</si>
  <si>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</si>
  <si>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</si>
  <si>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</si>
  <si>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</si>
  <si>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</si>
  <si>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</si>
  <si>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</si>
  <si>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</si>
  <si>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</si>
  <si>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</si>
  <si>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</si>
  <si>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</si>
  <si>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</si>
  <si>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</si>
  <si>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</si>
  <si>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</si>
  <si>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</si>
  <si>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</si>
  <si>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</si>
  <si>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</si>
  <si>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</si>
  <si>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</si>
  <si>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</si>
  <si>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</si>
  <si>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</si>
  <si>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</si>
  <si>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</si>
  <si>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</si>
  <si>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</si>
  <si>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</si>
  <si>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</si>
  <si>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</si>
  <si>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</si>
  <si>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</si>
  <si>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</si>
  <si>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</si>
  <si>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</si>
  <si>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</si>
  <si>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</si>
  <si>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</si>
  <si>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</si>
  <si>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</si>
  <si>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</si>
  <si>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</si>
  <si>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</si>
  <si>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</si>
  <si>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</si>
  <si>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</si>
  <si>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</si>
  <si>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</si>
  <si>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</si>
  <si>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</si>
  <si>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</si>
  <si>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</si>
  <si>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</si>
  <si>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</si>
  <si>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</si>
  <si>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</si>
  <si>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</si>
  <si>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</si>
  <si>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</si>
  <si>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</si>
  <si>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</si>
  <si>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</si>
  <si>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</si>
  <si>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</si>
  <si>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</si>
  <si>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</si>
  <si>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</si>
  <si>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</si>
  <si>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</si>
  <si>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</si>
  <si>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</si>
  <si>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</si>
  <si>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</si>
  <si>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</si>
  <si>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</si>
  <si>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</si>
  <si>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</si>
  <si>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</si>
  <si>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</si>
  <si>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</si>
  <si>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</si>
  <si>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</si>
  <si>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</si>
  <si>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</si>
  <si>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</si>
  <si>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</si>
  <si>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</si>
  <si>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</si>
  <si>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</si>
  <si>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</si>
  <si>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</si>
  <si>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</si>
  <si>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</si>
  <si>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</si>
  <si>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</si>
  <si>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</si>
  <si>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</si>
  <si>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</si>
  <si>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</si>
  <si>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</si>
  <si>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</si>
  <si>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d-cs-db-sbn</t>
  </si>
  <si>
    <t>d-cs-pe-sbn</t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</si>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</sst>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2" dataDxfId="31">
  <autoFilter ref="B1:AF6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tabSelected="1"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7"/>
  <sheetViews>
    <sheetView topLeftCell="A31" zoomScaleNormal="100" zoomScaleSheetLayoutView="100" workbookViewId="0">
      <selection activeCell="D19" sqref="D19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 t="shared" ref="U63:U67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7"/>
  <sheetViews>
    <sheetView topLeftCell="A31" workbookViewId="0"/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5"/>
  </sheetPr>
  <dimension ref="B1:L85"/>
  <sheetViews>
    <sheetView topLeftCell="B1" zoomScale="98" workbookViewId="0">
      <selection activeCell="B1" sqref="B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2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422</v>
      </c>
      <c r="K1" s="31" t="s">
        <v>26</v>
      </c>
      <c r="L1" s="31" t="s">
        <v>29</v>
      </c>
    </row>
    <row r="2" spans="2:12" x14ac:dyDescent="0.3"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403</v>
      </c>
    </row>
    <row r="3" spans="2:12" x14ac:dyDescent="0.3"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377</v>
      </c>
      <c r="J3" s="17" t="s">
        <v>52</v>
      </c>
      <c r="K3" s="35" t="str">
        <f>SUBSTITUTE($I3,"hazr-","")&amp;"-nic"</f>
        <v>d-dis-adm01-nic</v>
      </c>
      <c r="L3" s="37" t="s">
        <v>403</v>
      </c>
    </row>
    <row r="4" spans="2:12" x14ac:dyDescent="0.3"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378</v>
      </c>
      <c r="J4" s="16" t="s">
        <v>52</v>
      </c>
      <c r="K4" s="33" t="str">
        <f t="shared" ref="K4:K67" si="1">SUBSTITUTE($I4,"hazr-","")&amp;"-nic"</f>
        <v>d-dis-bbiweb01-nic</v>
      </c>
      <c r="L4" s="34" t="s">
        <v>403</v>
      </c>
    </row>
    <row r="5" spans="2:12" x14ac:dyDescent="0.3"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407</v>
      </c>
      <c r="J5" s="17" t="s">
        <v>52</v>
      </c>
      <c r="K5" s="35" t="str">
        <f t="shared" si="1"/>
        <v>d-dis-bbicltap01-nic</v>
      </c>
      <c r="L5" s="37" t="s">
        <v>403</v>
      </c>
    </row>
    <row r="6" spans="2:12" x14ac:dyDescent="0.3"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16" t="s">
        <v>52</v>
      </c>
      <c r="K6" s="33" t="str">
        <f t="shared" si="1"/>
        <v>d-dis-bbimsgap01-nic</v>
      </c>
      <c r="L6" s="34" t="s">
        <v>403</v>
      </c>
    </row>
    <row r="7" spans="2:12" x14ac:dyDescent="0.3"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408</v>
      </c>
      <c r="J7" s="17" t="s">
        <v>52</v>
      </c>
      <c r="K7" s="35" t="str">
        <f t="shared" si="1"/>
        <v>d-dis-walkap01-nic</v>
      </c>
      <c r="L7" s="37" t="s">
        <v>403</v>
      </c>
    </row>
    <row r="8" spans="2:12" x14ac:dyDescent="0.3"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16" t="s">
        <v>52</v>
      </c>
      <c r="K8" s="33" t="str">
        <f t="shared" si="1"/>
        <v>d-dis-bat01-nic</v>
      </c>
      <c r="L8" s="34" t="s">
        <v>403</v>
      </c>
    </row>
    <row r="9" spans="2:12" x14ac:dyDescent="0.3"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381</v>
      </c>
      <c r="J9" s="17" t="s">
        <v>52</v>
      </c>
      <c r="K9" s="35" t="str">
        <f t="shared" si="1"/>
        <v>d-dis-drvcltap01-nic</v>
      </c>
      <c r="L9" s="37" t="s">
        <v>403</v>
      </c>
    </row>
    <row r="10" spans="2:12" x14ac:dyDescent="0.3"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16" t="s">
        <v>52</v>
      </c>
      <c r="K10" s="33" t="str">
        <f t="shared" si="1"/>
        <v>d-dis-walkweb01-nic</v>
      </c>
      <c r="L10" s="34" t="s">
        <v>403</v>
      </c>
    </row>
    <row r="11" spans="2:12" x14ac:dyDescent="0.3"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409</v>
      </c>
      <c r="J11" s="17" t="s">
        <v>52</v>
      </c>
      <c r="K11" s="35" t="str">
        <f t="shared" si="1"/>
        <v>d-dis-drvmsgap01-nic</v>
      </c>
      <c r="L11" s="37" t="s">
        <v>403</v>
      </c>
    </row>
    <row r="12" spans="2:12" x14ac:dyDescent="0.3"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382</v>
      </c>
      <c r="J12" s="16" t="s">
        <v>52</v>
      </c>
      <c r="K12" s="33" t="str">
        <f t="shared" si="1"/>
        <v>d-dis-web01-nic</v>
      </c>
      <c r="L12" s="34" t="s">
        <v>403</v>
      </c>
    </row>
    <row r="13" spans="2:12" x14ac:dyDescent="0.3"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383</v>
      </c>
      <c r="J13" s="17" t="s">
        <v>52</v>
      </c>
      <c r="K13" s="35" t="str">
        <f t="shared" si="1"/>
        <v>d-dis-cmsadm01-nic</v>
      </c>
      <c r="L13" s="37" t="s">
        <v>403</v>
      </c>
    </row>
    <row r="14" spans="2:12" x14ac:dyDescent="0.3"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16" t="s">
        <v>52</v>
      </c>
      <c r="K14" s="33" t="str">
        <f t="shared" si="1"/>
        <v>d-dis-cmsap01-nic</v>
      </c>
      <c r="L14" s="34" t="s">
        <v>403</v>
      </c>
    </row>
    <row r="15" spans="2:12" x14ac:dyDescent="0.3"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380</v>
      </c>
      <c r="J15" s="17" t="s">
        <v>52</v>
      </c>
      <c r="K15" s="35" t="str">
        <f t="shared" si="1"/>
        <v>d-dis-cmsweb01-nic</v>
      </c>
      <c r="L15" s="37" t="s">
        <v>403</v>
      </c>
    </row>
    <row r="16" spans="2:12" x14ac:dyDescent="0.3"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402</v>
      </c>
      <c r="J16" s="16" t="s">
        <v>52</v>
      </c>
      <c r="K16" s="33" t="str">
        <f t="shared" si="1"/>
        <v>d-dis-cmbsap01-nic</v>
      </c>
      <c r="L16" s="34" t="s">
        <v>403</v>
      </c>
    </row>
    <row r="17" spans="2:12" x14ac:dyDescent="0.3"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410</v>
      </c>
      <c r="J17" s="17" t="s">
        <v>54</v>
      </c>
      <c r="K17" s="35" t="str">
        <f t="shared" si="1"/>
        <v>d-dtg-ingap01-nic</v>
      </c>
      <c r="L17" s="37" t="s">
        <v>403</v>
      </c>
    </row>
    <row r="18" spans="2:12" x14ac:dyDescent="0.3"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16" t="s">
        <v>54</v>
      </c>
      <c r="K18" s="33" t="str">
        <f t="shared" si="1"/>
        <v>d-dtg-ap01-nic</v>
      </c>
      <c r="L18" s="34" t="s">
        <v>403</v>
      </c>
    </row>
    <row r="19" spans="2:12" x14ac:dyDescent="0.3"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411</v>
      </c>
      <c r="J19" s="17" t="s">
        <v>54</v>
      </c>
      <c r="K19" s="35" t="str">
        <f t="shared" si="1"/>
        <v>d-dtg-extgeoap01-nic</v>
      </c>
      <c r="L19" s="37" t="s">
        <v>403</v>
      </c>
    </row>
    <row r="20" spans="2:12" x14ac:dyDescent="0.3"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16" t="s">
        <v>54</v>
      </c>
      <c r="K20" s="33" t="str">
        <f t="shared" si="1"/>
        <v>d-dtg-geoap01-nic</v>
      </c>
      <c r="L20" s="34" t="s">
        <v>403</v>
      </c>
    </row>
    <row r="21" spans="2:12" x14ac:dyDescent="0.3"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412</v>
      </c>
      <c r="J21" s="17" t="s">
        <v>54</v>
      </c>
      <c r="K21" s="35" t="str">
        <f t="shared" si="1"/>
        <v>d-dtg-mq01-nic</v>
      </c>
      <c r="L21" s="37" t="s">
        <v>403</v>
      </c>
    </row>
    <row r="22" spans="2:12" x14ac:dyDescent="0.3"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384</v>
      </c>
      <c r="J22" s="16" t="s">
        <v>54</v>
      </c>
      <c r="K22" s="33" t="str">
        <f t="shared" si="1"/>
        <v>d-dtg-admweb01-nic</v>
      </c>
      <c r="L22" s="34" t="s">
        <v>403</v>
      </c>
    </row>
    <row r="23" spans="2:12" x14ac:dyDescent="0.3"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385</v>
      </c>
      <c r="J23" s="17" t="s">
        <v>54</v>
      </c>
      <c r="K23" s="35" t="str">
        <f t="shared" si="1"/>
        <v>d-dtg-admap01-nic</v>
      </c>
      <c r="L23" s="37" t="s">
        <v>403</v>
      </c>
    </row>
    <row r="24" spans="2:12" x14ac:dyDescent="0.3"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16" t="s">
        <v>54</v>
      </c>
      <c r="K24" s="33" t="str">
        <f t="shared" si="1"/>
        <v>d-dtg-dtoms01-nic</v>
      </c>
      <c r="L24" s="34" t="s">
        <v>403</v>
      </c>
    </row>
    <row r="25" spans="2:12" x14ac:dyDescent="0.3"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386</v>
      </c>
      <c r="J25" s="17" t="s">
        <v>54</v>
      </c>
      <c r="K25" s="35" t="str">
        <f t="shared" si="1"/>
        <v>d-dtg-tsdb01-nic</v>
      </c>
      <c r="L25" s="37" t="s">
        <v>403</v>
      </c>
    </row>
    <row r="26" spans="2:12" x14ac:dyDescent="0.3"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387</v>
      </c>
      <c r="J26" s="16" t="s">
        <v>54</v>
      </c>
      <c r="K26" s="33" t="str">
        <f t="shared" si="1"/>
        <v>d-dtg-web01-nic</v>
      </c>
      <c r="L26" s="34" t="s">
        <v>403</v>
      </c>
    </row>
    <row r="27" spans="2:12" x14ac:dyDescent="0.3"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413</v>
      </c>
      <c r="J27" s="17" t="s">
        <v>54</v>
      </c>
      <c r="K27" s="35" t="str">
        <f t="shared" si="1"/>
        <v>d-dtg-zkp01-nic</v>
      </c>
      <c r="L27" s="37" t="s">
        <v>403</v>
      </c>
    </row>
    <row r="28" spans="2:12" x14ac:dyDescent="0.3"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16" t="s">
        <v>54</v>
      </c>
      <c r="K28" s="33" t="str">
        <f t="shared" si="1"/>
        <v>d-dtg-zkp02-nic</v>
      </c>
      <c r="L28" s="34" t="s">
        <v>403</v>
      </c>
    </row>
    <row r="29" spans="2:12" x14ac:dyDescent="0.3"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414</v>
      </c>
      <c r="J29" s="17" t="s">
        <v>54</v>
      </c>
      <c r="K29" s="35" t="str">
        <f t="shared" si="1"/>
        <v>d-dtg-zkp03-nic</v>
      </c>
      <c r="L29" s="37" t="s">
        <v>403</v>
      </c>
    </row>
    <row r="30" spans="2:12" x14ac:dyDescent="0.3"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16" t="s">
        <v>54</v>
      </c>
      <c r="K30" s="33" t="str">
        <f t="shared" si="1"/>
        <v>d-dtg-kfk01-nic</v>
      </c>
      <c r="L30" s="34" t="s">
        <v>403</v>
      </c>
    </row>
    <row r="31" spans="2:12" x14ac:dyDescent="0.3"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415</v>
      </c>
      <c r="J31" s="17" t="s">
        <v>54</v>
      </c>
      <c r="K31" s="35" t="str">
        <f t="shared" si="1"/>
        <v>d-dtg-kfk02-nic</v>
      </c>
      <c r="L31" s="37" t="s">
        <v>403</v>
      </c>
    </row>
    <row r="32" spans="2:12" x14ac:dyDescent="0.3"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16" t="s">
        <v>54</v>
      </c>
      <c r="K32" s="33" t="str">
        <f t="shared" si="1"/>
        <v>d-dtg-kfk03-nic</v>
      </c>
      <c r="L32" s="34" t="s">
        <v>403</v>
      </c>
    </row>
    <row r="33" spans="2:12" x14ac:dyDescent="0.3"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388</v>
      </c>
      <c r="J33" s="17" t="s">
        <v>54</v>
      </c>
      <c r="K33" s="35" t="str">
        <f t="shared" si="1"/>
        <v>d-dtg-mdoms01-nic</v>
      </c>
      <c r="L33" s="37" t="s">
        <v>403</v>
      </c>
    </row>
    <row r="34" spans="2:12" x14ac:dyDescent="0.3"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16" t="s">
        <v>54</v>
      </c>
      <c r="K34" s="33" t="str">
        <f t="shared" si="1"/>
        <v>d-dtg-cdmlap01-nic</v>
      </c>
      <c r="L34" s="34" t="s">
        <v>403</v>
      </c>
    </row>
    <row r="35" spans="2:12" x14ac:dyDescent="0.3"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416</v>
      </c>
      <c r="J35" s="17" t="s">
        <v>54</v>
      </c>
      <c r="K35" s="35" t="str">
        <f t="shared" si="1"/>
        <v>d-dtg-cdstap01-nic</v>
      </c>
      <c r="L35" s="37" t="s">
        <v>403</v>
      </c>
    </row>
    <row r="36" spans="2:12" x14ac:dyDescent="0.3"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373</v>
      </c>
      <c r="J36" s="16" t="s">
        <v>54</v>
      </c>
      <c r="K36" s="33" t="str">
        <f t="shared" si="1"/>
        <v>d-dtg-cdsvadm01-nic</v>
      </c>
      <c r="L36" s="34" t="s">
        <v>403</v>
      </c>
    </row>
    <row r="37" spans="2:12" x14ac:dyDescent="0.3"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417</v>
      </c>
      <c r="J37" s="17" t="s">
        <v>54</v>
      </c>
      <c r="K37" s="35" t="str">
        <f t="shared" si="1"/>
        <v>d-dtg-diosap01-nic</v>
      </c>
      <c r="L37" s="37" t="s">
        <v>403</v>
      </c>
    </row>
    <row r="38" spans="2:12" x14ac:dyDescent="0.3"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389</v>
      </c>
      <c r="J38" s="16" t="s">
        <v>54</v>
      </c>
      <c r="K38" s="33" t="str">
        <f t="shared" si="1"/>
        <v>d-dtg-diosweb01-nic</v>
      </c>
      <c r="L38" s="34" t="s">
        <v>403</v>
      </c>
    </row>
    <row r="39" spans="2:12" x14ac:dyDescent="0.3"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390</v>
      </c>
      <c r="J39" s="17" t="s">
        <v>54</v>
      </c>
      <c r="K39" s="35" t="str">
        <f t="shared" si="1"/>
        <v>d-dtg-dprweb01-nic</v>
      </c>
      <c r="L39" s="37" t="s">
        <v>403</v>
      </c>
    </row>
    <row r="40" spans="2:12" x14ac:dyDescent="0.3"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7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16" t="s">
        <v>54</v>
      </c>
      <c r="K40" s="33" t="str">
        <f t="shared" si="1"/>
        <v>d-dtg-dprap01-nic</v>
      </c>
      <c r="L40" s="34" t="s">
        <v>403</v>
      </c>
    </row>
    <row r="41" spans="2:12" x14ac:dyDescent="0.3"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391</v>
      </c>
      <c r="J41" s="17" t="s">
        <v>184</v>
      </c>
      <c r="K41" s="35" t="str">
        <f t="shared" si="1"/>
        <v>d-bdp-airfw01-nic</v>
      </c>
      <c r="L41" s="37" t="s">
        <v>403</v>
      </c>
    </row>
    <row r="42" spans="2:12" x14ac:dyDescent="0.3"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392</v>
      </c>
      <c r="J42" s="16" t="s">
        <v>184</v>
      </c>
      <c r="K42" s="33" t="str">
        <f t="shared" si="1"/>
        <v>d-bdp-kepler01-nic</v>
      </c>
      <c r="L42" s="34" t="s">
        <v>403</v>
      </c>
    </row>
    <row r="43" spans="2:12" x14ac:dyDescent="0.3"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374</v>
      </c>
      <c r="J43" s="17" t="s">
        <v>184</v>
      </c>
      <c r="K43" s="35" t="str">
        <f t="shared" si="1"/>
        <v>d-bdp-cxmadm01-nic</v>
      </c>
      <c r="L43" s="37" t="s">
        <v>403</v>
      </c>
    </row>
    <row r="44" spans="2:12" x14ac:dyDescent="0.3"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393</v>
      </c>
      <c r="J44" s="16" t="s">
        <v>184</v>
      </c>
      <c r="K44" s="33" t="str">
        <f t="shared" si="1"/>
        <v>d-bdp-slap01-nic</v>
      </c>
      <c r="L44" s="34" t="s">
        <v>403</v>
      </c>
    </row>
    <row r="45" spans="2:12" x14ac:dyDescent="0.3"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421</v>
      </c>
      <c r="I45" s="24" t="s">
        <v>394</v>
      </c>
      <c r="J45" s="17" t="s">
        <v>338</v>
      </c>
      <c r="K45" s="35" t="str">
        <f t="shared" si="1"/>
        <v>d-dip-adm01-nic</v>
      </c>
      <c r="L45" s="37" t="s">
        <v>403</v>
      </c>
    </row>
    <row r="46" spans="2:12" x14ac:dyDescent="0.3"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421</v>
      </c>
      <c r="I46" s="22" t="s">
        <v>395</v>
      </c>
      <c r="J46" s="16" t="s">
        <v>338</v>
      </c>
      <c r="K46" s="33" t="str">
        <f t="shared" si="1"/>
        <v>d-dip-ap01-nic</v>
      </c>
      <c r="L46" s="34" t="s">
        <v>403</v>
      </c>
    </row>
    <row r="47" spans="2:12" x14ac:dyDescent="0.3"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421</v>
      </c>
      <c r="I47" s="24" t="s">
        <v>418</v>
      </c>
      <c r="J47" s="17" t="s">
        <v>338</v>
      </c>
      <c r="K47" s="35" t="str">
        <f t="shared" si="1"/>
        <v>d-dip-flk01-nic</v>
      </c>
      <c r="L47" s="37" t="s">
        <v>403</v>
      </c>
    </row>
    <row r="48" spans="2:12" x14ac:dyDescent="0.3"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421</v>
      </c>
      <c r="I48" s="22" t="s">
        <v>293</v>
      </c>
      <c r="J48" s="16" t="s">
        <v>338</v>
      </c>
      <c r="K48" s="33" t="str">
        <f t="shared" si="1"/>
        <v>d-dip-flk02-nic</v>
      </c>
      <c r="L48" s="34" t="s">
        <v>403</v>
      </c>
    </row>
    <row r="49" spans="2:12" x14ac:dyDescent="0.3"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421</v>
      </c>
      <c r="I49" s="24" t="s">
        <v>419</v>
      </c>
      <c r="J49" s="17" t="s">
        <v>338</v>
      </c>
      <c r="K49" s="35" t="str">
        <f t="shared" si="1"/>
        <v>d-dip-flk03-nic</v>
      </c>
      <c r="L49" s="37" t="s">
        <v>403</v>
      </c>
    </row>
    <row r="50" spans="2:12" x14ac:dyDescent="0.3"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421</v>
      </c>
      <c r="I50" s="22" t="s">
        <v>297</v>
      </c>
      <c r="J50" s="16" t="s">
        <v>338</v>
      </c>
      <c r="K50" s="33" t="str">
        <f t="shared" si="1"/>
        <v>d-dip-geoap01-nic</v>
      </c>
      <c r="L50" s="34" t="s">
        <v>403</v>
      </c>
    </row>
    <row r="51" spans="2:12" x14ac:dyDescent="0.3"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421</v>
      </c>
      <c r="I51" s="24" t="s">
        <v>420</v>
      </c>
      <c r="J51" s="17" t="s">
        <v>338</v>
      </c>
      <c r="K51" s="35" t="str">
        <f t="shared" si="1"/>
        <v>d-dip-kfk01-nic</v>
      </c>
      <c r="L51" s="37" t="s">
        <v>403</v>
      </c>
    </row>
    <row r="52" spans="2:12" x14ac:dyDescent="0.3"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421</v>
      </c>
      <c r="I52" s="22" t="s">
        <v>339</v>
      </c>
      <c r="J52" s="16" t="s">
        <v>338</v>
      </c>
      <c r="K52" s="33" t="str">
        <f t="shared" si="1"/>
        <v>d-dip-kfk02-nic</v>
      </c>
      <c r="L52" s="34" t="s">
        <v>403</v>
      </c>
    </row>
    <row r="53" spans="2:12" x14ac:dyDescent="0.3"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421</v>
      </c>
      <c r="I53" s="24" t="s">
        <v>340</v>
      </c>
      <c r="J53" s="17" t="s">
        <v>338</v>
      </c>
      <c r="K53" s="35" t="str">
        <f t="shared" si="1"/>
        <v>d-dip-kfk03-nic</v>
      </c>
      <c r="L53" s="37" t="s">
        <v>403</v>
      </c>
    </row>
    <row r="54" spans="2:12" x14ac:dyDescent="0.3"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421</v>
      </c>
      <c r="I54" s="22" t="s">
        <v>303</v>
      </c>
      <c r="J54" s="16" t="s">
        <v>338</v>
      </c>
      <c r="K54" s="33" t="str">
        <f t="shared" si="1"/>
        <v>d-dip-mqap01-nic</v>
      </c>
      <c r="L54" s="34" t="s">
        <v>403</v>
      </c>
    </row>
    <row r="55" spans="2:12" x14ac:dyDescent="0.3"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421</v>
      </c>
      <c r="I55" s="24" t="s">
        <v>396</v>
      </c>
      <c r="J55" s="17" t="s">
        <v>338</v>
      </c>
      <c r="K55" s="35" t="str">
        <f t="shared" si="1"/>
        <v>d-dip-mqweb01-nic</v>
      </c>
      <c r="L55" s="37" t="s">
        <v>403</v>
      </c>
    </row>
    <row r="56" spans="2:12" x14ac:dyDescent="0.3"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421</v>
      </c>
      <c r="I56" s="22" t="s">
        <v>397</v>
      </c>
      <c r="J56" s="16" t="s">
        <v>338</v>
      </c>
      <c r="K56" s="33" t="str">
        <f t="shared" si="1"/>
        <v>d-dip-oms01-nic</v>
      </c>
      <c r="L56" s="34" t="s">
        <v>403</v>
      </c>
    </row>
    <row r="57" spans="2:12" x14ac:dyDescent="0.3"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421</v>
      </c>
      <c r="I57" s="24" t="s">
        <v>398</v>
      </c>
      <c r="J57" s="17" t="s">
        <v>338</v>
      </c>
      <c r="K57" s="35" t="str">
        <f t="shared" si="1"/>
        <v>d-dip-web01-nic</v>
      </c>
      <c r="L57" s="37" t="s">
        <v>403</v>
      </c>
    </row>
    <row r="58" spans="2:12" x14ac:dyDescent="0.3"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 t="s">
        <v>160</v>
      </c>
      <c r="I58" s="22" t="s">
        <v>399</v>
      </c>
      <c r="J58" s="16" t="s">
        <v>50</v>
      </c>
      <c r="K58" s="33" t="str">
        <f t="shared" si="1"/>
        <v>d-com-auth01-nic</v>
      </c>
      <c r="L58" s="34" t="s">
        <v>403</v>
      </c>
    </row>
    <row r="59" spans="2:12" x14ac:dyDescent="0.3"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 t="s">
        <v>82</v>
      </c>
      <c r="I59" s="24" t="s">
        <v>400</v>
      </c>
      <c r="J59" s="17" t="s">
        <v>50</v>
      </c>
      <c r="K59" s="35" t="str">
        <f t="shared" si="1"/>
        <v>d-com-proxy01-nic</v>
      </c>
      <c r="L59" s="37" t="s">
        <v>403</v>
      </c>
    </row>
    <row r="60" spans="2:12" x14ac:dyDescent="0.3"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319</v>
      </c>
      <c r="J60" s="16" t="s">
        <v>55</v>
      </c>
      <c r="K60" s="33" t="str">
        <f t="shared" si="1"/>
        <v>d-if-gramon01-nic</v>
      </c>
      <c r="L60" s="34" t="s">
        <v>403</v>
      </c>
    </row>
    <row r="61" spans="2:12" x14ac:dyDescent="0.3"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404</v>
      </c>
      <c r="J61" s="17" t="s">
        <v>53</v>
      </c>
      <c r="K61" s="35" t="str">
        <f t="shared" si="1"/>
        <v>d-doip-web01-nic</v>
      </c>
      <c r="L61" s="37" t="s">
        <v>403</v>
      </c>
    </row>
    <row r="62" spans="2:12" x14ac:dyDescent="0.3"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326</v>
      </c>
      <c r="J62" s="16" t="s">
        <v>53</v>
      </c>
      <c r="K62" s="33" t="str">
        <f t="shared" si="1"/>
        <v>d-doip-ap01-nic</v>
      </c>
      <c r="L62" s="34" t="s">
        <v>403</v>
      </c>
    </row>
    <row r="63" spans="2:12" x14ac:dyDescent="0.3"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405</v>
      </c>
      <c r="J63" s="17" t="s">
        <v>53</v>
      </c>
      <c r="K63" s="35" t="str">
        <f t="shared" si="1"/>
        <v>d-doip-adm01-nic</v>
      </c>
      <c r="L63" s="37" t="s">
        <v>403</v>
      </c>
    </row>
    <row r="64" spans="2:12" x14ac:dyDescent="0.3"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401</v>
      </c>
      <c r="J64" s="16" t="s">
        <v>184</v>
      </c>
      <c r="K64" s="33" t="str">
        <f t="shared" si="1"/>
        <v>d-bdp-crkweb01-nic</v>
      </c>
      <c r="L64" s="34" t="s">
        <v>403</v>
      </c>
    </row>
    <row r="65" spans="2:12" x14ac:dyDescent="0.3"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372</v>
      </c>
      <c r="J65" s="17" t="s">
        <v>184</v>
      </c>
      <c r="K65" s="35" t="str">
        <f t="shared" si="1"/>
        <v>d-bdp-crkap01-nic</v>
      </c>
      <c r="L65" s="37" t="s">
        <v>403</v>
      </c>
    </row>
    <row r="66" spans="2:12" x14ac:dyDescent="0.3"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335</v>
      </c>
      <c r="J66" s="16" t="s">
        <v>184</v>
      </c>
      <c r="K66" s="33" t="str">
        <f t="shared" si="1"/>
        <v>d-bdp-crkml01-nic</v>
      </c>
      <c r="L66" s="34" t="s">
        <v>403</v>
      </c>
    </row>
    <row r="67" spans="2:12" x14ac:dyDescent="0.3"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406</v>
      </c>
      <c r="J67" s="17" t="s">
        <v>52</v>
      </c>
      <c r="K67" s="35" t="str">
        <f t="shared" si="1"/>
        <v>d-dis-dfir01-nic</v>
      </c>
      <c r="L67" s="37" t="s">
        <v>403</v>
      </c>
    </row>
    <row r="68" spans="2:12" x14ac:dyDescent="0.3">
      <c r="B68" s="36" t="s">
        <v>31</v>
      </c>
      <c r="C68" s="33" t="str" cm="1">
        <f t="array" ref="C68">UPPER(INDEX(_xlfn.TEXTSPLIT($E68, "-"), 2))</f>
        <v>DIS</v>
      </c>
      <c r="D68" s="33" t="s">
        <v>49</v>
      </c>
      <c r="E68" s="33" t="str">
        <f>SUBSTITUTE(H68,"-sbn","")&amp;"-nsg"</f>
        <v>d-dis-db-nsg</v>
      </c>
      <c r="F68" s="33" t="s">
        <v>49</v>
      </c>
      <c r="G68" s="33" t="s">
        <v>188</v>
      </c>
      <c r="H68" s="33" t="s">
        <v>423</v>
      </c>
      <c r="I68" s="33"/>
      <c r="J68" s="33"/>
      <c r="K68" s="33"/>
      <c r="L68" s="33" t="s">
        <v>440</v>
      </c>
    </row>
    <row r="69" spans="2:12" x14ac:dyDescent="0.3">
      <c r="B69" s="35" t="s">
        <v>31</v>
      </c>
      <c r="C69" s="35" t="str" cm="1">
        <f t="array" ref="C69">UPPER(INDEX(_xlfn.TEXTSPLIT($E69, "-"), 2))</f>
        <v>DIS</v>
      </c>
      <c r="D69" s="35" t="s">
        <v>49</v>
      </c>
      <c r="E69" s="35" t="str">
        <f t="shared" ref="E69:E85" si="3">SUBSTITUTE(H69,"-sbn","")&amp;"-nsg"</f>
        <v>d-dis-pe-nsg</v>
      </c>
      <c r="F69" s="35" t="s">
        <v>49</v>
      </c>
      <c r="G69" s="35" t="s">
        <v>188</v>
      </c>
      <c r="H69" s="35" t="s">
        <v>424</v>
      </c>
      <c r="I69" s="35"/>
      <c r="J69" s="35"/>
      <c r="K69" s="35"/>
      <c r="L69" s="35" t="s">
        <v>440</v>
      </c>
    </row>
    <row r="70" spans="2:12" x14ac:dyDescent="0.3">
      <c r="B70" s="36" t="s">
        <v>31</v>
      </c>
      <c r="C70" s="36" t="str" cm="1">
        <f t="array" ref="C70">UPPER(INDEX(_xlfn.TEXTSPLIT($E70, "-"), 2))</f>
        <v>PULS</v>
      </c>
      <c r="D70" s="33" t="s">
        <v>49</v>
      </c>
      <c r="E70" s="33" t="str">
        <f t="shared" si="3"/>
        <v>d-puls-db-nsg</v>
      </c>
      <c r="F70" s="33" t="s">
        <v>49</v>
      </c>
      <c r="G70" s="33" t="s">
        <v>188</v>
      </c>
      <c r="H70" s="33" t="s">
        <v>425</v>
      </c>
      <c r="I70" s="33"/>
      <c r="J70" s="33"/>
      <c r="K70" s="33"/>
      <c r="L70" s="33" t="s">
        <v>440</v>
      </c>
    </row>
    <row r="71" spans="2:12" x14ac:dyDescent="0.3">
      <c r="B71" s="35" t="s">
        <v>31</v>
      </c>
      <c r="C71" s="35" t="str" cm="1">
        <f t="array" ref="C71">UPPER(INDEX(_xlfn.TEXTSPLIT($E71, "-"), 2))</f>
        <v>PULS</v>
      </c>
      <c r="D71" s="35" t="s">
        <v>49</v>
      </c>
      <c r="E71" s="35" t="str">
        <f t="shared" si="3"/>
        <v>d-puls-pe-nsg</v>
      </c>
      <c r="F71" s="35" t="s">
        <v>49</v>
      </c>
      <c r="G71" s="35" t="s">
        <v>188</v>
      </c>
      <c r="H71" s="35" t="s">
        <v>426</v>
      </c>
      <c r="I71" s="35"/>
      <c r="J71" s="35"/>
      <c r="K71" s="35"/>
      <c r="L71" s="35" t="s">
        <v>440</v>
      </c>
    </row>
    <row r="72" spans="2:12" x14ac:dyDescent="0.3">
      <c r="B72" s="36" t="s">
        <v>31</v>
      </c>
      <c r="C72" s="36" t="str" cm="1">
        <f t="array" ref="C72">UPPER(INDEX(_xlfn.TEXTSPLIT($E72, "-"), 2))</f>
        <v>DOIP</v>
      </c>
      <c r="D72" s="33" t="s">
        <v>49</v>
      </c>
      <c r="E72" s="33" t="str">
        <f t="shared" si="3"/>
        <v>d-doip-db-nsg</v>
      </c>
      <c r="F72" s="33" t="s">
        <v>49</v>
      </c>
      <c r="G72" s="33" t="s">
        <v>188</v>
      </c>
      <c r="H72" s="33" t="s">
        <v>427</v>
      </c>
      <c r="I72" s="33"/>
      <c r="J72" s="33"/>
      <c r="K72" s="33"/>
      <c r="L72" s="33" t="s">
        <v>440</v>
      </c>
    </row>
    <row r="73" spans="2:12" x14ac:dyDescent="0.3">
      <c r="B73" s="35" t="s">
        <v>31</v>
      </c>
      <c r="C73" s="35" t="str" cm="1">
        <f t="array" ref="C73">UPPER(INDEX(_xlfn.TEXTSPLIT($E73, "-"), 2))</f>
        <v>DOIP</v>
      </c>
      <c r="D73" s="35" t="s">
        <v>49</v>
      </c>
      <c r="E73" s="35" t="str">
        <f t="shared" si="3"/>
        <v>d-doip-pe-nsg</v>
      </c>
      <c r="F73" s="35" t="s">
        <v>49</v>
      </c>
      <c r="G73" s="35" t="s">
        <v>188</v>
      </c>
      <c r="H73" s="35" t="s">
        <v>428</v>
      </c>
      <c r="I73" s="35"/>
      <c r="J73" s="35"/>
      <c r="K73" s="35"/>
      <c r="L73" s="35" t="s">
        <v>440</v>
      </c>
    </row>
    <row r="74" spans="2:12" x14ac:dyDescent="0.3">
      <c r="B74" s="36" t="s">
        <v>31</v>
      </c>
      <c r="C74" s="36" t="str" cm="1">
        <f t="array" ref="C74">UPPER(INDEX(_xlfn.TEXTSPLIT($E74, "-"), 2))</f>
        <v>DDG</v>
      </c>
      <c r="D74" s="33" t="s">
        <v>49</v>
      </c>
      <c r="E74" s="33" t="str">
        <f t="shared" si="3"/>
        <v>d-ddg-db-nsg</v>
      </c>
      <c r="F74" s="33" t="s">
        <v>49</v>
      </c>
      <c r="G74" s="33" t="s">
        <v>188</v>
      </c>
      <c r="H74" s="33" t="s">
        <v>429</v>
      </c>
      <c r="I74" s="33"/>
      <c r="J74" s="33"/>
      <c r="K74" s="33"/>
      <c r="L74" s="33" t="s">
        <v>440</v>
      </c>
    </row>
    <row r="75" spans="2:12" x14ac:dyDescent="0.3">
      <c r="B75" s="35" t="s">
        <v>31</v>
      </c>
      <c r="C75" s="35" t="str" cm="1">
        <f t="array" ref="C75">UPPER(INDEX(_xlfn.TEXTSPLIT($E75, "-"), 2))</f>
        <v>DDG</v>
      </c>
      <c r="D75" s="35" t="s">
        <v>49</v>
      </c>
      <c r="E75" s="35" t="str">
        <f t="shared" si="3"/>
        <v>d-ddg-pe-nsg</v>
      </c>
      <c r="F75" s="35" t="s">
        <v>49</v>
      </c>
      <c r="G75" s="35" t="s">
        <v>188</v>
      </c>
      <c r="H75" s="35" t="s">
        <v>430</v>
      </c>
      <c r="I75" s="35"/>
      <c r="J75" s="35"/>
      <c r="K75" s="35"/>
      <c r="L75" s="35" t="s">
        <v>440</v>
      </c>
    </row>
    <row r="76" spans="2:12" x14ac:dyDescent="0.3">
      <c r="B76" s="36" t="s">
        <v>31</v>
      </c>
      <c r="C76" s="36" t="str" cm="1">
        <f t="array" ref="C76">UPPER(INDEX(_xlfn.TEXTSPLIT($E76, "-"), 2))</f>
        <v>BDP</v>
      </c>
      <c r="D76" s="33" t="s">
        <v>49</v>
      </c>
      <c r="E76" s="33" t="str">
        <f t="shared" si="3"/>
        <v>d-bdp-db-nsg</v>
      </c>
      <c r="F76" s="33" t="s">
        <v>49</v>
      </c>
      <c r="G76" s="33" t="s">
        <v>188</v>
      </c>
      <c r="H76" s="33" t="s">
        <v>431</v>
      </c>
      <c r="I76" s="33"/>
      <c r="J76" s="33"/>
      <c r="K76" s="33"/>
      <c r="L76" s="33" t="s">
        <v>440</v>
      </c>
    </row>
    <row r="77" spans="2:12" x14ac:dyDescent="0.3">
      <c r="B77" s="35" t="s">
        <v>31</v>
      </c>
      <c r="C77" s="35" t="str" cm="1">
        <f t="array" ref="C77">UPPER(INDEX(_xlfn.TEXTSPLIT($E77, "-"), 2))</f>
        <v>BDP</v>
      </c>
      <c r="D77" s="35" t="s">
        <v>49</v>
      </c>
      <c r="E77" s="35" t="str">
        <f t="shared" si="3"/>
        <v>d-bdp-pe-nsg</v>
      </c>
      <c r="F77" s="35" t="s">
        <v>49</v>
      </c>
      <c r="G77" s="35" t="s">
        <v>188</v>
      </c>
      <c r="H77" s="35" t="s">
        <v>432</v>
      </c>
      <c r="I77" s="35"/>
      <c r="J77" s="35"/>
      <c r="K77" s="35"/>
      <c r="L77" s="35" t="s">
        <v>440</v>
      </c>
    </row>
    <row r="78" spans="2:12" x14ac:dyDescent="0.3">
      <c r="B78" s="36" t="s">
        <v>31</v>
      </c>
      <c r="C78" s="36" t="str" cm="1">
        <f t="array" ref="C78">UPPER(INDEX(_xlfn.TEXTSPLIT($E78, "-"), 2))</f>
        <v>DIP</v>
      </c>
      <c r="D78" s="33" t="s">
        <v>49</v>
      </c>
      <c r="E78" s="33" t="str">
        <f t="shared" si="3"/>
        <v>d-dip-db-nsg</v>
      </c>
      <c r="F78" s="33" t="s">
        <v>49</v>
      </c>
      <c r="G78" s="33" t="s">
        <v>188</v>
      </c>
      <c r="H78" s="33" t="s">
        <v>433</v>
      </c>
      <c r="I78" s="33"/>
      <c r="J78" s="33"/>
      <c r="K78" s="33"/>
      <c r="L78" s="33" t="s">
        <v>440</v>
      </c>
    </row>
    <row r="79" spans="2:12" x14ac:dyDescent="0.3">
      <c r="B79" s="35" t="s">
        <v>31</v>
      </c>
      <c r="C79" s="35" t="str" cm="1">
        <f t="array" ref="C79">UPPER(INDEX(_xlfn.TEXTSPLIT($E79, "-"), 2))</f>
        <v>COM</v>
      </c>
      <c r="D79" s="35" t="s">
        <v>49</v>
      </c>
      <c r="E79" s="35" t="str">
        <f t="shared" si="3"/>
        <v>d-com-pe-nsg</v>
      </c>
      <c r="F79" s="35" t="s">
        <v>49</v>
      </c>
      <c r="G79" s="35" t="s">
        <v>188</v>
      </c>
      <c r="H79" s="35" t="s">
        <v>434</v>
      </c>
      <c r="I79" s="35"/>
      <c r="J79" s="35"/>
      <c r="K79" s="35"/>
      <c r="L79" s="35" t="s">
        <v>440</v>
      </c>
    </row>
    <row r="80" spans="2:12" x14ac:dyDescent="0.3">
      <c r="B80" s="36" t="s">
        <v>31</v>
      </c>
      <c r="C80" s="36" t="str" cm="1">
        <f t="array" ref="C80">UPPER(INDEX(_xlfn.TEXTSPLIT($E80, "-"), 2))</f>
        <v>COM</v>
      </c>
      <c r="D80" s="33" t="s">
        <v>49</v>
      </c>
      <c r="E80" s="33" t="str">
        <f t="shared" si="3"/>
        <v>d-com-db-nsg</v>
      </c>
      <c r="F80" s="33" t="s">
        <v>49</v>
      </c>
      <c r="G80" s="33" t="s">
        <v>188</v>
      </c>
      <c r="H80" s="33" t="s">
        <v>435</v>
      </c>
      <c r="I80" s="33"/>
      <c r="J80" s="33"/>
      <c r="K80" s="33"/>
      <c r="L80" s="33" t="s">
        <v>440</v>
      </c>
    </row>
    <row r="81" spans="2:12" x14ac:dyDescent="0.3">
      <c r="B81" s="35" t="s">
        <v>31</v>
      </c>
      <c r="C81" s="35" t="str" cm="1">
        <f t="array" ref="C81">UPPER(INDEX(_xlfn.TEXTSPLIT($E81, "-"), 2))</f>
        <v>COM</v>
      </c>
      <c r="D81" s="35" t="s">
        <v>49</v>
      </c>
      <c r="E81" s="35" t="str">
        <f t="shared" si="3"/>
        <v>d-com-pe-nsg</v>
      </c>
      <c r="F81" s="35" t="s">
        <v>49</v>
      </c>
      <c r="G81" s="35" t="s">
        <v>188</v>
      </c>
      <c r="H81" s="35" t="s">
        <v>434</v>
      </c>
      <c r="I81" s="35"/>
      <c r="J81" s="35"/>
      <c r="K81" s="35"/>
      <c r="L81" s="35" t="s">
        <v>440</v>
      </c>
    </row>
    <row r="82" spans="2:12" x14ac:dyDescent="0.3">
      <c r="B82" s="36" t="s">
        <v>31</v>
      </c>
      <c r="C82" s="36" t="str" cm="1">
        <f t="array" ref="C82">UPPER(INDEX(_xlfn.TEXTSPLIT($E82, "-"), 2))</f>
        <v>IF</v>
      </c>
      <c r="D82" s="33" t="s">
        <v>49</v>
      </c>
      <c r="E82" s="33" t="str">
        <f t="shared" si="3"/>
        <v>d-if-db-nsg</v>
      </c>
      <c r="F82" s="33" t="s">
        <v>49</v>
      </c>
      <c r="G82" s="33" t="s">
        <v>188</v>
      </c>
      <c r="H82" s="33" t="s">
        <v>436</v>
      </c>
      <c r="I82" s="33"/>
      <c r="J82" s="33"/>
      <c r="K82" s="33"/>
      <c r="L82" s="33" t="s">
        <v>440</v>
      </c>
    </row>
    <row r="83" spans="2:12" x14ac:dyDescent="0.3">
      <c r="B83" s="35" t="s">
        <v>31</v>
      </c>
      <c r="C83" s="35" t="str" cm="1">
        <f t="array" ref="C83">UPPER(INDEX(_xlfn.TEXTSPLIT($E83, "-"), 2))</f>
        <v>IF</v>
      </c>
      <c r="D83" s="35" t="s">
        <v>49</v>
      </c>
      <c r="E83" s="35" t="str">
        <f t="shared" si="3"/>
        <v>d-if-pe-nsg</v>
      </c>
      <c r="F83" s="35" t="s">
        <v>49</v>
      </c>
      <c r="G83" s="35" t="s">
        <v>188</v>
      </c>
      <c r="H83" s="35" t="s">
        <v>437</v>
      </c>
      <c r="I83" s="35"/>
      <c r="J83" s="35"/>
      <c r="K83" s="35"/>
      <c r="L83" s="35" t="s">
        <v>440</v>
      </c>
    </row>
    <row r="84" spans="2:12" x14ac:dyDescent="0.3">
      <c r="B84" s="36" t="s">
        <v>31</v>
      </c>
      <c r="C84" s="36" t="str" cm="1">
        <f t="array" ref="C84">UPPER(INDEX(_xlfn.TEXTSPLIT($E84, "-"), 2))</f>
        <v>CS</v>
      </c>
      <c r="D84" s="33" t="s">
        <v>49</v>
      </c>
      <c r="E84" s="33" t="str">
        <f t="shared" si="3"/>
        <v>d-cs-db-nsg</v>
      </c>
      <c r="F84" s="33" t="s">
        <v>49</v>
      </c>
      <c r="G84" s="33" t="s">
        <v>188</v>
      </c>
      <c r="H84" s="33" t="s">
        <v>438</v>
      </c>
      <c r="I84" s="33"/>
      <c r="J84" s="33"/>
      <c r="K84" s="33"/>
      <c r="L84" s="33" t="s">
        <v>440</v>
      </c>
    </row>
    <row r="85" spans="2:12" x14ac:dyDescent="0.3">
      <c r="B85" s="35" t="s">
        <v>31</v>
      </c>
      <c r="C85" s="35" t="str" cm="1">
        <f t="array" ref="C85">UPPER(INDEX(_xlfn.TEXTSPLIT($E85, "-"), 2))</f>
        <v>CS</v>
      </c>
      <c r="D85" s="35" t="s">
        <v>49</v>
      </c>
      <c r="E85" s="35" t="str">
        <f t="shared" si="3"/>
        <v>d-cs-pe-nsg</v>
      </c>
      <c r="F85" s="35" t="s">
        <v>49</v>
      </c>
      <c r="G85" s="35" t="s">
        <v>188</v>
      </c>
      <c r="H85" s="35" t="s">
        <v>439</v>
      </c>
      <c r="I85" s="35"/>
      <c r="J85" s="35"/>
      <c r="K85" s="35"/>
      <c r="L85" s="35" t="s">
        <v>440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2026-05-13T09:43:40Z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