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7473E02-0CB1-40B2-A65C-B0630CC521C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14" l="1"/>
  <c r="J68" i="14"/>
  <c r="G68" i="14"/>
  <c r="G69" i="14"/>
  <c r="E68" i="2"/>
  <c r="E69" i="2"/>
  <c r="K68" i="2"/>
  <c r="K69" i="2"/>
  <c r="K67" i="2"/>
  <c r="O69" i="1"/>
  <c r="U69" i="1"/>
  <c r="O68" i="1"/>
  <c r="U68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  <c r="R56" i="1" l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<sst xmlns="http://schemas.openxmlformats.org/spreadsheetml/2006/main" count="2504" uniqueCount="431">
  <si>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</si>
  <si>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</si>
  <si>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</si>
  <si>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</si>
  <si>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</si>
  <si>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</si>
  <si>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</si>
  <si>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</si>
  <si>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</si>
  <si>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</si>
  <si>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</si>
  <si>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</si>
  <si>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</si>
  <si>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</si>
  <si>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</si>
  <si>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</si>
  <si>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</si>
  <si>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</si>
  <si>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</si>
  <si>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</si>
  <si>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</si>
  <si>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</si>
  <si>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</si>
  <si>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</si>
  <si>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</si>
  <si>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</si>
  <si>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</si>
  <si>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</si>
  <si>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</si>
  <si>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</si>
  <si>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</si>
  <si>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</si>
  <si>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</si>
  <si>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</si>
  <si>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</si>
  <si>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</si>
  <si>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</si>
  <si>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</si>
  <si>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</si>
  <si>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</si>
  <si>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</si>
  <si>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</si>
  <si>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</si>
  <si>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</si>
  <si>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</si>
  <si>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</si>
  <si>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</si>
  <si>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</si>
  <si>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</si>
  <si>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</si>
  <si>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</si>
  <si>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</si>
  <si>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</si>
  <si>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</si>
  <si>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</si>
  <si>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</si>
  <si>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</si>
  <si>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</si>
  <si>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</si>
  <si>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</si>
  <si>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</si>
  <si>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</si>
  <si>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</si>
  <si>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</si>
  <si>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</si>
  <si>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</si>
  <si>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</si>
  <si>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</si>
  <si>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</si>
  <si>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</si>
  <si>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</si>
  <si>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</si>
  <si>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</si>
  <si>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</si>
  <si>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</si>
  <si>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</si>
  <si>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</si>
  <si>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</si>
  <si>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</si>
  <si>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</si>
  <si>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</si>
  <si>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</si>
  <si>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</si>
  <si>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</si>
  <si>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</si>
  <si>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</si>
  <si>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</si>
  <si>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</si>
  <si>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</si>
  <si>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</si>
  <si>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</si>
  <si>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</si>
  <si>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</si>
  <si>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</si>
  <si>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</si>
  <si>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</si>
  <si>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</si>
  <si>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</si>
  <si>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</si>
  <si>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</si>
  <si>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</si>
  <si>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</si>
  <si>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</si>
  <si>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</si>
  <si>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</si>
  <si>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</si>
  <si>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</si>
  <si>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</si>
  <si>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</si>
  <si>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</si>
  <si>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</si>
  <si>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</si>
  <si>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</si>
  <si>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</si>
  <si>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</si>
  <si>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</si>
  <si>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</si>
  <si>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</si>
  <si>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</si>
  <si>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</si>
  <si>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</si>
  <si>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</si>
  <si>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</si>
  <si>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</si>
  <si>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</si>
  <si>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</si>
  <si>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</si>
  <si>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</si>
  <si>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</si>
  <si>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</si>
  <si>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</si>
  <si>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</si>
  <si>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</si>
  <si>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</si>
  <si>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</si>
  <si>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</si>
  <si>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</si>
  <si>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</si>
  <si>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</si>
  <si>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</si>
  <si>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</si>
  <si>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</si>
  <si>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</si>
  <si>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</si>
  <si>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</si>
  <si>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</si>
  <si>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</si>
  <si>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</si>
  <si>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</si>
  <si>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</si>
  <si>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</si>
  <si>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</si>
  <si>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</si>
  <si>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</si>
  <si>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</si>
  <si>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</si>
  <si>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</si>
  <si>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</si>
  <si>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</si>
  <si>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</si>
  <si>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</si>
  <si>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</si>
  <si>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</si>
  <si>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</si>
  <si>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</si>
  <si>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</si>
  <si>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</si>
  <si>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</si>
  <si>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</si>
  <si>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</si>
  <si>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</si>
  <si>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</si>
  <si>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</si>
  <si>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</si>
  <si>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</si>
  <si>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</si>
  <si>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</si>
  <si>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</si>
  <si>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</si>
  <si>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</si>
  <si>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</si>
  <si>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</si>
  <si>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</si>
  <si>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</si>
  <si>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</si>
  <si>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</si>
  <si>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</si>
  <si>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</si>
  <si>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</si>
  <si>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</si>
  <si>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</si>
  <si>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</si>
  <si>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</si>
  <si>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</si>
  <si>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</si>
  <si>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</si>
  <si>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</si>
  <si>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</si>
  <si>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</si>
  <si>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</si>
  <si>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</si>
  <si>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</si>
  <si>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</si>
  <si>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</si>
  <si>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</si>
  <si>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</si>
  <si>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</si>
  <si>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</si>
  <si>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</si>
  <si>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</si>
  <si>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</si>
  <si>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</si>
  <si>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</si>
  <si>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</si>
  <si>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</si>
  <si>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</si>
  <si>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</si>
  <si>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</si>
  <si>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</si>
  <si>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</si>
  <si>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</si>
  <si>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</si>
  <si>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</si>
  <si>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</si>
  <si>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</si>
  <si>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</si>
  <si>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</si>
  <si>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</si>
  <si>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</si>
  <si>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</si>
  <si>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</si>
  <si>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</si>
  <si>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</si>
  <si>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</si>
  <si>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</si>
  <si>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</si>
  <si>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</si>
  <si>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</si>
  <si>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</si>
  <si>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</si>
  <si>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</si>
  <si>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</si>
  <si>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</si>
  <si>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</si>
  <si>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</si>
  <si>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</si>
  <si>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</si>
  <si>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</si>
  <si>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</si>
  <si>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</si>
  <si>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</si>
  <si>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</si>
  <si>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</si>
  <si>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</si>
  <si>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</si>
  <si>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</si>
  <si>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</si>
  <si>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</si>
  <si>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</si>
  <si>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</si>
  <si>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</si>
  <si>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</si>
  <si>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</si>
  <si>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</si>
  <si>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</si>
  <si>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</si>
  <si>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</si>
  <si>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</si>
  <si>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</si>
  <si>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</si>
  <si>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</si>
  <si>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</si>
  <si>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</si>
  <si>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</si>
  <si>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</si>
  <si>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</si>
  <si>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</si>
  <si>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</si>
  <si>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</si>
  <si>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</si>
  <si>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</si>
  <si>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</si>
  <si>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</si>
  <si>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</si>
  <si>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</si>
  <si>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</si>
  <si>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</si>
  <si>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</si>
  <si>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</si>
  <si>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</si>
  <si>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</si>
  <si>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</si>
  <si>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</si>
  <si>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</si>
  <si>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</si>
  <si>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</si>
  <si>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</si>
  <si>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</si>
  <si>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</si>
  <si>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</si>
  <si>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</si>
  <si>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</si>
  <si>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</si>
  <si>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</si>
  <si>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</si>
  <si>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</si>
  <si>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</si>
  <si>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</si>
  <si>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</si>
  <si>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</si>
  <si>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</si>
  <si>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</si>
  <si>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</si>
  <si>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</si>
  <si>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</si>
  <si>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</si>
  <si>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</si>
  <si>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</si>
  <si>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</si>
  <si>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</si>
  <si>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</si>
  <si>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</si>
  <si>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</si>
  <si>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</si>
  <si>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</si>
  <si>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</si>
  <si>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</si>
  <si>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</si>
  <si>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</si>
  <si>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</si>
  <si>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</si>
  <si>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</si>
  <si>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</si>
  <si>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</si>
  <si>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</si>
  <si>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</si>
  <si>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</si>
  <si>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</si>
  <si>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</si>
  <si>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</si>
  <si>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</si>
  <si>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</si>
  <si>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</si>
  <si>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</si>
  <si>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</si>
  <si>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</si>
  <si>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</si>
  <si>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</si>
  <si>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</si>
  <si>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</si>
  <si>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</si>
  <si>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</si>
  <si>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</si>
  <si>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</si>
  <si>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</si>
  <si>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</si>
  <si>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</si>
  <si>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</si>
  <si>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</si>
  <si>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</si>
  <si>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</si>
  <si>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</si>
  <si>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</si>
  <si>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</si>
  <si>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</si>
  <si>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</si>
  <si>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</si>
  <si>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</si>
  <si>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</si>
  <si>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</si>
  <si>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</si>
  <si>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</si>
  <si>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</si>
  <si>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</si>
  <si>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</si>
  <si>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</si>
  <si>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</si>
  <si>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</si>
  <si>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</si>
  <si>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</si>
  <si>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</si>
  <si>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</si>
  <si>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</si>
  <si>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</si>
  <si>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</si>
  <si>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</si>
  <si>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</si>
  <si>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</si>
  <si>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</si>
  <si>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</si>
  <si>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</si>
  <si>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</si>
  <si>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</si>
  <si>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</si>
  <si>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</si>
  <si>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</si>
  <si>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</si>
  <si>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</si>
  <si>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</si>
  <si>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</si>
  <si>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</si>
  <si>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</si>
  <si>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</si>
  <si>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</si>
  <si>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</si>
  <si>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</si>
  <si>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</si>
  <si>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</si>
  <si>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</si>
  <si>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</si>
  <si>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</si>
  <si>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</si>
  <si>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</si>
  <si>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</si>
  <si>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</si>
  <si>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</si>
  <si>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</si>
  <si>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</si>
  <si>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</si>
  <si>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</si>
  <si>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</si>
  <si>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</si>
  <si>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Linux</t>
    <phoneticPr fontId="1" type="noConversion"/>
  </si>
  <si>
    <t>temp-zen-01</t>
    <phoneticPr fontId="1" type="noConversion"/>
  </si>
  <si>
    <t>temp-zen-02</t>
    <phoneticPr fontId="1" type="noConversion"/>
  </si>
  <si>
    <t>10.156.168.11</t>
    <phoneticPr fontId="1" type="noConversion"/>
  </si>
  <si>
    <t>10.156.168.12</t>
    <phoneticPr fontId="1" type="noConversion"/>
  </si>
  <si>
    <t>azureadmin</t>
    <phoneticPr fontId="1" type="noConversion"/>
  </si>
  <si>
    <t>rkskekfk1234!@</t>
    <phoneticPr fontId="1" type="noConversion"/>
  </si>
  <si>
    <t>d-dis-cs-sbn</t>
    <phoneticPr fontId="1" type="noConversion"/>
  </si>
  <si>
    <t>NicRG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</si>
</sst>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49" fontId="13" fillId="0" borderId="0" xfId="1" applyNumberFormat="1">
      <alignment vertical="center"/>
    </xf>
    <xf numFmtId="0" fontId="0" fillId="6" borderId="0" xfId="0" applyFill="1">
      <alignment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3" borderId="5" xfId="0" applyFont="1" applyFill="1" applyBorder="1">
      <alignment vertical="center"/>
    </xf>
    <xf numFmtId="0" fontId="3" fillId="0" borderId="5" xfId="0" applyFont="1" applyBorder="1">
      <alignment vertical="center"/>
    </xf>
    <xf numFmtId="0" fontId="0" fillId="7" borderId="0" xfId="0" applyFill="1" applyAlignment="1">
      <alignment horizontal="center" vertical="center"/>
    </xf>
  </cellXfs>
  <cellStyles count="2">
    <cellStyle name="표준" xfId="0" builtinId="0"/>
    <cellStyle name="하이퍼링크" xfId="1" builtinId="8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9" totalsRowShown="0" headerRowDxfId="32" dataDxfId="31">
  <autoFilter ref="B1:AF6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9"/>
  <sheetViews>
    <sheetView zoomScaleNormal="100" zoomScaleSheetLayoutView="100" workbookViewId="0"/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 t="shared" ref="U63:U69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  <row r="68" spans="1:32" x14ac:dyDescent="0.3">
      <c r="A68" s="38"/>
      <c r="B68" s="1" t="s">
        <v>31</v>
      </c>
      <c r="C68" s="1" t="s">
        <v>341</v>
      </c>
      <c r="D68" s="1" t="s">
        <v>51</v>
      </c>
      <c r="E68" s="1" t="s">
        <v>23</v>
      </c>
      <c r="F68" s="1" t="s">
        <v>423</v>
      </c>
      <c r="G68" s="1" t="s">
        <v>425</v>
      </c>
      <c r="H68" s="10" t="s">
        <v>185</v>
      </c>
      <c r="I68" s="1">
        <v>2</v>
      </c>
      <c r="J68" s="1">
        <v>8</v>
      </c>
      <c r="K68" s="1" t="s">
        <v>427</v>
      </c>
      <c r="L68" s="39" t="s">
        <v>428</v>
      </c>
      <c r="M68" s="9" t="s">
        <v>422</v>
      </c>
      <c r="N68" s="1" t="s">
        <v>192</v>
      </c>
      <c r="O68" s="1" t="str">
        <f>SUBSTITUTE(F68,"hazr-","")&amp;"-osdisk"</f>
        <v>temp-zen-01-osdisk</v>
      </c>
      <c r="P68" s="1">
        <v>64</v>
      </c>
      <c r="Q68" s="1" t="s">
        <v>337</v>
      </c>
      <c r="R68" s="1"/>
      <c r="S68" s="1"/>
      <c r="T68" s="1"/>
      <c r="U68" s="1" t="str">
        <f t="shared" si="5"/>
        <v>temp-zen-01-nic</v>
      </c>
      <c r="V68" s="1" t="b">
        <v>1</v>
      </c>
      <c r="W68" s="1" t="b">
        <v>1</v>
      </c>
      <c r="X68" s="1" t="s">
        <v>49</v>
      </c>
      <c r="Y68" s="1" t="s">
        <v>57</v>
      </c>
      <c r="Z68" s="1" t="s">
        <v>176</v>
      </c>
      <c r="AA68" s="1" t="b">
        <v>1</v>
      </c>
      <c r="AB68" s="1" t="s">
        <v>49</v>
      </c>
      <c r="AC68" s="1" t="s">
        <v>364</v>
      </c>
      <c r="AD68" s="1">
        <v>1</v>
      </c>
      <c r="AE68" s="1"/>
      <c r="AF68" s="1"/>
    </row>
    <row r="69" spans="1:32" x14ac:dyDescent="0.3">
      <c r="A69" s="38"/>
      <c r="B69" s="1" t="s">
        <v>31</v>
      </c>
      <c r="C69" s="1" t="s">
        <v>341</v>
      </c>
      <c r="D69" s="1" t="s">
        <v>51</v>
      </c>
      <c r="E69" s="1" t="s">
        <v>23</v>
      </c>
      <c r="F69" s="1" t="s">
        <v>424</v>
      </c>
      <c r="G69" s="1" t="s">
        <v>426</v>
      </c>
      <c r="H69" s="10" t="s">
        <v>185</v>
      </c>
      <c r="I69" s="1">
        <v>2</v>
      </c>
      <c r="J69" s="1">
        <v>8</v>
      </c>
      <c r="K69" s="1" t="s">
        <v>427</v>
      </c>
      <c r="L69" s="39" t="s">
        <v>428</v>
      </c>
      <c r="M69" s="9" t="s">
        <v>422</v>
      </c>
      <c r="N69" s="1" t="s">
        <v>192</v>
      </c>
      <c r="O69" s="1" t="str">
        <f>SUBSTITUTE(F69,"hazr-","")&amp;"-osdisk"</f>
        <v>temp-zen-02-osdisk</v>
      </c>
      <c r="P69" s="1">
        <v>64</v>
      </c>
      <c r="Q69" s="1" t="s">
        <v>337</v>
      </c>
      <c r="R69" s="1"/>
      <c r="S69" s="1"/>
      <c r="T69" s="1"/>
      <c r="U69" s="1" t="str">
        <f t="shared" si="5"/>
        <v>temp-zen-02-nic</v>
      </c>
      <c r="V69" s="1" t="b">
        <v>1</v>
      </c>
      <c r="W69" s="1" t="b">
        <v>1</v>
      </c>
      <c r="X69" s="1" t="s">
        <v>49</v>
      </c>
      <c r="Y69" s="1" t="s">
        <v>57</v>
      </c>
      <c r="Z69" s="1" t="s">
        <v>176</v>
      </c>
      <c r="AA69" s="1" t="b">
        <v>1</v>
      </c>
      <c r="AB69" s="1" t="s">
        <v>49</v>
      </c>
      <c r="AC69" s="1" t="s">
        <v>364</v>
      </c>
      <c r="AD69" s="1">
        <v>1</v>
      </c>
      <c r="AE69" s="1"/>
      <c r="AF69" s="1"/>
    </row>
  </sheetData>
  <phoneticPr fontId="1" type="noConversion"/>
  <hyperlinks>
    <hyperlink ref="L68" r:id="rId1" xr:uid="{50979B1F-2006-4524-800D-AF07B36BDE50}"/>
    <hyperlink ref="L69" r:id="rId2" xr:uid="{56A4CD57-5AA9-47CD-BC41-343B87217867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9"/>
  <sheetViews>
    <sheetView topLeftCell="A25" workbookViewId="0">
      <selection activeCell="F52" sqref="F52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  <row r="68" spans="1:18" x14ac:dyDescent="0.3">
      <c r="A68" s="48"/>
      <c r="B68" s="16" t="s">
        <v>31</v>
      </c>
      <c r="C68" s="16" t="s">
        <v>341</v>
      </c>
      <c r="D68" s="16" t="s">
        <v>51</v>
      </c>
      <c r="E68" s="16" t="s">
        <v>23</v>
      </c>
      <c r="F68" s="16" t="s">
        <v>423</v>
      </c>
      <c r="G68" s="16" t="str">
        <f t="shared" ref="G68:G69" si="2">SUBSTITUTE($F68,"hazr-","")&amp;"-disk01"</f>
        <v>temp-zen-01-disk01</v>
      </c>
      <c r="H68" s="16" t="s">
        <v>337</v>
      </c>
      <c r="I68" s="16">
        <v>64</v>
      </c>
      <c r="J68" s="16" t="str">
        <f>SUBSTITUTE($F68,"hazr-","")&amp;"-disk02"</f>
        <v>temp-zen-01-disk02</v>
      </c>
      <c r="K68" s="16" t="s">
        <v>337</v>
      </c>
      <c r="L68" s="16">
        <v>64</v>
      </c>
      <c r="M68" s="16">
        <v>1</v>
      </c>
      <c r="N68" s="16" t="s">
        <v>367</v>
      </c>
      <c r="O68" s="16" t="s">
        <v>49</v>
      </c>
      <c r="P68" s="16" t="s">
        <v>364</v>
      </c>
      <c r="Q68" s="16" t="b">
        <v>1</v>
      </c>
      <c r="R68" s="14"/>
    </row>
    <row r="69" spans="1:18" x14ac:dyDescent="0.3">
      <c r="A69" s="48"/>
      <c r="B69" s="17" t="s">
        <v>31</v>
      </c>
      <c r="C69" s="17" t="s">
        <v>341</v>
      </c>
      <c r="D69" s="17" t="s">
        <v>51</v>
      </c>
      <c r="E69" s="17" t="s">
        <v>23</v>
      </c>
      <c r="F69" s="17" t="s">
        <v>424</v>
      </c>
      <c r="G69" s="17" t="str">
        <f t="shared" si="2"/>
        <v>temp-zen-02-disk01</v>
      </c>
      <c r="H69" s="17" t="s">
        <v>337</v>
      </c>
      <c r="I69" s="17">
        <v>64</v>
      </c>
      <c r="J69" s="17" t="str">
        <f>SUBSTITUTE($F69,"hazr-","")&amp;"-disk02"</f>
        <v>temp-zen-02-disk02</v>
      </c>
      <c r="K69" s="17" t="s">
        <v>337</v>
      </c>
      <c r="L69" s="17">
        <v>64</v>
      </c>
      <c r="M69" s="17">
        <v>1</v>
      </c>
      <c r="N69" s="17" t="s">
        <v>367</v>
      </c>
      <c r="O69" s="17" t="s">
        <v>49</v>
      </c>
      <c r="P69" s="17" t="s">
        <v>364</v>
      </c>
      <c r="Q69" s="17" t="b">
        <v>1</v>
      </c>
      <c r="R69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L69"/>
  <sheetViews>
    <sheetView tabSelected="1" topLeftCell="B1" zoomScale="98" workbookViewId="0">
      <selection activeCell="I9" sqref="I9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2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430</v>
      </c>
      <c r="K1" s="31" t="s">
        <v>26</v>
      </c>
      <c r="L1" s="31" t="s">
        <v>29</v>
      </c>
    </row>
    <row r="2" spans="2:12" x14ac:dyDescent="0.3"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403</v>
      </c>
    </row>
    <row r="3" spans="2:12" x14ac:dyDescent="0.3"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377</v>
      </c>
      <c r="J3" s="17" t="s">
        <v>52</v>
      </c>
      <c r="K3" s="35" t="str">
        <f>SUBSTITUTE($I3,"hazr-","")&amp;"-nic"</f>
        <v>d-dis-adm01-nic</v>
      </c>
      <c r="L3" s="37" t="s">
        <v>403</v>
      </c>
    </row>
    <row r="4" spans="2:12" x14ac:dyDescent="0.3"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378</v>
      </c>
      <c r="J4" s="16" t="s">
        <v>52</v>
      </c>
      <c r="K4" s="33" t="str">
        <f t="shared" ref="K4:K68" si="1">SUBSTITUTE($I4,"hazr-","")&amp;"-nic"</f>
        <v>d-dis-bbiweb01-nic</v>
      </c>
      <c r="L4" s="34" t="s">
        <v>403</v>
      </c>
    </row>
    <row r="5" spans="2:12" x14ac:dyDescent="0.3"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407</v>
      </c>
      <c r="J5" s="17" t="s">
        <v>52</v>
      </c>
      <c r="K5" s="35" t="str">
        <f t="shared" si="1"/>
        <v>d-dis-bbicltap01-nic</v>
      </c>
      <c r="L5" s="37" t="s">
        <v>403</v>
      </c>
    </row>
    <row r="6" spans="2:12" x14ac:dyDescent="0.3"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16" t="s">
        <v>52</v>
      </c>
      <c r="K6" s="33" t="str">
        <f t="shared" si="1"/>
        <v>d-dis-bbimsgap01-nic</v>
      </c>
      <c r="L6" s="34" t="s">
        <v>403</v>
      </c>
    </row>
    <row r="7" spans="2:12" x14ac:dyDescent="0.3"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408</v>
      </c>
      <c r="J7" s="17" t="s">
        <v>52</v>
      </c>
      <c r="K7" s="35" t="str">
        <f t="shared" si="1"/>
        <v>d-dis-walkap01-nic</v>
      </c>
      <c r="L7" s="37" t="s">
        <v>403</v>
      </c>
    </row>
    <row r="8" spans="2:12" x14ac:dyDescent="0.3"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16" t="s">
        <v>52</v>
      </c>
      <c r="K8" s="33" t="str">
        <f t="shared" si="1"/>
        <v>d-dis-bat01-nic</v>
      </c>
      <c r="L8" s="34" t="s">
        <v>403</v>
      </c>
    </row>
    <row r="9" spans="2:12" x14ac:dyDescent="0.3"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381</v>
      </c>
      <c r="J9" s="17" t="s">
        <v>52</v>
      </c>
      <c r="K9" s="35" t="str">
        <f t="shared" si="1"/>
        <v>d-dis-drvcltap01-nic</v>
      </c>
      <c r="L9" s="37" t="s">
        <v>403</v>
      </c>
    </row>
    <row r="10" spans="2:12" x14ac:dyDescent="0.3"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16" t="s">
        <v>52</v>
      </c>
      <c r="K10" s="33" t="str">
        <f t="shared" si="1"/>
        <v>d-dis-walkweb01-nic</v>
      </c>
      <c r="L10" s="34" t="s">
        <v>403</v>
      </c>
    </row>
    <row r="11" spans="2:12" x14ac:dyDescent="0.3"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409</v>
      </c>
      <c r="J11" s="17" t="s">
        <v>52</v>
      </c>
      <c r="K11" s="35" t="str">
        <f t="shared" si="1"/>
        <v>d-dis-drvmsgap01-nic</v>
      </c>
      <c r="L11" s="37" t="s">
        <v>403</v>
      </c>
    </row>
    <row r="12" spans="2:12" x14ac:dyDescent="0.3"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382</v>
      </c>
      <c r="J12" s="16" t="s">
        <v>52</v>
      </c>
      <c r="K12" s="33" t="str">
        <f t="shared" si="1"/>
        <v>d-dis-web01-nic</v>
      </c>
      <c r="L12" s="34" t="s">
        <v>403</v>
      </c>
    </row>
    <row r="13" spans="2:12" x14ac:dyDescent="0.3"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383</v>
      </c>
      <c r="J13" s="17" t="s">
        <v>52</v>
      </c>
      <c r="K13" s="35" t="str">
        <f t="shared" si="1"/>
        <v>d-dis-cmsadm01-nic</v>
      </c>
      <c r="L13" s="37" t="s">
        <v>403</v>
      </c>
    </row>
    <row r="14" spans="2:12" x14ac:dyDescent="0.3"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16" t="s">
        <v>52</v>
      </c>
      <c r="K14" s="33" t="str">
        <f t="shared" si="1"/>
        <v>d-dis-cmsap01-nic</v>
      </c>
      <c r="L14" s="34" t="s">
        <v>403</v>
      </c>
    </row>
    <row r="15" spans="2:12" x14ac:dyDescent="0.3"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380</v>
      </c>
      <c r="J15" s="17" t="s">
        <v>52</v>
      </c>
      <c r="K15" s="35" t="str">
        <f t="shared" si="1"/>
        <v>d-dis-cmsweb01-nic</v>
      </c>
      <c r="L15" s="37" t="s">
        <v>403</v>
      </c>
    </row>
    <row r="16" spans="2:12" x14ac:dyDescent="0.3"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402</v>
      </c>
      <c r="J16" s="16" t="s">
        <v>52</v>
      </c>
      <c r="K16" s="33" t="str">
        <f t="shared" si="1"/>
        <v>d-dis-cmbsap01-nic</v>
      </c>
      <c r="L16" s="34" t="s">
        <v>403</v>
      </c>
    </row>
    <row r="17" spans="2:12" x14ac:dyDescent="0.3"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410</v>
      </c>
      <c r="J17" s="17" t="s">
        <v>54</v>
      </c>
      <c r="K17" s="35" t="str">
        <f t="shared" si="1"/>
        <v>d-dtg-ingap01-nic</v>
      </c>
      <c r="L17" s="37" t="s">
        <v>403</v>
      </c>
    </row>
    <row r="18" spans="2:12" x14ac:dyDescent="0.3"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16" t="s">
        <v>54</v>
      </c>
      <c r="K18" s="33" t="str">
        <f t="shared" si="1"/>
        <v>d-dtg-ap01-nic</v>
      </c>
      <c r="L18" s="34" t="s">
        <v>403</v>
      </c>
    </row>
    <row r="19" spans="2:12" x14ac:dyDescent="0.3"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411</v>
      </c>
      <c r="J19" s="17" t="s">
        <v>54</v>
      </c>
      <c r="K19" s="35" t="str">
        <f t="shared" si="1"/>
        <v>d-dtg-extgeoap01-nic</v>
      </c>
      <c r="L19" s="37" t="s">
        <v>403</v>
      </c>
    </row>
    <row r="20" spans="2:12" x14ac:dyDescent="0.3"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16" t="s">
        <v>54</v>
      </c>
      <c r="K20" s="33" t="str">
        <f t="shared" si="1"/>
        <v>d-dtg-geoap01-nic</v>
      </c>
      <c r="L20" s="34" t="s">
        <v>403</v>
      </c>
    </row>
    <row r="21" spans="2:12" x14ac:dyDescent="0.3"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412</v>
      </c>
      <c r="J21" s="17" t="s">
        <v>54</v>
      </c>
      <c r="K21" s="35" t="str">
        <f t="shared" si="1"/>
        <v>d-dtg-mq01-nic</v>
      </c>
      <c r="L21" s="37" t="s">
        <v>403</v>
      </c>
    </row>
    <row r="22" spans="2:12" x14ac:dyDescent="0.3"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384</v>
      </c>
      <c r="J22" s="16" t="s">
        <v>54</v>
      </c>
      <c r="K22" s="33" t="str">
        <f t="shared" si="1"/>
        <v>d-dtg-admweb01-nic</v>
      </c>
      <c r="L22" s="34" t="s">
        <v>403</v>
      </c>
    </row>
    <row r="23" spans="2:12" x14ac:dyDescent="0.3"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385</v>
      </c>
      <c r="J23" s="17" t="s">
        <v>54</v>
      </c>
      <c r="K23" s="35" t="str">
        <f t="shared" si="1"/>
        <v>d-dtg-admap01-nic</v>
      </c>
      <c r="L23" s="37" t="s">
        <v>403</v>
      </c>
    </row>
    <row r="24" spans="2:12" x14ac:dyDescent="0.3"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16" t="s">
        <v>54</v>
      </c>
      <c r="K24" s="33" t="str">
        <f t="shared" si="1"/>
        <v>d-dtg-dtoms01-nic</v>
      </c>
      <c r="L24" s="34" t="s">
        <v>403</v>
      </c>
    </row>
    <row r="25" spans="2:12" x14ac:dyDescent="0.3"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386</v>
      </c>
      <c r="J25" s="17" t="s">
        <v>54</v>
      </c>
      <c r="K25" s="35" t="str">
        <f t="shared" si="1"/>
        <v>d-dtg-tsdb01-nic</v>
      </c>
      <c r="L25" s="37" t="s">
        <v>403</v>
      </c>
    </row>
    <row r="26" spans="2:12" x14ac:dyDescent="0.3"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387</v>
      </c>
      <c r="J26" s="16" t="s">
        <v>54</v>
      </c>
      <c r="K26" s="33" t="str">
        <f t="shared" si="1"/>
        <v>d-dtg-web01-nic</v>
      </c>
      <c r="L26" s="34" t="s">
        <v>403</v>
      </c>
    </row>
    <row r="27" spans="2:12" x14ac:dyDescent="0.3"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413</v>
      </c>
      <c r="J27" s="17" t="s">
        <v>54</v>
      </c>
      <c r="K27" s="35" t="str">
        <f t="shared" si="1"/>
        <v>d-dtg-zkp01-nic</v>
      </c>
      <c r="L27" s="37" t="s">
        <v>403</v>
      </c>
    </row>
    <row r="28" spans="2:12" x14ac:dyDescent="0.3"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16" t="s">
        <v>54</v>
      </c>
      <c r="K28" s="33" t="str">
        <f t="shared" si="1"/>
        <v>d-dtg-zkp02-nic</v>
      </c>
      <c r="L28" s="34" t="s">
        <v>403</v>
      </c>
    </row>
    <row r="29" spans="2:12" x14ac:dyDescent="0.3"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414</v>
      </c>
      <c r="J29" s="17" t="s">
        <v>54</v>
      </c>
      <c r="K29" s="35" t="str">
        <f t="shared" si="1"/>
        <v>d-dtg-zkp03-nic</v>
      </c>
      <c r="L29" s="37" t="s">
        <v>403</v>
      </c>
    </row>
    <row r="30" spans="2:12" x14ac:dyDescent="0.3"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16" t="s">
        <v>54</v>
      </c>
      <c r="K30" s="33" t="str">
        <f t="shared" si="1"/>
        <v>d-dtg-kfk01-nic</v>
      </c>
      <c r="L30" s="34" t="s">
        <v>403</v>
      </c>
    </row>
    <row r="31" spans="2:12" x14ac:dyDescent="0.3"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415</v>
      </c>
      <c r="J31" s="17" t="s">
        <v>54</v>
      </c>
      <c r="K31" s="35" t="str">
        <f t="shared" si="1"/>
        <v>d-dtg-kfk02-nic</v>
      </c>
      <c r="L31" s="37" t="s">
        <v>403</v>
      </c>
    </row>
    <row r="32" spans="2:12" x14ac:dyDescent="0.3"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16" t="s">
        <v>54</v>
      </c>
      <c r="K32" s="33" t="str">
        <f t="shared" si="1"/>
        <v>d-dtg-kfk03-nic</v>
      </c>
      <c r="L32" s="34" t="s">
        <v>403</v>
      </c>
    </row>
    <row r="33" spans="2:12" x14ac:dyDescent="0.3"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388</v>
      </c>
      <c r="J33" s="17" t="s">
        <v>54</v>
      </c>
      <c r="K33" s="35" t="str">
        <f t="shared" si="1"/>
        <v>d-dtg-mdoms01-nic</v>
      </c>
      <c r="L33" s="37" t="s">
        <v>403</v>
      </c>
    </row>
    <row r="34" spans="2:12" x14ac:dyDescent="0.3"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16" t="s">
        <v>54</v>
      </c>
      <c r="K34" s="33" t="str">
        <f t="shared" si="1"/>
        <v>d-dtg-cdmlap01-nic</v>
      </c>
      <c r="L34" s="34" t="s">
        <v>403</v>
      </c>
    </row>
    <row r="35" spans="2:12" x14ac:dyDescent="0.3"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416</v>
      </c>
      <c r="J35" s="17" t="s">
        <v>54</v>
      </c>
      <c r="K35" s="35" t="str">
        <f t="shared" si="1"/>
        <v>d-dtg-cdstap01-nic</v>
      </c>
      <c r="L35" s="37" t="s">
        <v>403</v>
      </c>
    </row>
    <row r="36" spans="2:12" x14ac:dyDescent="0.3"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373</v>
      </c>
      <c r="J36" s="16" t="s">
        <v>54</v>
      </c>
      <c r="K36" s="33" t="str">
        <f t="shared" si="1"/>
        <v>d-dtg-cdsvadm01-nic</v>
      </c>
      <c r="L36" s="34" t="s">
        <v>403</v>
      </c>
    </row>
    <row r="37" spans="2:12" x14ac:dyDescent="0.3"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417</v>
      </c>
      <c r="J37" s="17" t="s">
        <v>54</v>
      </c>
      <c r="K37" s="35" t="str">
        <f t="shared" si="1"/>
        <v>d-dtg-diosap01-nic</v>
      </c>
      <c r="L37" s="37" t="s">
        <v>403</v>
      </c>
    </row>
    <row r="38" spans="2:12" x14ac:dyDescent="0.3"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389</v>
      </c>
      <c r="J38" s="16" t="s">
        <v>54</v>
      </c>
      <c r="K38" s="33" t="str">
        <f t="shared" si="1"/>
        <v>d-dtg-diosweb01-nic</v>
      </c>
      <c r="L38" s="34" t="s">
        <v>403</v>
      </c>
    </row>
    <row r="39" spans="2:12" x14ac:dyDescent="0.3"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390</v>
      </c>
      <c r="J39" s="17" t="s">
        <v>54</v>
      </c>
      <c r="K39" s="35" t="str">
        <f t="shared" si="1"/>
        <v>d-dtg-dprweb01-nic</v>
      </c>
      <c r="L39" s="37" t="s">
        <v>403</v>
      </c>
    </row>
    <row r="40" spans="2:12" x14ac:dyDescent="0.3"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9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16" t="s">
        <v>54</v>
      </c>
      <c r="K40" s="33" t="str">
        <f t="shared" si="1"/>
        <v>d-dtg-dprap01-nic</v>
      </c>
      <c r="L40" s="34" t="s">
        <v>403</v>
      </c>
    </row>
    <row r="41" spans="2:12" x14ac:dyDescent="0.3"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391</v>
      </c>
      <c r="J41" s="17" t="s">
        <v>184</v>
      </c>
      <c r="K41" s="35" t="str">
        <f t="shared" si="1"/>
        <v>d-bdp-airfw01-nic</v>
      </c>
      <c r="L41" s="37" t="s">
        <v>403</v>
      </c>
    </row>
    <row r="42" spans="2:12" x14ac:dyDescent="0.3"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392</v>
      </c>
      <c r="J42" s="16" t="s">
        <v>184</v>
      </c>
      <c r="K42" s="33" t="str">
        <f t="shared" si="1"/>
        <v>d-bdp-kepler01-nic</v>
      </c>
      <c r="L42" s="34" t="s">
        <v>403</v>
      </c>
    </row>
    <row r="43" spans="2:12" x14ac:dyDescent="0.3"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374</v>
      </c>
      <c r="J43" s="17" t="s">
        <v>184</v>
      </c>
      <c r="K43" s="35" t="str">
        <f t="shared" si="1"/>
        <v>d-bdp-cxmadm01-nic</v>
      </c>
      <c r="L43" s="37" t="s">
        <v>403</v>
      </c>
    </row>
    <row r="44" spans="2:12" x14ac:dyDescent="0.3"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393</v>
      </c>
      <c r="J44" s="16" t="s">
        <v>184</v>
      </c>
      <c r="K44" s="33" t="str">
        <f t="shared" si="1"/>
        <v>d-bdp-slap01-nic</v>
      </c>
      <c r="L44" s="34" t="s">
        <v>403</v>
      </c>
    </row>
    <row r="45" spans="2:12" x14ac:dyDescent="0.3"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421</v>
      </c>
      <c r="I45" s="24" t="s">
        <v>394</v>
      </c>
      <c r="J45" s="17" t="s">
        <v>338</v>
      </c>
      <c r="K45" s="35" t="str">
        <f t="shared" si="1"/>
        <v>d-dip-adm01-nic</v>
      </c>
      <c r="L45" s="37" t="s">
        <v>403</v>
      </c>
    </row>
    <row r="46" spans="2:12" x14ac:dyDescent="0.3"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421</v>
      </c>
      <c r="I46" s="22" t="s">
        <v>395</v>
      </c>
      <c r="J46" s="16" t="s">
        <v>338</v>
      </c>
      <c r="K46" s="33" t="str">
        <f t="shared" si="1"/>
        <v>d-dip-ap01-nic</v>
      </c>
      <c r="L46" s="34" t="s">
        <v>403</v>
      </c>
    </row>
    <row r="47" spans="2:12" x14ac:dyDescent="0.3"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421</v>
      </c>
      <c r="I47" s="24" t="s">
        <v>418</v>
      </c>
      <c r="J47" s="17" t="s">
        <v>338</v>
      </c>
      <c r="K47" s="35" t="str">
        <f t="shared" si="1"/>
        <v>d-dip-flk01-nic</v>
      </c>
      <c r="L47" s="37" t="s">
        <v>403</v>
      </c>
    </row>
    <row r="48" spans="2:12" x14ac:dyDescent="0.3"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421</v>
      </c>
      <c r="I48" s="22" t="s">
        <v>293</v>
      </c>
      <c r="J48" s="16" t="s">
        <v>338</v>
      </c>
      <c r="K48" s="33" t="str">
        <f t="shared" si="1"/>
        <v>d-dip-flk02-nic</v>
      </c>
      <c r="L48" s="34" t="s">
        <v>403</v>
      </c>
    </row>
    <row r="49" spans="2:12" x14ac:dyDescent="0.3"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421</v>
      </c>
      <c r="I49" s="24" t="s">
        <v>419</v>
      </c>
      <c r="J49" s="17" t="s">
        <v>338</v>
      </c>
      <c r="K49" s="35" t="str">
        <f t="shared" si="1"/>
        <v>d-dip-flk03-nic</v>
      </c>
      <c r="L49" s="37" t="s">
        <v>403</v>
      </c>
    </row>
    <row r="50" spans="2:12" x14ac:dyDescent="0.3"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421</v>
      </c>
      <c r="I50" s="22" t="s">
        <v>297</v>
      </c>
      <c r="J50" s="16" t="s">
        <v>338</v>
      </c>
      <c r="K50" s="33" t="str">
        <f t="shared" si="1"/>
        <v>d-dip-geoap01-nic</v>
      </c>
      <c r="L50" s="34" t="s">
        <v>403</v>
      </c>
    </row>
    <row r="51" spans="2:12" x14ac:dyDescent="0.3"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421</v>
      </c>
      <c r="I51" s="24" t="s">
        <v>420</v>
      </c>
      <c r="J51" s="17" t="s">
        <v>338</v>
      </c>
      <c r="K51" s="35" t="str">
        <f t="shared" si="1"/>
        <v>d-dip-kfk01-nic</v>
      </c>
      <c r="L51" s="37" t="s">
        <v>403</v>
      </c>
    </row>
    <row r="52" spans="2:12" x14ac:dyDescent="0.3"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421</v>
      </c>
      <c r="I52" s="22" t="s">
        <v>339</v>
      </c>
      <c r="J52" s="16" t="s">
        <v>338</v>
      </c>
      <c r="K52" s="33" t="str">
        <f t="shared" si="1"/>
        <v>d-dip-kfk02-nic</v>
      </c>
      <c r="L52" s="34" t="s">
        <v>403</v>
      </c>
    </row>
    <row r="53" spans="2:12" x14ac:dyDescent="0.3"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421</v>
      </c>
      <c r="I53" s="24" t="s">
        <v>340</v>
      </c>
      <c r="J53" s="17" t="s">
        <v>338</v>
      </c>
      <c r="K53" s="35" t="str">
        <f t="shared" si="1"/>
        <v>d-dip-kfk03-nic</v>
      </c>
      <c r="L53" s="37" t="s">
        <v>403</v>
      </c>
    </row>
    <row r="54" spans="2:12" x14ac:dyDescent="0.3"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421</v>
      </c>
      <c r="I54" s="22" t="s">
        <v>303</v>
      </c>
      <c r="J54" s="16" t="s">
        <v>338</v>
      </c>
      <c r="K54" s="33" t="str">
        <f t="shared" si="1"/>
        <v>d-dip-mqap01-nic</v>
      </c>
      <c r="L54" s="34" t="s">
        <v>403</v>
      </c>
    </row>
    <row r="55" spans="2:12" x14ac:dyDescent="0.3"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421</v>
      </c>
      <c r="I55" s="24" t="s">
        <v>396</v>
      </c>
      <c r="J55" s="17" t="s">
        <v>338</v>
      </c>
      <c r="K55" s="35" t="str">
        <f t="shared" si="1"/>
        <v>d-dip-mqweb01-nic</v>
      </c>
      <c r="L55" s="37" t="s">
        <v>403</v>
      </c>
    </row>
    <row r="56" spans="2:12" x14ac:dyDescent="0.3"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421</v>
      </c>
      <c r="I56" s="22" t="s">
        <v>397</v>
      </c>
      <c r="J56" s="16" t="s">
        <v>338</v>
      </c>
      <c r="K56" s="33" t="str">
        <f t="shared" si="1"/>
        <v>d-dip-oms01-nic</v>
      </c>
      <c r="L56" s="34" t="s">
        <v>403</v>
      </c>
    </row>
    <row r="57" spans="2:12" x14ac:dyDescent="0.3"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421</v>
      </c>
      <c r="I57" s="24" t="s">
        <v>398</v>
      </c>
      <c r="J57" s="17" t="s">
        <v>338</v>
      </c>
      <c r="K57" s="35" t="str">
        <f t="shared" si="1"/>
        <v>d-dip-web01-nic</v>
      </c>
      <c r="L57" s="37" t="s">
        <v>403</v>
      </c>
    </row>
    <row r="58" spans="2:12" x14ac:dyDescent="0.3"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 t="s">
        <v>160</v>
      </c>
      <c r="I58" s="22" t="s">
        <v>399</v>
      </c>
      <c r="J58" s="16" t="s">
        <v>50</v>
      </c>
      <c r="K58" s="33" t="str">
        <f t="shared" si="1"/>
        <v>d-com-auth01-nic</v>
      </c>
      <c r="L58" s="34" t="s">
        <v>403</v>
      </c>
    </row>
    <row r="59" spans="2:12" x14ac:dyDescent="0.3"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 t="s">
        <v>82</v>
      </c>
      <c r="I59" s="24" t="s">
        <v>400</v>
      </c>
      <c r="J59" s="17" t="s">
        <v>50</v>
      </c>
      <c r="K59" s="35" t="str">
        <f t="shared" si="1"/>
        <v>d-com-proxy01-nic</v>
      </c>
      <c r="L59" s="37" t="s">
        <v>403</v>
      </c>
    </row>
    <row r="60" spans="2:12" x14ac:dyDescent="0.3"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319</v>
      </c>
      <c r="J60" s="16" t="s">
        <v>55</v>
      </c>
      <c r="K60" s="33" t="str">
        <f t="shared" si="1"/>
        <v>d-if-gramon01-nic</v>
      </c>
      <c r="L60" s="34" t="s">
        <v>403</v>
      </c>
    </row>
    <row r="61" spans="2:12" x14ac:dyDescent="0.3"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404</v>
      </c>
      <c r="J61" s="17" t="s">
        <v>53</v>
      </c>
      <c r="K61" s="35" t="str">
        <f t="shared" si="1"/>
        <v>d-doip-web01-nic</v>
      </c>
      <c r="L61" s="37" t="s">
        <v>403</v>
      </c>
    </row>
    <row r="62" spans="2:12" x14ac:dyDescent="0.3"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326</v>
      </c>
      <c r="J62" s="16" t="s">
        <v>53</v>
      </c>
      <c r="K62" s="33" t="str">
        <f t="shared" si="1"/>
        <v>d-doip-ap01-nic</v>
      </c>
      <c r="L62" s="34" t="s">
        <v>403</v>
      </c>
    </row>
    <row r="63" spans="2:12" x14ac:dyDescent="0.3"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405</v>
      </c>
      <c r="J63" s="17" t="s">
        <v>53</v>
      </c>
      <c r="K63" s="35" t="str">
        <f t="shared" si="1"/>
        <v>d-doip-adm01-nic</v>
      </c>
      <c r="L63" s="37" t="s">
        <v>403</v>
      </c>
    </row>
    <row r="64" spans="2:12" x14ac:dyDescent="0.3"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401</v>
      </c>
      <c r="J64" s="16" t="s">
        <v>184</v>
      </c>
      <c r="K64" s="33" t="str">
        <f t="shared" si="1"/>
        <v>d-bdp-crkweb01-nic</v>
      </c>
      <c r="L64" s="34" t="s">
        <v>403</v>
      </c>
    </row>
    <row r="65" spans="1:12" x14ac:dyDescent="0.3"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372</v>
      </c>
      <c r="J65" s="17" t="s">
        <v>184</v>
      </c>
      <c r="K65" s="35" t="str">
        <f t="shared" si="1"/>
        <v>d-bdp-crkap01-nic</v>
      </c>
      <c r="L65" s="37" t="s">
        <v>403</v>
      </c>
    </row>
    <row r="66" spans="1:12" x14ac:dyDescent="0.3"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335</v>
      </c>
      <c r="J66" s="16" t="s">
        <v>184</v>
      </c>
      <c r="K66" s="33" t="str">
        <f t="shared" si="1"/>
        <v>d-bdp-crkml01-nic</v>
      </c>
      <c r="L66" s="34" t="s">
        <v>403</v>
      </c>
    </row>
    <row r="67" spans="1:12" x14ac:dyDescent="0.3"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406</v>
      </c>
      <c r="J67" s="17" t="s">
        <v>52</v>
      </c>
      <c r="K67" s="35" t="str">
        <f t="shared" si="1"/>
        <v>d-dis-dfir01-nic</v>
      </c>
      <c r="L67" s="37" t="s">
        <v>403</v>
      </c>
    </row>
    <row r="68" spans="1:12" x14ac:dyDescent="0.3">
      <c r="A68" s="40"/>
      <c r="B68" s="41" t="s">
        <v>31</v>
      </c>
      <c r="C68" s="33" t="s">
        <v>341</v>
      </c>
      <c r="D68" s="43" t="s">
        <v>51</v>
      </c>
      <c r="E68" s="33" t="str">
        <f t="shared" si="2"/>
        <v>temp-zen-01-nsg</v>
      </c>
      <c r="F68" s="43" t="s">
        <v>49</v>
      </c>
      <c r="G68" s="43" t="s">
        <v>57</v>
      </c>
      <c r="H68" s="43" t="s">
        <v>429</v>
      </c>
      <c r="I68" s="46" t="s">
        <v>423</v>
      </c>
      <c r="J68" s="16" t="s">
        <v>51</v>
      </c>
      <c r="K68" s="33" t="str">
        <f t="shared" si="1"/>
        <v>temp-zen-01-nic</v>
      </c>
      <c r="L68" s="44" t="s">
        <v>403</v>
      </c>
    </row>
    <row r="69" spans="1:12" x14ac:dyDescent="0.3">
      <c r="A69" s="40"/>
      <c r="B69" s="42" t="s">
        <v>31</v>
      </c>
      <c r="C69" s="35" t="s">
        <v>341</v>
      </c>
      <c r="D69" s="42" t="s">
        <v>51</v>
      </c>
      <c r="E69" s="35" t="str">
        <f t="shared" si="2"/>
        <v>temp-zen-02-nsg</v>
      </c>
      <c r="F69" s="42" t="s">
        <v>49</v>
      </c>
      <c r="G69" s="42" t="s">
        <v>57</v>
      </c>
      <c r="H69" s="42" t="s">
        <v>429</v>
      </c>
      <c r="I69" s="47" t="s">
        <v>424</v>
      </c>
      <c r="J69" s="17" t="s">
        <v>51</v>
      </c>
      <c r="K69" s="35" t="str">
        <f t="shared" ref="K69" si="3">SUBSTITUTE($I69,"hazr-","")&amp;"-nic"</f>
        <v>temp-zen-02-nic</v>
      </c>
      <c r="L69" s="45" t="s">
        <v>403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2026-05-13T06:15:01Z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