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FD0380B-7FA5-4AB6-85D3-F5119F8B1F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8" i="1" l="1"/>
  <c r="E83" i="2" l="1"/>
  <c r="C83" i="2" s="1" a="1"/>
  <c r="C83" i="2" s="1"/>
  <c r="E82" i="2"/>
  <c r="C82" i="2" s="1" a="1"/>
  <c r="C82" i="2" s="1"/>
  <c r="E81" i="2"/>
  <c r="C81" i="2" s="1" a="1"/>
  <c r="C81" i="2" s="1"/>
  <c r="E80" i="2"/>
  <c r="C80" i="2" s="1" a="1"/>
  <c r="C80" i="2" s="1"/>
  <c r="E78" i="2"/>
  <c r="C78" i="2" s="1" a="1"/>
  <c r="C78" i="2" s="1"/>
  <c r="E77" i="2"/>
  <c r="C77" i="2" s="1" a="1"/>
  <c r="C77" i="2" s="1"/>
  <c r="E76" i="2"/>
  <c r="C76" i="2" s="1" a="1"/>
  <c r="C76" i="2" s="1"/>
  <c r="E75" i="2"/>
  <c r="C75" i="2" s="1" a="1"/>
  <c r="C75" i="2" s="1"/>
  <c r="E74" i="2"/>
  <c r="C74" i="2" s="1" a="1"/>
  <c r="C74" i="2" s="1"/>
  <c r="E73" i="2"/>
  <c r="C73" i="2" s="1" a="1"/>
  <c r="C73" i="2" s="1"/>
  <c r="E72" i="2"/>
  <c r="C72" i="2" s="1" a="1"/>
  <c r="C72" i="2" s="1"/>
  <c r="E71" i="2"/>
  <c r="C71" i="2" s="1" a="1"/>
  <c r="C71" i="2" s="1"/>
  <c r="E70" i="2"/>
  <c r="C70" i="2" s="1" a="1"/>
  <c r="C70" i="2" s="1"/>
  <c r="E69" i="2"/>
  <c r="C69" i="2" s="1" a="1"/>
  <c r="C69" i="2" s="1"/>
  <c r="E68" i="2"/>
  <c r="C68" i="2" s="1" a="1"/>
  <c r="C68" i="2" s="1"/>
  <c r="K6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3" i="2"/>
  <c r="K2" i="2"/>
  <c r="E67" i="2"/>
  <c r="C67" i="2" a="1"/>
  <c r="C67" i="2" s="1"/>
  <c r="E66" i="2"/>
  <c r="C66" i="2" a="1"/>
  <c r="C66" i="2" s="1"/>
  <c r="E65" i="2"/>
  <c r="C65" i="2" a="1"/>
  <c r="C65" i="2" s="1"/>
  <c r="E64" i="2"/>
  <c r="C64" i="2" a="1"/>
  <c r="C64" i="2" s="1"/>
  <c r="E63" i="2"/>
  <c r="C63" i="2" a="1"/>
  <c r="C63" i="2" s="1"/>
  <c r="E62" i="2"/>
  <c r="C62" i="2" a="1"/>
  <c r="C62" i="2" s="1"/>
  <c r="E61" i="2"/>
  <c r="C61" i="2" a="1"/>
  <c r="C61" i="2" s="1"/>
  <c r="E60" i="2"/>
  <c r="C60" i="2" a="1"/>
  <c r="C60" i="2" s="1"/>
  <c r="E59" i="2"/>
  <c r="C59" i="2" a="1"/>
  <c r="C59" i="2" s="1"/>
  <c r="E58" i="2"/>
  <c r="C58" i="2" a="1"/>
  <c r="C58" i="2" s="1"/>
  <c r="E57" i="2"/>
  <c r="C57" i="2" a="1"/>
  <c r="C57" i="2" s="1"/>
  <c r="E56" i="2"/>
  <c r="C56" i="2" a="1"/>
  <c r="C56" i="2" s="1"/>
  <c r="E55" i="2"/>
  <c r="C55" i="2" a="1"/>
  <c r="C55" i="2" s="1"/>
  <c r="E54" i="2"/>
  <c r="C54" i="2" a="1"/>
  <c r="C54" i="2" s="1"/>
  <c r="E53" i="2"/>
  <c r="C53" i="2" a="1"/>
  <c r="C53" i="2" s="1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<sst xmlns="http://schemas.openxmlformats.org/spreadsheetml/2006/main" count="2529" uniqueCount="435">
  <si>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</si>
  <si>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</si>
  <si>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</si>
  <si>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</si>
  <si>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</si>
  <si>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</si>
  <si>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</si>
  <si>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</si>
  <si>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</si>
  <si>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</si>
  <si>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</si>
  <si>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</si>
  <si>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</si>
  <si>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</si>
  <si>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</si>
  <si>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</si>
  <si>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</si>
  <si>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</si>
  <si>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</si>
  <si>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</si>
  <si>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</si>
  <si>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</si>
  <si>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</si>
  <si>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</si>
  <si>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</si>
  <si>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</si>
  <si>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</si>
  <si>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</si>
  <si>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</si>
  <si>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</si>
  <si>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</si>
  <si>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</si>
  <si>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</si>
  <si>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</si>
  <si>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</si>
  <si>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</si>
  <si>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</si>
  <si>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</si>
  <si>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</si>
  <si>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</si>
  <si>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</si>
  <si>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</si>
  <si>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</si>
  <si>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</si>
  <si>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</si>
  <si>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</si>
  <si>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</si>
  <si>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</si>
  <si>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</si>
  <si>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</si>
  <si>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</si>
  <si>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</si>
  <si>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</si>
  <si>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</si>
  <si>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</si>
  <si>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</si>
  <si>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</si>
  <si>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</si>
  <si>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</si>
  <si>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</si>
  <si>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</si>
  <si>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</si>
  <si>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</si>
  <si>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</si>
  <si>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</si>
  <si>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</si>
  <si>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</si>
  <si>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</si>
  <si>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</si>
  <si>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</si>
  <si>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</si>
  <si>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</si>
  <si>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</si>
  <si>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</si>
  <si>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</si>
  <si>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</si>
  <si>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</si>
  <si>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</si>
  <si>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</si>
  <si>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</si>
  <si>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</si>
  <si>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</si>
  <si>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</si>
  <si>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</si>
  <si>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</si>
  <si>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</si>
  <si>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</si>
  <si>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</si>
  <si>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</si>
  <si>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</si>
  <si>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</si>
  <si>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</si>
  <si>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</si>
  <si>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</si>
  <si>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</si>
  <si>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</si>
  <si>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</si>
  <si>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</si>
  <si>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</si>
  <si>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</si>
  <si>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</si>
  <si>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</si>
  <si>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</si>
  <si>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</si>
  <si>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</si>
  <si>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</si>
  <si>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</si>
  <si>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</si>
  <si>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</si>
  <si>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</si>
  <si>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</si>
  <si>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</si>
  <si>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</si>
  <si>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</si>
  <si>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</si>
  <si>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</si>
  <si>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</si>
  <si>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</si>
  <si>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</si>
  <si>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</si>
  <si>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</si>
  <si>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</si>
  <si>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</si>
  <si>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</si>
  <si>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</si>
  <si>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</si>
  <si>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</si>
  <si>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</si>
  <si>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</si>
  <si>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</si>
  <si>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</si>
  <si>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</si>
  <si>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</si>
  <si>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</si>
  <si>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</si>
  <si>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</si>
  <si>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</si>
  <si>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</si>
  <si>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</si>
  <si>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</si>
  <si>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</si>
  <si>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</si>
  <si>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</si>
  <si>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</si>
  <si>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</si>
  <si>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</si>
  <si>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</si>
  <si>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</si>
  <si>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</si>
  <si>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</si>
  <si>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</si>
  <si>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</si>
  <si>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</si>
  <si>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</si>
  <si>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</si>
  <si>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</si>
  <si>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</si>
  <si>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</si>
  <si>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</si>
  <si>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</si>
  <si>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</si>
  <si>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</si>
  <si>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</si>
  <si>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</si>
  <si>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</si>
  <si>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</si>
  <si>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</si>
  <si>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</si>
  <si>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</si>
  <si>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</si>
  <si>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</si>
  <si>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</si>
  <si>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</si>
  <si>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</si>
  <si>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</si>
  <si>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</si>
  <si>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</si>
  <si>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</si>
  <si>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</si>
  <si>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</si>
  <si>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</si>
  <si>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</si>
  <si>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</si>
  <si>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</si>
  <si>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</si>
  <si>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</si>
  <si>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</si>
  <si>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</si>
  <si>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</si>
  <si>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</si>
  <si>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</si>
  <si>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</si>
  <si>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</si>
  <si>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</si>
  <si>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</si>
  <si>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</si>
  <si>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</si>
  <si>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</si>
  <si>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</si>
  <si>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</si>
  <si>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</si>
  <si>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</si>
  <si>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</si>
  <si>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</si>
  <si>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</si>
  <si>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</si>
  <si>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</si>
  <si>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</si>
  <si>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</si>
  <si>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</si>
  <si>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</si>
  <si>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</si>
  <si>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</si>
  <si>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</si>
  <si>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</si>
  <si>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</si>
  <si>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</si>
  <si>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</si>
  <si>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</si>
  <si>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</si>
  <si>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</si>
  <si>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</si>
  <si>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</si>
  <si>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</si>
  <si>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</si>
  <si>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</si>
  <si>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</si>
  <si>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</si>
  <si>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</si>
  <si>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</si>
  <si>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</si>
  <si>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</si>
  <si>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</si>
  <si>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</si>
  <si>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</si>
  <si>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</si>
  <si>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</si>
  <si>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</si>
  <si>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</si>
  <si>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</si>
  <si>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</si>
  <si>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</si>
  <si>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</si>
  <si>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</si>
  <si>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</si>
  <si>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</si>
  <si>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</si>
  <si>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</si>
  <si>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</si>
  <si>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</si>
  <si>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</si>
  <si>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</si>
  <si>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</si>
  <si>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</si>
  <si>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</si>
  <si>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</si>
  <si>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</si>
  <si>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</si>
  <si>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</si>
  <si>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</si>
  <si>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</si>
  <si>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</si>
  <si>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</si>
  <si>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</si>
  <si>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</si>
  <si>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</si>
  <si>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</si>
  <si>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</si>
  <si>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</si>
  <si>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</si>
  <si>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</si>
  <si>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</si>
  <si>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</si>
  <si>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</si>
  <si>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</si>
  <si>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</si>
  <si>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</si>
  <si>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</si>
  <si>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</si>
  <si>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</si>
  <si>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</si>
  <si>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</si>
  <si>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</si>
  <si>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</si>
  <si>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</si>
  <si>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</si>
  <si>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</si>
  <si>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</si>
  <si>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</si>
  <si>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</si>
  <si>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</si>
  <si>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</si>
  <si>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</si>
  <si>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</si>
  <si>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</si>
  <si>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</si>
  <si>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</si>
  <si>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</si>
  <si>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</si>
  <si>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</si>
  <si>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</si>
  <si>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</si>
  <si>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</si>
  <si>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</si>
  <si>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</si>
  <si>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</si>
  <si>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</si>
  <si>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</si>
  <si>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</si>
  <si>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</si>
  <si>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</si>
  <si>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</si>
  <si>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</si>
  <si>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</si>
  <si>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</si>
  <si>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</si>
  <si>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</si>
  <si>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</si>
  <si>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</si>
  <si>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</si>
  <si>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</si>
  <si>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</si>
  <si>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</si>
  <si>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</si>
  <si>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</si>
  <si>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</si>
  <si>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</si>
  <si>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</si>
  <si>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</si>
  <si>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</si>
  <si>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</si>
  <si>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</si>
  <si>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</si>
  <si>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</si>
  <si>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</si>
  <si>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</si>
  <si>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</si>
  <si>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</si>
  <si>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</si>
  <si>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</si>
  <si>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</si>
  <si>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</si>
  <si>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</si>
  <si>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</si>
  <si>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</si>
  <si>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</si>
  <si>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</si>
  <si>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</si>
  <si>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</si>
  <si>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</si>
  <si>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</si>
  <si>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</si>
  <si>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</si>
  <si>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</si>
  <si>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</si>
  <si>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</si>
  <si>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</si>
  <si>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</si>
  <si>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</si>
  <si>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</si>
  <si>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</si>
  <si>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</si>
  <si>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</si>
  <si>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</si>
  <si>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</si>
  <si>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</si>
  <si>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</si>
  <si>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</si>
  <si>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</si>
  <si>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</si>
  <si>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</si>
  <si>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</si>
  <si>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</si>
  <si>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</si>
  <si>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</si>
  <si>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</si>
  <si>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</si>
  <si>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</si>
  <si>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</si>
  <si>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</si>
  <si>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</si>
  <si>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</si>
  <si>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</si>
  <si>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</si>
  <si>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</si>
  <si>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</si>
  <si>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</si>
  <si>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</si>
  <si>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</si>
  <si>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</si>
  <si>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</si>
  <si>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</si>
  <si>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</si>
  <si>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</si>
  <si>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</si>
  <si>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</si>
  <si>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</si>
  <si>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</si>
  <si>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</si>
  <si>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</si>
  <si>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</si>
  <si>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</si>
  <si>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</si>
  <si>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</si>
  <si>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</si>
  <si>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</si>
  <si>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</si>
  <si>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</si>
  <si>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</si>
  <si>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</si>
  <si>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</si>
  <si>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</si>
  <si>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</si>
  <si>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</si>
  <si>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</si>
  <si>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</si>
  <si>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</si>
  <si>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</si>
  <si>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</si>
  <si>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</si>
  <si>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</si>
  <si>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</si>
  <si>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</si>
  <si>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</si>
  <si>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</si>
  <si>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</si>
  <si>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</si>
  <si>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</si>
  <si>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</si>
  <si>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</si>
  <si>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</si>
  <si>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hazr-d-if-proxy01</t>
    <phoneticPr fontId="1" type="noConversion"/>
  </si>
  <si>
    <t>10.156.159.90</t>
    <phoneticPr fontId="1" type="noConversion"/>
  </si>
  <si>
    <t>10.156.135.10</t>
    <phoneticPr fontId="1" type="noConversion"/>
  </si>
  <si>
    <t>10.156.165.20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</si>
</sst>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3" fillId="0" borderId="0" xfId="0" applyFont="1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tabSelected="1"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337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338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333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336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339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340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341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342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343</v>
      </c>
      <c r="D10" s="8" t="s">
        <v>344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topLeftCell="A37" zoomScaleNormal="100" zoomScaleSheetLayoutView="100" workbookViewId="0">
      <selection activeCell="A58" sqref="A58:A59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360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361</v>
      </c>
      <c r="AB1" s="3" t="s">
        <v>359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346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329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355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368</v>
      </c>
      <c r="G3" s="1" t="s">
        <v>194</v>
      </c>
      <c r="H3" s="1" t="s">
        <v>185</v>
      </c>
      <c r="I3" s="1">
        <v>2</v>
      </c>
      <c r="J3" s="1">
        <v>8</v>
      </c>
      <c r="K3" s="1" t="s">
        <v>346</v>
      </c>
      <c r="L3" s="9" t="s">
        <v>182</v>
      </c>
      <c r="M3" s="1" t="s">
        <v>191</v>
      </c>
      <c r="N3" s="1" t="s">
        <v>367</v>
      </c>
      <c r="O3" s="1" t="str">
        <f t="shared" si="0"/>
        <v>d-dis-adm01-osdisk</v>
      </c>
      <c r="P3" s="1">
        <v>64</v>
      </c>
      <c r="Q3" s="1" t="s">
        <v>329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355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369</v>
      </c>
      <c r="G4" s="1" t="s">
        <v>196</v>
      </c>
      <c r="H4" s="10" t="s">
        <v>197</v>
      </c>
      <c r="I4" s="1">
        <v>2</v>
      </c>
      <c r="J4" s="1">
        <v>8</v>
      </c>
      <c r="K4" s="1" t="s">
        <v>346</v>
      </c>
      <c r="L4" s="1" t="s">
        <v>181</v>
      </c>
      <c r="M4" s="1" t="s">
        <v>191</v>
      </c>
      <c r="N4" s="1" t="s">
        <v>367</v>
      </c>
      <c r="O4" s="1" t="str">
        <f t="shared" si="0"/>
        <v>d-dis-bbiweb01-osdisk</v>
      </c>
      <c r="P4" s="1">
        <v>64</v>
      </c>
      <c r="Q4" s="1" t="s">
        <v>329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355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346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329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355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346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329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355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346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329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355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346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329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355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370</v>
      </c>
      <c r="F9" s="1" t="s">
        <v>372</v>
      </c>
      <c r="G9" s="1" t="s">
        <v>210</v>
      </c>
      <c r="H9" s="10" t="s">
        <v>197</v>
      </c>
      <c r="I9" s="1">
        <v>2</v>
      </c>
      <c r="J9" s="1">
        <v>8</v>
      </c>
      <c r="K9" s="1" t="s">
        <v>346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329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355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346</v>
      </c>
      <c r="L10" s="9" t="s">
        <v>181</v>
      </c>
      <c r="M10" s="1" t="s">
        <v>191</v>
      </c>
      <c r="N10" s="1" t="s">
        <v>367</v>
      </c>
      <c r="O10" s="1" t="str">
        <f t="shared" si="0"/>
        <v>d-dis-walkweb01-osdisk</v>
      </c>
      <c r="P10" s="1">
        <v>64</v>
      </c>
      <c r="Q10" s="1" t="s">
        <v>329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355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346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329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355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373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346</v>
      </c>
      <c r="L12" s="9" t="s">
        <v>181</v>
      </c>
      <c r="M12" s="1" t="s">
        <v>191</v>
      </c>
      <c r="N12" s="1" t="s">
        <v>367</v>
      </c>
      <c r="O12" s="1" t="str">
        <f t="shared" si="0"/>
        <v>d-dis-web01-osdisk</v>
      </c>
      <c r="P12" s="1">
        <v>64</v>
      </c>
      <c r="Q12" s="1" t="s">
        <v>329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355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374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346</v>
      </c>
      <c r="L13" s="1" t="s">
        <v>181</v>
      </c>
      <c r="M13" s="1" t="s">
        <v>191</v>
      </c>
      <c r="N13" s="1" t="s">
        <v>367</v>
      </c>
      <c r="O13" s="1" t="str">
        <f t="shared" si="0"/>
        <v>d-dis-cmsadm01-osdisk</v>
      </c>
      <c r="P13" s="1">
        <v>64</v>
      </c>
      <c r="Q13" s="1" t="s">
        <v>329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355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346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329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355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371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346</v>
      </c>
      <c r="L15" s="1" t="s">
        <v>181</v>
      </c>
      <c r="M15" s="1" t="s">
        <v>191</v>
      </c>
      <c r="N15" s="1" t="s">
        <v>367</v>
      </c>
      <c r="O15" s="1" t="str">
        <f t="shared" si="0"/>
        <v>d-dis-cmsweb01-osdisk</v>
      </c>
      <c r="P15" s="1">
        <v>64</v>
      </c>
      <c r="Q15" s="1" t="s">
        <v>329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355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391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346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329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355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346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329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355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346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329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355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346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329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355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346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329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355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346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329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355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375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346</v>
      </c>
      <c r="L22" s="1" t="s">
        <v>181</v>
      </c>
      <c r="M22" s="1" t="s">
        <v>191</v>
      </c>
      <c r="N22" s="1" t="s">
        <v>366</v>
      </c>
      <c r="O22" s="1" t="str">
        <f t="shared" si="0"/>
        <v>d-dtg-admweb01-osdisk</v>
      </c>
      <c r="P22" s="1">
        <v>64</v>
      </c>
      <c r="Q22" s="1" t="s">
        <v>329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355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376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346</v>
      </c>
      <c r="L23" s="9" t="s">
        <v>181</v>
      </c>
      <c r="M23" s="1" t="s">
        <v>191</v>
      </c>
      <c r="N23" s="1" t="s">
        <v>366</v>
      </c>
      <c r="O23" s="1" t="str">
        <f t="shared" si="0"/>
        <v>d-dtg-admap01-osdisk</v>
      </c>
      <c r="P23" s="1">
        <v>64</v>
      </c>
      <c r="Q23" s="1" t="s">
        <v>329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355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346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329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355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377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346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329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355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378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346</v>
      </c>
      <c r="L26" s="1" t="s">
        <v>181</v>
      </c>
      <c r="M26" s="1" t="s">
        <v>191</v>
      </c>
      <c r="N26" s="1" t="s">
        <v>366</v>
      </c>
      <c r="O26" s="1" t="str">
        <f t="shared" si="0"/>
        <v>d-dtg-web01-osdisk</v>
      </c>
      <c r="P26" s="1">
        <v>64</v>
      </c>
      <c r="Q26" s="1" t="s">
        <v>329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355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346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329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355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346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329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355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346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329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355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346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329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355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346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329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355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346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329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355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379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346</v>
      </c>
      <c r="L33" s="9" t="s">
        <v>181</v>
      </c>
      <c r="M33" s="1" t="s">
        <v>191</v>
      </c>
      <c r="N33" s="1" t="s">
        <v>366</v>
      </c>
      <c r="O33" s="1" t="str">
        <f t="shared" ref="O33:O61" si="2">SUBSTITUTE(F33,"hazr-","")&amp;"-osdisk"</f>
        <v>d-dtg-mdoms01-osdisk</v>
      </c>
      <c r="P33" s="1">
        <v>64</v>
      </c>
      <c r="Q33" s="1" t="s">
        <v>329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355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346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329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355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346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329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355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364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346</v>
      </c>
      <c r="L36" s="1" t="s">
        <v>181</v>
      </c>
      <c r="M36" s="1" t="s">
        <v>191</v>
      </c>
      <c r="N36" s="1" t="s">
        <v>366</v>
      </c>
      <c r="O36" s="1" t="str">
        <f t="shared" si="2"/>
        <v>d-dtg-cdsvadm01-osdisk</v>
      </c>
      <c r="P36" s="1">
        <v>64</v>
      </c>
      <c r="Q36" s="1" t="s">
        <v>329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355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346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329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355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380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346</v>
      </c>
      <c r="L38" s="1" t="s">
        <v>181</v>
      </c>
      <c r="M38" s="1" t="s">
        <v>191</v>
      </c>
      <c r="N38" s="1" t="s">
        <v>366</v>
      </c>
      <c r="O38" s="1" t="str">
        <f t="shared" si="2"/>
        <v>d-dtg-diosweb01-osdisk</v>
      </c>
      <c r="P38" s="1">
        <v>64</v>
      </c>
      <c r="Q38" s="1" t="s">
        <v>329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355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381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346</v>
      </c>
      <c r="L39" s="9" t="s">
        <v>181</v>
      </c>
      <c r="M39" s="1" t="s">
        <v>191</v>
      </c>
      <c r="N39" s="1" t="s">
        <v>366</v>
      </c>
      <c r="O39" s="1" t="str">
        <f t="shared" si="2"/>
        <v>d-dtg-dprweb01-osdisk</v>
      </c>
      <c r="P39" s="1">
        <v>64</v>
      </c>
      <c r="Q39" s="1" t="s">
        <v>329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355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346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329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355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382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346</v>
      </c>
      <c r="L41" s="9" t="s">
        <v>181</v>
      </c>
      <c r="M41" s="1" t="s">
        <v>191</v>
      </c>
      <c r="N41" s="1" t="s">
        <v>366</v>
      </c>
      <c r="O41" s="1" t="str">
        <f t="shared" si="2"/>
        <v>d-bdp-airfw01-osdisk</v>
      </c>
      <c r="P41" s="1">
        <v>64</v>
      </c>
      <c r="Q41" s="1" t="s">
        <v>329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355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383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346</v>
      </c>
      <c r="L42" s="1" t="s">
        <v>181</v>
      </c>
      <c r="M42" s="1" t="s">
        <v>191</v>
      </c>
      <c r="N42" s="1" t="s">
        <v>366</v>
      </c>
      <c r="O42" s="1" t="str">
        <f t="shared" si="2"/>
        <v>d-bdp-kepler01-osdisk</v>
      </c>
      <c r="P42" s="1">
        <v>64</v>
      </c>
      <c r="Q42" s="1" t="s">
        <v>329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355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365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346</v>
      </c>
      <c r="L43" s="9" t="s">
        <v>181</v>
      </c>
      <c r="M43" s="1" t="s">
        <v>191</v>
      </c>
      <c r="N43" s="1" t="s">
        <v>366</v>
      </c>
      <c r="O43" s="1" t="str">
        <f t="shared" si="2"/>
        <v>d-bdp-cxmadm01-osdisk</v>
      </c>
      <c r="P43" s="1">
        <v>64</v>
      </c>
      <c r="Q43" s="1" t="s">
        <v>329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355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384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346</v>
      </c>
      <c r="L44" s="1" t="s">
        <v>181</v>
      </c>
      <c r="M44" s="1" t="s">
        <v>191</v>
      </c>
      <c r="N44" s="1" t="s">
        <v>366</v>
      </c>
      <c r="O44" s="1" t="str">
        <f t="shared" si="2"/>
        <v>d-bdp-slap01-osdisk</v>
      </c>
      <c r="P44" s="1">
        <v>64</v>
      </c>
      <c r="Q44" s="1" t="s">
        <v>329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355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330</v>
      </c>
      <c r="E45" s="1" t="s">
        <v>23</v>
      </c>
      <c r="F45" s="1" t="s">
        <v>385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346</v>
      </c>
      <c r="L45" s="9" t="s">
        <v>181</v>
      </c>
      <c r="M45" s="1" t="s">
        <v>191</v>
      </c>
      <c r="N45" s="1" t="s">
        <v>366</v>
      </c>
      <c r="O45" s="1" t="str">
        <f t="shared" si="2"/>
        <v>d-dip-adm01-osdisk</v>
      </c>
      <c r="P45" s="1">
        <v>64</v>
      </c>
      <c r="Q45" s="1" t="s">
        <v>329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355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330</v>
      </c>
      <c r="E46" s="1" t="s">
        <v>23</v>
      </c>
      <c r="F46" s="1" t="s">
        <v>386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346</v>
      </c>
      <c r="L46" s="1" t="s">
        <v>181</v>
      </c>
      <c r="M46" s="1" t="s">
        <v>191</v>
      </c>
      <c r="N46" s="1" t="s">
        <v>366</v>
      </c>
      <c r="O46" s="1" t="str">
        <f t="shared" si="2"/>
        <v>d-dip-ap01-osdisk</v>
      </c>
      <c r="P46" s="1">
        <v>64</v>
      </c>
      <c r="Q46" s="1" t="s">
        <v>329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355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330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346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329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355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330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346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329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355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330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346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329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355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330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346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329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355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330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346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329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355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330</v>
      </c>
      <c r="E52" s="1" t="s">
        <v>23</v>
      </c>
      <c r="F52" s="1" t="s">
        <v>331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346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329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355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330</v>
      </c>
      <c r="E53" s="1" t="s">
        <v>23</v>
      </c>
      <c r="F53" s="1" t="s">
        <v>332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346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329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355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330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346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329</v>
      </c>
      <c r="R54" s="1"/>
      <c r="S54" s="1"/>
      <c r="T54" s="1"/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355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330</v>
      </c>
      <c r="E55" s="1" t="s">
        <v>23</v>
      </c>
      <c r="F55" s="1" t="s">
        <v>387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346</v>
      </c>
      <c r="L55" s="9" t="s">
        <v>181</v>
      </c>
      <c r="M55" s="1" t="s">
        <v>191</v>
      </c>
      <c r="N55" s="1" t="s">
        <v>366</v>
      </c>
      <c r="O55" s="1" t="str">
        <f t="shared" si="2"/>
        <v>d-dip-mqweb01-osdisk</v>
      </c>
      <c r="P55" s="1">
        <v>64</v>
      </c>
      <c r="Q55" s="1" t="s">
        <v>329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355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330</v>
      </c>
      <c r="E56" s="1" t="s">
        <v>23</v>
      </c>
      <c r="F56" s="1" t="s">
        <v>388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346</v>
      </c>
      <c r="L56" s="1" t="s">
        <v>181</v>
      </c>
      <c r="M56" s="1" t="s">
        <v>191</v>
      </c>
      <c r="N56" s="1" t="s">
        <v>366</v>
      </c>
      <c r="O56" s="1" t="str">
        <f t="shared" si="2"/>
        <v>d-dip-oms01-osdisk</v>
      </c>
      <c r="P56" s="1">
        <v>64</v>
      </c>
      <c r="Q56" s="1" t="s">
        <v>329</v>
      </c>
      <c r="R56" s="1"/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355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330</v>
      </c>
      <c r="E57" s="1" t="s">
        <v>23</v>
      </c>
      <c r="F57" s="1" t="s">
        <v>389</v>
      </c>
      <c r="G57" s="1" t="s">
        <v>432</v>
      </c>
      <c r="H57" s="1" t="s">
        <v>197</v>
      </c>
      <c r="I57" s="1">
        <v>2</v>
      </c>
      <c r="J57" s="1">
        <v>8</v>
      </c>
      <c r="K57" s="1" t="s">
        <v>346</v>
      </c>
      <c r="L57" s="9" t="s">
        <v>181</v>
      </c>
      <c r="M57" s="1" t="s">
        <v>191</v>
      </c>
      <c r="N57" s="1" t="s">
        <v>366</v>
      </c>
      <c r="O57" s="1" t="str">
        <f t="shared" si="2"/>
        <v>d-dip-web01-osdisk</v>
      </c>
      <c r="P57" s="1">
        <v>64</v>
      </c>
      <c r="Q57" s="1" t="s">
        <v>329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355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IF</v>
      </c>
      <c r="D58" s="1" t="s">
        <v>55</v>
      </c>
      <c r="E58" s="1" t="s">
        <v>23</v>
      </c>
      <c r="F58" s="1" t="s">
        <v>430</v>
      </c>
      <c r="G58" s="1" t="s">
        <v>434</v>
      </c>
      <c r="H58" s="10" t="s">
        <v>197</v>
      </c>
      <c r="I58" s="1">
        <v>2</v>
      </c>
      <c r="J58" s="1">
        <v>8</v>
      </c>
      <c r="K58" s="1" t="s">
        <v>346</v>
      </c>
      <c r="L58" s="1" t="s">
        <v>181</v>
      </c>
      <c r="M58" s="1" t="s">
        <v>191</v>
      </c>
      <c r="N58" s="1" t="s">
        <v>366</v>
      </c>
      <c r="O58" s="1" t="str">
        <f t="shared" si="2"/>
        <v>d-if-auth01-osdisk</v>
      </c>
      <c r="P58" s="1">
        <v>64</v>
      </c>
      <c r="Q58" s="1" t="s">
        <v>329</v>
      </c>
      <c r="R58" s="1"/>
      <c r="S58" s="1"/>
      <c r="T58" s="1"/>
      <c r="U58" s="1" t="str">
        <f>SUBSTITUTE(F58,"hazr-","")&amp;"-nic"</f>
        <v>d-if-auth01-nic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166</v>
      </c>
      <c r="AA58" s="1" t="b">
        <v>1</v>
      </c>
      <c r="AB58" s="1" t="s">
        <v>49</v>
      </c>
      <c r="AC58" s="1" t="s">
        <v>355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IF</v>
      </c>
      <c r="D59" s="1" t="s">
        <v>55</v>
      </c>
      <c r="E59" s="1" t="s">
        <v>23</v>
      </c>
      <c r="F59" s="1" t="s">
        <v>431</v>
      </c>
      <c r="G59" s="39" t="s">
        <v>433</v>
      </c>
      <c r="H59" s="10" t="s">
        <v>197</v>
      </c>
      <c r="I59" s="1">
        <v>2</v>
      </c>
      <c r="J59" s="1">
        <v>8</v>
      </c>
      <c r="K59" s="1" t="s">
        <v>346</v>
      </c>
      <c r="L59" s="9" t="s">
        <v>181</v>
      </c>
      <c r="M59" s="1" t="s">
        <v>191</v>
      </c>
      <c r="N59" s="1" t="s">
        <v>366</v>
      </c>
      <c r="O59" s="1" t="str">
        <f t="shared" si="2"/>
        <v>d-if-proxy01-osdisk</v>
      </c>
      <c r="P59" s="1">
        <v>64</v>
      </c>
      <c r="Q59" s="1" t="s">
        <v>329</v>
      </c>
      <c r="R59" s="1"/>
      <c r="S59" s="1"/>
      <c r="T59" s="1"/>
      <c r="U59" s="1" t="str">
        <f t="shared" si="3"/>
        <v>d-if-proxy01-nic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84</v>
      </c>
      <c r="AA59" s="1" t="b">
        <v>1</v>
      </c>
      <c r="AB59" s="1" t="s">
        <v>49</v>
      </c>
      <c r="AC59" s="1" t="s">
        <v>355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310</v>
      </c>
      <c r="E60" s="1" t="s">
        <v>23</v>
      </c>
      <c r="F60" s="1" t="s">
        <v>311</v>
      </c>
      <c r="G60" s="1" t="s">
        <v>312</v>
      </c>
      <c r="H60" s="1" t="s">
        <v>197</v>
      </c>
      <c r="I60" s="1">
        <v>2</v>
      </c>
      <c r="J60" s="1">
        <v>8</v>
      </c>
      <c r="K60" s="1" t="s">
        <v>346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329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313</v>
      </c>
      <c r="AA60" s="1" t="b">
        <v>1</v>
      </c>
      <c r="AB60" s="1" t="s">
        <v>49</v>
      </c>
      <c r="AC60" s="1" t="s">
        <v>355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314</v>
      </c>
      <c r="E61" s="1" t="s">
        <v>23</v>
      </c>
      <c r="F61" s="1" t="s">
        <v>315</v>
      </c>
      <c r="G61" s="1" t="s">
        <v>316</v>
      </c>
      <c r="H61" s="10" t="s">
        <v>197</v>
      </c>
      <c r="I61" s="1">
        <v>2</v>
      </c>
      <c r="J61" s="1">
        <v>8</v>
      </c>
      <c r="K61" s="1" t="s">
        <v>346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329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317</v>
      </c>
      <c r="AA61" s="1" t="b">
        <v>1</v>
      </c>
      <c r="AB61" s="1" t="s">
        <v>49</v>
      </c>
      <c r="AC61" s="1" t="s">
        <v>355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314</v>
      </c>
      <c r="E62" s="1" t="s">
        <v>23</v>
      </c>
      <c r="F62" s="1" t="s">
        <v>318</v>
      </c>
      <c r="G62" s="1" t="s">
        <v>319</v>
      </c>
      <c r="H62" s="10" t="s">
        <v>197</v>
      </c>
      <c r="I62" s="1">
        <v>2</v>
      </c>
      <c r="J62" s="1">
        <v>8</v>
      </c>
      <c r="K62" s="1" t="s">
        <v>346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329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317</v>
      </c>
      <c r="AA62" s="1" t="b">
        <v>1</v>
      </c>
      <c r="AB62" s="1" t="s">
        <v>49</v>
      </c>
      <c r="AC62" s="1" t="s">
        <v>355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314</v>
      </c>
      <c r="E63" s="1" t="s">
        <v>23</v>
      </c>
      <c r="F63" s="1" t="s">
        <v>320</v>
      </c>
      <c r="G63" s="1" t="s">
        <v>321</v>
      </c>
      <c r="H63" s="1" t="s">
        <v>197</v>
      </c>
      <c r="I63" s="1">
        <v>2</v>
      </c>
      <c r="J63" s="1">
        <v>8</v>
      </c>
      <c r="K63" s="1" t="s">
        <v>346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329</v>
      </c>
      <c r="R63" s="1"/>
      <c r="S63" s="1"/>
      <c r="T63" s="1"/>
      <c r="U63" s="1" t="str">
        <f t="shared" ref="U63:U67" si="5"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317</v>
      </c>
      <c r="AA63" s="1" t="b">
        <v>1</v>
      </c>
      <c r="AB63" s="1" t="s">
        <v>49</v>
      </c>
      <c r="AC63" s="1" t="s">
        <v>355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390</v>
      </c>
      <c r="G64" s="1" t="s">
        <v>323</v>
      </c>
      <c r="H64" s="10" t="s">
        <v>197</v>
      </c>
      <c r="I64" s="1">
        <v>2</v>
      </c>
      <c r="J64" s="1">
        <v>8</v>
      </c>
      <c r="K64" s="1" t="s">
        <v>346</v>
      </c>
      <c r="L64" s="9" t="s">
        <v>181</v>
      </c>
      <c r="M64" s="1" t="s">
        <v>191</v>
      </c>
      <c r="N64" s="1" t="s">
        <v>366</v>
      </c>
      <c r="O64" s="1" t="str">
        <f t="shared" si="4"/>
        <v>d-bdp-crkweb01-osdisk</v>
      </c>
      <c r="P64" s="1">
        <v>64</v>
      </c>
      <c r="Q64" s="1" t="s">
        <v>329</v>
      </c>
      <c r="R64" s="1"/>
      <c r="S64" s="1"/>
      <c r="T64" s="1"/>
      <c r="U64" s="1" t="str">
        <f t="shared" si="5"/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324</v>
      </c>
      <c r="AA64" s="1" t="b">
        <v>1</v>
      </c>
      <c r="AB64" s="1" t="s">
        <v>49</v>
      </c>
      <c r="AC64" s="1" t="s">
        <v>355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325</v>
      </c>
      <c r="G65" s="1" t="s">
        <v>326</v>
      </c>
      <c r="H65" s="10" t="s">
        <v>197</v>
      </c>
      <c r="I65" s="1">
        <v>2</v>
      </c>
      <c r="J65" s="1">
        <v>8</v>
      </c>
      <c r="K65" s="1" t="s">
        <v>346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329</v>
      </c>
      <c r="R65" s="1"/>
      <c r="S65" s="1"/>
      <c r="T65" s="1"/>
      <c r="U65" s="1" t="str">
        <f t="shared" si="5"/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355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327</v>
      </c>
      <c r="G66" s="1" t="s">
        <v>328</v>
      </c>
      <c r="H66" s="1" t="s">
        <v>197</v>
      </c>
      <c r="I66" s="1">
        <v>2</v>
      </c>
      <c r="J66" s="1">
        <v>8</v>
      </c>
      <c r="K66" s="1" t="s">
        <v>346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329</v>
      </c>
      <c r="R66" s="1"/>
      <c r="S66" s="1"/>
      <c r="T66" s="1"/>
      <c r="U66" s="1" t="str">
        <f t="shared" si="5"/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355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334</v>
      </c>
      <c r="G67" s="1" t="s">
        <v>335</v>
      </c>
      <c r="H67" s="10" t="s">
        <v>197</v>
      </c>
      <c r="I67" s="1">
        <v>2</v>
      </c>
      <c r="J67" s="1">
        <v>8</v>
      </c>
      <c r="K67" s="1" t="s">
        <v>346</v>
      </c>
      <c r="L67" s="1" t="s">
        <v>181</v>
      </c>
      <c r="M67" s="1" t="s">
        <v>183</v>
      </c>
      <c r="N67" s="1" t="s">
        <v>345</v>
      </c>
      <c r="O67" s="1" t="str">
        <f t="shared" si="4"/>
        <v>d-dis-dfir01-osdisk</v>
      </c>
      <c r="P67" s="1">
        <v>128</v>
      </c>
      <c r="Q67" s="1" t="s">
        <v>329</v>
      </c>
      <c r="R67" s="1"/>
      <c r="S67" s="1"/>
      <c r="T67" s="1"/>
      <c r="U67" s="1" t="str">
        <f t="shared" si="5"/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355</v>
      </c>
      <c r="AD67" s="1">
        <v>1</v>
      </c>
      <c r="AE67" s="1"/>
      <c r="AF6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topLeftCell="A37" workbookViewId="0">
      <selection activeCell="A58" sqref="A58:A59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347</v>
      </c>
      <c r="G1" s="15" t="s">
        <v>349</v>
      </c>
      <c r="H1" s="15" t="s">
        <v>351</v>
      </c>
      <c r="I1" s="15" t="s">
        <v>352</v>
      </c>
      <c r="J1" s="15" t="s">
        <v>350</v>
      </c>
      <c r="K1" s="15" t="s">
        <v>353</v>
      </c>
      <c r="L1" s="15" t="s">
        <v>354</v>
      </c>
      <c r="M1" s="15" t="s">
        <v>348</v>
      </c>
      <c r="N1" s="15" t="s">
        <v>357</v>
      </c>
      <c r="O1" s="15" t="s">
        <v>359</v>
      </c>
      <c r="P1" s="15" t="s">
        <v>48</v>
      </c>
      <c r="Q1" s="15" t="s">
        <v>356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329</v>
      </c>
      <c r="I2" s="16">
        <v>64</v>
      </c>
      <c r="J2" s="16" t="str">
        <f>SUBSTITUTE($F2,"hazr-","")&amp;"-disk02"</f>
        <v>d-dis-ap01-disk02</v>
      </c>
      <c r="K2" s="16" t="s">
        <v>329</v>
      </c>
      <c r="L2" s="16">
        <v>64</v>
      </c>
      <c r="M2" s="16">
        <v>1</v>
      </c>
      <c r="N2" s="16" t="s">
        <v>358</v>
      </c>
      <c r="O2" s="16" t="s">
        <v>49</v>
      </c>
      <c r="P2" s="16" t="s">
        <v>355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329</v>
      </c>
      <c r="I3" s="17">
        <v>64</v>
      </c>
      <c r="J3" s="17" t="str">
        <f t="shared" ref="J3:J62" si="1">SUBSTITUTE($F3,"hazr-","")&amp;"-disk02"</f>
        <v>d-dis-adm01-disk02</v>
      </c>
      <c r="K3" s="17" t="s">
        <v>329</v>
      </c>
      <c r="L3" s="17">
        <v>64</v>
      </c>
      <c r="M3" s="17">
        <v>1</v>
      </c>
      <c r="N3" s="17" t="s">
        <v>358</v>
      </c>
      <c r="O3" s="17" t="s">
        <v>49</v>
      </c>
      <c r="P3" s="17" t="s">
        <v>355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329</v>
      </c>
      <c r="I4" s="16">
        <v>64</v>
      </c>
      <c r="J4" s="16" t="str">
        <f t="shared" si="1"/>
        <v>d-dis-bbiweb01-disk02</v>
      </c>
      <c r="K4" s="16" t="s">
        <v>329</v>
      </c>
      <c r="L4" s="16">
        <v>64</v>
      </c>
      <c r="M4" s="16">
        <v>1</v>
      </c>
      <c r="N4" s="16" t="s">
        <v>358</v>
      </c>
      <c r="O4" s="16" t="s">
        <v>49</v>
      </c>
      <c r="P4" s="16" t="s">
        <v>355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329</v>
      </c>
      <c r="I5" s="17">
        <v>64</v>
      </c>
      <c r="J5" s="17" t="str">
        <f t="shared" si="1"/>
        <v>d-dis-bbicltap01-disk02</v>
      </c>
      <c r="K5" s="17" t="s">
        <v>329</v>
      </c>
      <c r="L5" s="17">
        <v>64</v>
      </c>
      <c r="M5" s="17">
        <v>1</v>
      </c>
      <c r="N5" s="17" t="s">
        <v>358</v>
      </c>
      <c r="O5" s="17" t="s">
        <v>49</v>
      </c>
      <c r="P5" s="17" t="s">
        <v>355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329</v>
      </c>
      <c r="I6" s="16">
        <v>64</v>
      </c>
      <c r="J6" s="16" t="str">
        <f t="shared" si="1"/>
        <v>d-dis-bbimsgap01-disk02</v>
      </c>
      <c r="K6" s="16" t="s">
        <v>329</v>
      </c>
      <c r="L6" s="16">
        <v>64</v>
      </c>
      <c r="M6" s="16">
        <v>1</v>
      </c>
      <c r="N6" s="16" t="s">
        <v>358</v>
      </c>
      <c r="O6" s="16" t="s">
        <v>49</v>
      </c>
      <c r="P6" s="16" t="s">
        <v>355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329</v>
      </c>
      <c r="I7" s="17">
        <v>64</v>
      </c>
      <c r="J7" s="17" t="str">
        <f t="shared" si="1"/>
        <v>d-dis-walkap01-disk02</v>
      </c>
      <c r="K7" s="17" t="s">
        <v>329</v>
      </c>
      <c r="L7" s="17">
        <v>64</v>
      </c>
      <c r="M7" s="17">
        <v>1</v>
      </c>
      <c r="N7" s="17" t="s">
        <v>358</v>
      </c>
      <c r="O7" s="17" t="s">
        <v>49</v>
      </c>
      <c r="P7" s="17" t="s">
        <v>355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329</v>
      </c>
      <c r="I8" s="16">
        <v>64</v>
      </c>
      <c r="J8" s="16" t="str">
        <f t="shared" si="1"/>
        <v>d-dis-bat01-disk02</v>
      </c>
      <c r="K8" s="16" t="s">
        <v>329</v>
      </c>
      <c r="L8" s="16">
        <v>64</v>
      </c>
      <c r="M8" s="16">
        <v>1</v>
      </c>
      <c r="N8" s="16" t="s">
        <v>358</v>
      </c>
      <c r="O8" s="16" t="s">
        <v>49</v>
      </c>
      <c r="P8" s="16" t="s">
        <v>355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329</v>
      </c>
      <c r="I9" s="16">
        <v>64</v>
      </c>
      <c r="J9" s="16" t="str">
        <f t="shared" si="1"/>
        <v>d-dis-drvcltap01-disk02</v>
      </c>
      <c r="K9" s="16" t="s">
        <v>329</v>
      </c>
      <c r="L9" s="16">
        <v>64</v>
      </c>
      <c r="M9" s="16">
        <v>1</v>
      </c>
      <c r="N9" s="16" t="s">
        <v>358</v>
      </c>
      <c r="O9" s="16" t="s">
        <v>49</v>
      </c>
      <c r="P9" s="16" t="s">
        <v>355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329</v>
      </c>
      <c r="I10" s="17">
        <v>64</v>
      </c>
      <c r="J10" s="17" t="str">
        <f t="shared" si="1"/>
        <v>d-dis-walkweb01-disk02</v>
      </c>
      <c r="K10" s="17" t="s">
        <v>329</v>
      </c>
      <c r="L10" s="17">
        <v>64</v>
      </c>
      <c r="M10" s="17">
        <v>1</v>
      </c>
      <c r="N10" s="17" t="s">
        <v>358</v>
      </c>
      <c r="O10" s="17" t="s">
        <v>49</v>
      </c>
      <c r="P10" s="17" t="s">
        <v>355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329</v>
      </c>
      <c r="I11" s="16">
        <v>64</v>
      </c>
      <c r="J11" s="16" t="str">
        <f t="shared" si="1"/>
        <v>d-dis-drvmsgap01-disk02</v>
      </c>
      <c r="K11" s="16" t="s">
        <v>329</v>
      </c>
      <c r="L11" s="16">
        <v>64</v>
      </c>
      <c r="M11" s="16">
        <v>1</v>
      </c>
      <c r="N11" s="16" t="s">
        <v>358</v>
      </c>
      <c r="O11" s="16" t="s">
        <v>49</v>
      </c>
      <c r="P11" s="16" t="s">
        <v>355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329</v>
      </c>
      <c r="I12" s="17">
        <v>64</v>
      </c>
      <c r="J12" s="17" t="str">
        <f t="shared" si="1"/>
        <v>d-dis-web01-disk02</v>
      </c>
      <c r="K12" s="17" t="s">
        <v>329</v>
      </c>
      <c r="L12" s="17">
        <v>64</v>
      </c>
      <c r="M12" s="17">
        <v>1</v>
      </c>
      <c r="N12" s="17" t="s">
        <v>358</v>
      </c>
      <c r="O12" s="17" t="s">
        <v>49</v>
      </c>
      <c r="P12" s="17" t="s">
        <v>355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329</v>
      </c>
      <c r="I13" s="16">
        <v>64</v>
      </c>
      <c r="J13" s="16" t="str">
        <f t="shared" si="1"/>
        <v>d-dis-cmsadm01-disk02</v>
      </c>
      <c r="K13" s="16" t="s">
        <v>329</v>
      </c>
      <c r="L13" s="16">
        <v>64</v>
      </c>
      <c r="M13" s="16">
        <v>1</v>
      </c>
      <c r="N13" s="16" t="s">
        <v>358</v>
      </c>
      <c r="O13" s="16" t="s">
        <v>49</v>
      </c>
      <c r="P13" s="16" t="s">
        <v>355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329</v>
      </c>
      <c r="I14" s="17">
        <v>64</v>
      </c>
      <c r="J14" s="17" t="str">
        <f t="shared" si="1"/>
        <v>d-dis-cmsap01-disk02</v>
      </c>
      <c r="K14" s="17" t="s">
        <v>329</v>
      </c>
      <c r="L14" s="17">
        <v>64</v>
      </c>
      <c r="M14" s="17">
        <v>1</v>
      </c>
      <c r="N14" s="17" t="s">
        <v>358</v>
      </c>
      <c r="O14" s="17" t="s">
        <v>49</v>
      </c>
      <c r="P14" s="17" t="s">
        <v>355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329</v>
      </c>
      <c r="I15" s="16">
        <v>64</v>
      </c>
      <c r="J15" s="16" t="str">
        <f t="shared" si="1"/>
        <v>d-dis-cmsweb01-disk02</v>
      </c>
      <c r="K15" s="16" t="s">
        <v>329</v>
      </c>
      <c r="L15" s="16">
        <v>64</v>
      </c>
      <c r="M15" s="16">
        <v>1</v>
      </c>
      <c r="N15" s="16" t="s">
        <v>358</v>
      </c>
      <c r="O15" s="16" t="s">
        <v>49</v>
      </c>
      <c r="P15" s="16" t="s">
        <v>355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329</v>
      </c>
      <c r="I16" s="17">
        <v>64</v>
      </c>
      <c r="J16" s="17" t="str">
        <f t="shared" si="1"/>
        <v>d-dis-cmbsap01-disk02</v>
      </c>
      <c r="K16" s="17" t="s">
        <v>329</v>
      </c>
      <c r="L16" s="17">
        <v>64</v>
      </c>
      <c r="M16" s="17">
        <v>1</v>
      </c>
      <c r="N16" s="17" t="s">
        <v>358</v>
      </c>
      <c r="O16" s="17" t="s">
        <v>49</v>
      </c>
      <c r="P16" s="17" t="s">
        <v>355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329</v>
      </c>
      <c r="I17" s="16">
        <v>64</v>
      </c>
      <c r="J17" s="16" t="str">
        <f t="shared" si="1"/>
        <v>d-dtg-ingap01-disk02</v>
      </c>
      <c r="K17" s="16" t="s">
        <v>329</v>
      </c>
      <c r="L17" s="16">
        <v>64</v>
      </c>
      <c r="M17" s="16">
        <v>1</v>
      </c>
      <c r="N17" s="16" t="s">
        <v>358</v>
      </c>
      <c r="O17" s="16" t="s">
        <v>49</v>
      </c>
      <c r="P17" s="16" t="s">
        <v>355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329</v>
      </c>
      <c r="I18" s="17">
        <v>64</v>
      </c>
      <c r="J18" s="17" t="str">
        <f t="shared" si="1"/>
        <v>d-dtg-ap01-disk02</v>
      </c>
      <c r="K18" s="17" t="s">
        <v>329</v>
      </c>
      <c r="L18" s="17">
        <v>64</v>
      </c>
      <c r="M18" s="17">
        <v>1</v>
      </c>
      <c r="N18" s="17" t="s">
        <v>358</v>
      </c>
      <c r="O18" s="17" t="s">
        <v>49</v>
      </c>
      <c r="P18" s="17" t="s">
        <v>355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329</v>
      </c>
      <c r="I19" s="16">
        <v>64</v>
      </c>
      <c r="J19" s="16" t="str">
        <f t="shared" si="1"/>
        <v>d-dtg-extgeoap01-disk02</v>
      </c>
      <c r="K19" s="16" t="s">
        <v>329</v>
      </c>
      <c r="L19" s="16">
        <v>64</v>
      </c>
      <c r="M19" s="16">
        <v>1</v>
      </c>
      <c r="N19" s="16" t="s">
        <v>358</v>
      </c>
      <c r="O19" s="16" t="s">
        <v>49</v>
      </c>
      <c r="P19" s="16" t="s">
        <v>355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329</v>
      </c>
      <c r="I20" s="17">
        <v>64</v>
      </c>
      <c r="J20" s="17" t="str">
        <f t="shared" si="1"/>
        <v>d-dtg-geoap01-disk02</v>
      </c>
      <c r="K20" s="17" t="s">
        <v>329</v>
      </c>
      <c r="L20" s="17">
        <v>64</v>
      </c>
      <c r="M20" s="17">
        <v>1</v>
      </c>
      <c r="N20" s="17" t="s">
        <v>358</v>
      </c>
      <c r="O20" s="17" t="s">
        <v>49</v>
      </c>
      <c r="P20" s="17" t="s">
        <v>355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329</v>
      </c>
      <c r="I21" s="16">
        <v>64</v>
      </c>
      <c r="J21" s="16" t="str">
        <f t="shared" si="1"/>
        <v>d-dtg-mq01-disk02</v>
      </c>
      <c r="K21" s="16" t="s">
        <v>329</v>
      </c>
      <c r="L21" s="16">
        <v>64</v>
      </c>
      <c r="M21" s="16">
        <v>1</v>
      </c>
      <c r="N21" s="16" t="s">
        <v>358</v>
      </c>
      <c r="O21" s="16" t="s">
        <v>49</v>
      </c>
      <c r="P21" s="16" t="s">
        <v>355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329</v>
      </c>
      <c r="I22" s="17">
        <v>64</v>
      </c>
      <c r="J22" s="17" t="str">
        <f t="shared" si="1"/>
        <v>d-dtg-admweb01-disk02</v>
      </c>
      <c r="K22" s="17" t="s">
        <v>329</v>
      </c>
      <c r="L22" s="17">
        <v>64</v>
      </c>
      <c r="M22" s="17">
        <v>1</v>
      </c>
      <c r="N22" s="17" t="s">
        <v>358</v>
      </c>
      <c r="O22" s="17" t="s">
        <v>49</v>
      </c>
      <c r="P22" s="17" t="s">
        <v>355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329</v>
      </c>
      <c r="I23" s="16">
        <v>64</v>
      </c>
      <c r="J23" s="16" t="str">
        <f t="shared" si="1"/>
        <v>d-dtg-admap01-disk02</v>
      </c>
      <c r="K23" s="16" t="s">
        <v>329</v>
      </c>
      <c r="L23" s="16">
        <v>64</v>
      </c>
      <c r="M23" s="16">
        <v>1</v>
      </c>
      <c r="N23" s="16" t="s">
        <v>358</v>
      </c>
      <c r="O23" s="16" t="s">
        <v>49</v>
      </c>
      <c r="P23" s="16" t="s">
        <v>355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329</v>
      </c>
      <c r="I24" s="17">
        <v>64</v>
      </c>
      <c r="J24" s="17" t="str">
        <f t="shared" si="1"/>
        <v>d-dtg-dtoms01-disk02</v>
      </c>
      <c r="K24" s="17" t="s">
        <v>329</v>
      </c>
      <c r="L24" s="17">
        <v>64</v>
      </c>
      <c r="M24" s="17">
        <v>1</v>
      </c>
      <c r="N24" s="17" t="s">
        <v>358</v>
      </c>
      <c r="O24" s="17" t="s">
        <v>49</v>
      </c>
      <c r="P24" s="17" t="s">
        <v>355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329</v>
      </c>
      <c r="I25" s="16">
        <v>256</v>
      </c>
      <c r="J25" s="16" t="str">
        <f t="shared" si="1"/>
        <v>d-dtg-tsdb01-disk02</v>
      </c>
      <c r="K25" s="16" t="s">
        <v>329</v>
      </c>
      <c r="L25" s="16">
        <v>256</v>
      </c>
      <c r="M25" s="16">
        <v>1</v>
      </c>
      <c r="N25" s="16" t="s">
        <v>358</v>
      </c>
      <c r="O25" s="16" t="s">
        <v>49</v>
      </c>
      <c r="P25" s="16" t="s">
        <v>355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329</v>
      </c>
      <c r="I26" s="17">
        <v>64</v>
      </c>
      <c r="J26" s="17" t="str">
        <f t="shared" si="1"/>
        <v>d-dtg-web01-disk02</v>
      </c>
      <c r="K26" s="17" t="s">
        <v>329</v>
      </c>
      <c r="L26" s="17">
        <v>64</v>
      </c>
      <c r="M26" s="17">
        <v>1</v>
      </c>
      <c r="N26" s="17" t="s">
        <v>358</v>
      </c>
      <c r="O26" s="17" t="s">
        <v>49</v>
      </c>
      <c r="P26" s="17" t="s">
        <v>355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329</v>
      </c>
      <c r="I27" s="16">
        <v>64</v>
      </c>
      <c r="J27" s="16" t="str">
        <f t="shared" si="1"/>
        <v>d-dtg-zkp01-disk02</v>
      </c>
      <c r="K27" s="16" t="s">
        <v>329</v>
      </c>
      <c r="L27" s="16">
        <v>64</v>
      </c>
      <c r="M27" s="16">
        <v>1</v>
      </c>
      <c r="N27" s="16" t="s">
        <v>358</v>
      </c>
      <c r="O27" s="16" t="s">
        <v>49</v>
      </c>
      <c r="P27" s="16" t="s">
        <v>355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329</v>
      </c>
      <c r="I28" s="17">
        <v>64</v>
      </c>
      <c r="J28" s="17" t="str">
        <f t="shared" si="1"/>
        <v>d-dtg-zkp02-disk02</v>
      </c>
      <c r="K28" s="17" t="s">
        <v>329</v>
      </c>
      <c r="L28" s="17">
        <v>64</v>
      </c>
      <c r="M28" s="17">
        <v>1</v>
      </c>
      <c r="N28" s="17" t="s">
        <v>358</v>
      </c>
      <c r="O28" s="17" t="s">
        <v>49</v>
      </c>
      <c r="P28" s="17" t="s">
        <v>355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329</v>
      </c>
      <c r="I29" s="16">
        <v>64</v>
      </c>
      <c r="J29" s="16" t="str">
        <f t="shared" si="1"/>
        <v>d-dtg-zkp03-disk02</v>
      </c>
      <c r="K29" s="16" t="s">
        <v>329</v>
      </c>
      <c r="L29" s="16">
        <v>64</v>
      </c>
      <c r="M29" s="16">
        <v>1</v>
      </c>
      <c r="N29" s="16" t="s">
        <v>358</v>
      </c>
      <c r="O29" s="16" t="s">
        <v>49</v>
      </c>
      <c r="P29" s="16" t="s">
        <v>355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329</v>
      </c>
      <c r="I30" s="17">
        <v>64</v>
      </c>
      <c r="J30" s="17" t="str">
        <f t="shared" si="1"/>
        <v>d-dtg-kfk01-disk02</v>
      </c>
      <c r="K30" s="17" t="s">
        <v>329</v>
      </c>
      <c r="L30" s="17">
        <v>64</v>
      </c>
      <c r="M30" s="17">
        <v>1</v>
      </c>
      <c r="N30" s="17" t="s">
        <v>358</v>
      </c>
      <c r="O30" s="17" t="s">
        <v>49</v>
      </c>
      <c r="P30" s="17" t="s">
        <v>355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329</v>
      </c>
      <c r="I31" s="16">
        <v>64</v>
      </c>
      <c r="J31" s="16" t="str">
        <f t="shared" si="1"/>
        <v>d-dtg-kfk02-disk02</v>
      </c>
      <c r="K31" s="16" t="s">
        <v>329</v>
      </c>
      <c r="L31" s="16">
        <v>64</v>
      </c>
      <c r="M31" s="16">
        <v>1</v>
      </c>
      <c r="N31" s="16" t="s">
        <v>358</v>
      </c>
      <c r="O31" s="16" t="s">
        <v>49</v>
      </c>
      <c r="P31" s="16" t="s">
        <v>355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329</v>
      </c>
      <c r="I32" s="17">
        <v>64</v>
      </c>
      <c r="J32" s="17" t="str">
        <f t="shared" si="1"/>
        <v>d-dtg-kfk03-disk02</v>
      </c>
      <c r="K32" s="17" t="s">
        <v>329</v>
      </c>
      <c r="L32" s="17">
        <v>64</v>
      </c>
      <c r="M32" s="17">
        <v>1</v>
      </c>
      <c r="N32" s="17" t="s">
        <v>358</v>
      </c>
      <c r="O32" s="17" t="s">
        <v>49</v>
      </c>
      <c r="P32" s="17" t="s">
        <v>355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329</v>
      </c>
      <c r="I33" s="16">
        <v>64</v>
      </c>
      <c r="J33" s="16" t="str">
        <f t="shared" si="1"/>
        <v>d-dtg-mdoms01-disk02</v>
      </c>
      <c r="K33" s="16" t="s">
        <v>329</v>
      </c>
      <c r="L33" s="16">
        <v>64</v>
      </c>
      <c r="M33" s="16">
        <v>1</v>
      </c>
      <c r="N33" s="16" t="s">
        <v>358</v>
      </c>
      <c r="O33" s="16" t="s">
        <v>49</v>
      </c>
      <c r="P33" s="16" t="s">
        <v>355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329</v>
      </c>
      <c r="I34" s="17">
        <v>64</v>
      </c>
      <c r="J34" s="17" t="str">
        <f t="shared" si="1"/>
        <v>d-dtg-cdmlap01-disk02</v>
      </c>
      <c r="K34" s="17" t="s">
        <v>329</v>
      </c>
      <c r="L34" s="17">
        <v>64</v>
      </c>
      <c r="M34" s="17">
        <v>1</v>
      </c>
      <c r="N34" s="17" t="s">
        <v>358</v>
      </c>
      <c r="O34" s="17" t="s">
        <v>49</v>
      </c>
      <c r="P34" s="17" t="s">
        <v>355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329</v>
      </c>
      <c r="I35" s="16">
        <v>64</v>
      </c>
      <c r="J35" s="16" t="str">
        <f t="shared" si="1"/>
        <v>d-dtg-cdstap01-disk02</v>
      </c>
      <c r="K35" s="16" t="s">
        <v>329</v>
      </c>
      <c r="L35" s="16">
        <v>64</v>
      </c>
      <c r="M35" s="16">
        <v>1</v>
      </c>
      <c r="N35" s="16" t="s">
        <v>358</v>
      </c>
      <c r="O35" s="16" t="s">
        <v>49</v>
      </c>
      <c r="P35" s="16" t="s">
        <v>355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364</v>
      </c>
      <c r="G36" s="17" t="str">
        <f t="shared" si="0"/>
        <v>d-dtg-cdsvadm01-disk01</v>
      </c>
      <c r="H36" s="17" t="s">
        <v>329</v>
      </c>
      <c r="I36" s="17">
        <v>64</v>
      </c>
      <c r="J36" s="17" t="str">
        <f t="shared" si="1"/>
        <v>d-dtg-cdsvadm01-disk02</v>
      </c>
      <c r="K36" s="17" t="s">
        <v>329</v>
      </c>
      <c r="L36" s="17">
        <v>64</v>
      </c>
      <c r="M36" s="17">
        <v>1</v>
      </c>
      <c r="N36" s="17" t="s">
        <v>358</v>
      </c>
      <c r="O36" s="17" t="s">
        <v>49</v>
      </c>
      <c r="P36" s="17" t="s">
        <v>355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329</v>
      </c>
      <c r="I37" s="16">
        <v>64</v>
      </c>
      <c r="J37" s="16" t="str">
        <f t="shared" si="1"/>
        <v>d-dtg-diosap01-disk02</v>
      </c>
      <c r="K37" s="16" t="s">
        <v>329</v>
      </c>
      <c r="L37" s="16">
        <v>64</v>
      </c>
      <c r="M37" s="16">
        <v>1</v>
      </c>
      <c r="N37" s="16" t="s">
        <v>358</v>
      </c>
      <c r="O37" s="16" t="s">
        <v>49</v>
      </c>
      <c r="P37" s="16" t="s">
        <v>355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329</v>
      </c>
      <c r="I38" s="17">
        <v>64</v>
      </c>
      <c r="J38" s="17" t="str">
        <f t="shared" si="1"/>
        <v>d-dtg-diosweb01-disk02</v>
      </c>
      <c r="K38" s="17" t="s">
        <v>329</v>
      </c>
      <c r="L38" s="17">
        <v>64</v>
      </c>
      <c r="M38" s="17">
        <v>1</v>
      </c>
      <c r="N38" s="17" t="s">
        <v>358</v>
      </c>
      <c r="O38" s="17" t="s">
        <v>49</v>
      </c>
      <c r="P38" s="17" t="s">
        <v>355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329</v>
      </c>
      <c r="I39" s="16">
        <v>64</v>
      </c>
      <c r="J39" s="16" t="str">
        <f t="shared" si="1"/>
        <v>d-dtg-dprweb01-disk02</v>
      </c>
      <c r="K39" s="16" t="s">
        <v>329</v>
      </c>
      <c r="L39" s="16">
        <v>64</v>
      </c>
      <c r="M39" s="16">
        <v>1</v>
      </c>
      <c r="N39" s="16" t="s">
        <v>358</v>
      </c>
      <c r="O39" s="16" t="s">
        <v>49</v>
      </c>
      <c r="P39" s="16" t="s">
        <v>355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329</v>
      </c>
      <c r="I40" s="17">
        <v>64</v>
      </c>
      <c r="J40" s="17" t="str">
        <f t="shared" si="1"/>
        <v>d-dtg-dprap01-disk02</v>
      </c>
      <c r="K40" s="17" t="s">
        <v>329</v>
      </c>
      <c r="L40" s="17">
        <v>64</v>
      </c>
      <c r="M40" s="17">
        <v>1</v>
      </c>
      <c r="N40" s="17" t="s">
        <v>358</v>
      </c>
      <c r="O40" s="17" t="s">
        <v>49</v>
      </c>
      <c r="P40" s="17" t="s">
        <v>355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329</v>
      </c>
      <c r="I41" s="16">
        <v>64</v>
      </c>
      <c r="J41" s="16" t="str">
        <f t="shared" si="1"/>
        <v>d-bdp-airfw01-disk02</v>
      </c>
      <c r="K41" s="16" t="s">
        <v>329</v>
      </c>
      <c r="L41" s="16">
        <v>64</v>
      </c>
      <c r="M41" s="16">
        <v>1</v>
      </c>
      <c r="N41" s="16" t="s">
        <v>358</v>
      </c>
      <c r="O41" s="16" t="s">
        <v>49</v>
      </c>
      <c r="P41" s="16" t="s">
        <v>355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329</v>
      </c>
      <c r="I42" s="17">
        <v>64</v>
      </c>
      <c r="J42" s="17" t="str">
        <f t="shared" si="1"/>
        <v>d-bdp-kepler01-disk02</v>
      </c>
      <c r="K42" s="17" t="s">
        <v>329</v>
      </c>
      <c r="L42" s="17">
        <v>64</v>
      </c>
      <c r="M42" s="17">
        <v>1</v>
      </c>
      <c r="N42" s="17" t="s">
        <v>358</v>
      </c>
      <c r="O42" s="17" t="s">
        <v>49</v>
      </c>
      <c r="P42" s="17" t="s">
        <v>355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365</v>
      </c>
      <c r="G43" s="16" t="str">
        <f t="shared" si="0"/>
        <v>d-bdp-cxmadm01-disk01</v>
      </c>
      <c r="H43" s="16" t="s">
        <v>329</v>
      </c>
      <c r="I43" s="16">
        <v>64</v>
      </c>
      <c r="J43" s="16" t="str">
        <f t="shared" si="1"/>
        <v>d-bdp-cxmadm01-disk02</v>
      </c>
      <c r="K43" s="16" t="s">
        <v>329</v>
      </c>
      <c r="L43" s="16">
        <v>64</v>
      </c>
      <c r="M43" s="16">
        <v>1</v>
      </c>
      <c r="N43" s="16" t="s">
        <v>358</v>
      </c>
      <c r="O43" s="16" t="s">
        <v>49</v>
      </c>
      <c r="P43" s="16" t="s">
        <v>355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329</v>
      </c>
      <c r="I44" s="17">
        <v>64</v>
      </c>
      <c r="J44" s="17" t="str">
        <f t="shared" si="1"/>
        <v>d-bdp-slap01-disk02</v>
      </c>
      <c r="K44" s="17" t="s">
        <v>329</v>
      </c>
      <c r="L44" s="17">
        <v>64</v>
      </c>
      <c r="M44" s="17">
        <v>1</v>
      </c>
      <c r="N44" s="17" t="s">
        <v>358</v>
      </c>
      <c r="O44" s="17" t="s">
        <v>49</v>
      </c>
      <c r="P44" s="17" t="s">
        <v>355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330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329</v>
      </c>
      <c r="I45" s="16">
        <v>64</v>
      </c>
      <c r="J45" s="16" t="str">
        <f t="shared" si="1"/>
        <v>d-dip-adm01-disk02</v>
      </c>
      <c r="K45" s="16" t="s">
        <v>329</v>
      </c>
      <c r="L45" s="16">
        <v>64</v>
      </c>
      <c r="M45" s="16">
        <v>1</v>
      </c>
      <c r="N45" s="16" t="s">
        <v>358</v>
      </c>
      <c r="O45" s="16" t="s">
        <v>49</v>
      </c>
      <c r="P45" s="16" t="s">
        <v>355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330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329</v>
      </c>
      <c r="I46" s="17">
        <v>64</v>
      </c>
      <c r="J46" s="17" t="str">
        <f t="shared" si="1"/>
        <v>d-dip-ap01-disk02</v>
      </c>
      <c r="K46" s="17" t="s">
        <v>329</v>
      </c>
      <c r="L46" s="17">
        <v>64</v>
      </c>
      <c r="M46" s="17">
        <v>1</v>
      </c>
      <c r="N46" s="17" t="s">
        <v>358</v>
      </c>
      <c r="O46" s="17" t="s">
        <v>49</v>
      </c>
      <c r="P46" s="17" t="s">
        <v>355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330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329</v>
      </c>
      <c r="I47" s="16">
        <v>64</v>
      </c>
      <c r="J47" s="16" t="str">
        <f t="shared" si="1"/>
        <v>d-dip-flk01-disk02</v>
      </c>
      <c r="K47" s="16" t="s">
        <v>329</v>
      </c>
      <c r="L47" s="16">
        <v>64</v>
      </c>
      <c r="M47" s="16">
        <v>1</v>
      </c>
      <c r="N47" s="16" t="s">
        <v>358</v>
      </c>
      <c r="O47" s="16" t="s">
        <v>49</v>
      </c>
      <c r="P47" s="16" t="s">
        <v>355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330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329</v>
      </c>
      <c r="I48" s="17">
        <v>64</v>
      </c>
      <c r="J48" s="17" t="str">
        <f t="shared" si="1"/>
        <v>d-dip-flk02-disk02</v>
      </c>
      <c r="K48" s="17" t="s">
        <v>329</v>
      </c>
      <c r="L48" s="17">
        <v>64</v>
      </c>
      <c r="M48" s="17">
        <v>1</v>
      </c>
      <c r="N48" s="17" t="s">
        <v>358</v>
      </c>
      <c r="O48" s="17" t="s">
        <v>49</v>
      </c>
      <c r="P48" s="17" t="s">
        <v>355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330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329</v>
      </c>
      <c r="I49" s="16">
        <v>64</v>
      </c>
      <c r="J49" s="16" t="str">
        <f t="shared" si="1"/>
        <v>d-dip-flk03-disk02</v>
      </c>
      <c r="K49" s="16" t="s">
        <v>329</v>
      </c>
      <c r="L49" s="16">
        <v>64</v>
      </c>
      <c r="M49" s="16">
        <v>1</v>
      </c>
      <c r="N49" s="16" t="s">
        <v>358</v>
      </c>
      <c r="O49" s="16" t="s">
        <v>49</v>
      </c>
      <c r="P49" s="16" t="s">
        <v>355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330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329</v>
      </c>
      <c r="I50" s="17">
        <v>64</v>
      </c>
      <c r="J50" s="17" t="str">
        <f t="shared" si="1"/>
        <v>d-dip-geoap01-disk02</v>
      </c>
      <c r="K50" s="17" t="s">
        <v>329</v>
      </c>
      <c r="L50" s="17">
        <v>64</v>
      </c>
      <c r="M50" s="17">
        <v>1</v>
      </c>
      <c r="N50" s="17" t="s">
        <v>358</v>
      </c>
      <c r="O50" s="17" t="s">
        <v>49</v>
      </c>
      <c r="P50" s="17" t="s">
        <v>355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330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329</v>
      </c>
      <c r="I51" s="16">
        <v>64</v>
      </c>
      <c r="J51" s="16" t="str">
        <f t="shared" si="1"/>
        <v>d-dip-kfk01-disk02</v>
      </c>
      <c r="K51" s="16" t="s">
        <v>329</v>
      </c>
      <c r="L51" s="16">
        <v>64</v>
      </c>
      <c r="M51" s="16">
        <v>1</v>
      </c>
      <c r="N51" s="16" t="s">
        <v>358</v>
      </c>
      <c r="O51" s="16" t="s">
        <v>49</v>
      </c>
      <c r="P51" s="16" t="s">
        <v>355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330</v>
      </c>
      <c r="E52" s="24" t="s">
        <v>23</v>
      </c>
      <c r="F52" s="17" t="s">
        <v>331</v>
      </c>
      <c r="G52" s="17" t="str">
        <f t="shared" si="0"/>
        <v>d-dip-kfk02-disk01</v>
      </c>
      <c r="H52" s="17" t="s">
        <v>329</v>
      </c>
      <c r="I52" s="17">
        <v>64</v>
      </c>
      <c r="J52" s="17" t="str">
        <f t="shared" si="1"/>
        <v>d-dip-kfk02-disk02</v>
      </c>
      <c r="K52" s="17" t="s">
        <v>329</v>
      </c>
      <c r="L52" s="17">
        <v>64</v>
      </c>
      <c r="M52" s="17">
        <v>1</v>
      </c>
      <c r="N52" s="17" t="s">
        <v>358</v>
      </c>
      <c r="O52" s="17" t="s">
        <v>49</v>
      </c>
      <c r="P52" s="17" t="s">
        <v>355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330</v>
      </c>
      <c r="E53" s="22" t="s">
        <v>23</v>
      </c>
      <c r="F53" s="16" t="s">
        <v>332</v>
      </c>
      <c r="G53" s="16" t="str">
        <f t="shared" si="0"/>
        <v>d-dip-kfk03-disk01</v>
      </c>
      <c r="H53" s="16" t="s">
        <v>329</v>
      </c>
      <c r="I53" s="16">
        <v>64</v>
      </c>
      <c r="J53" s="16" t="str">
        <f t="shared" si="1"/>
        <v>d-dip-kfk03-disk02</v>
      </c>
      <c r="K53" s="16" t="s">
        <v>329</v>
      </c>
      <c r="L53" s="16">
        <v>64</v>
      </c>
      <c r="M53" s="16">
        <v>1</v>
      </c>
      <c r="N53" s="16" t="s">
        <v>358</v>
      </c>
      <c r="O53" s="16" t="s">
        <v>49</v>
      </c>
      <c r="P53" s="16" t="s">
        <v>355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330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329</v>
      </c>
      <c r="I54" s="17">
        <v>64</v>
      </c>
      <c r="J54" s="17" t="str">
        <f t="shared" si="1"/>
        <v>d-dip-mqap01-disk02</v>
      </c>
      <c r="K54" s="17" t="s">
        <v>329</v>
      </c>
      <c r="L54" s="17">
        <v>64</v>
      </c>
      <c r="M54" s="17">
        <v>1</v>
      </c>
      <c r="N54" s="17" t="s">
        <v>358</v>
      </c>
      <c r="O54" s="17" t="s">
        <v>49</v>
      </c>
      <c r="P54" s="17" t="s">
        <v>355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330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329</v>
      </c>
      <c r="I55" s="16">
        <v>64</v>
      </c>
      <c r="J55" s="16" t="str">
        <f t="shared" si="1"/>
        <v>d-dip-mqweb01-disk02</v>
      </c>
      <c r="K55" s="16" t="s">
        <v>329</v>
      </c>
      <c r="L55" s="16">
        <v>64</v>
      </c>
      <c r="M55" s="16">
        <v>1</v>
      </c>
      <c r="N55" s="16" t="s">
        <v>358</v>
      </c>
      <c r="O55" s="16" t="s">
        <v>49</v>
      </c>
      <c r="P55" s="16" t="s">
        <v>355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330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329</v>
      </c>
      <c r="I56" s="17">
        <v>64</v>
      </c>
      <c r="J56" s="17" t="str">
        <f t="shared" si="1"/>
        <v>d-dip-oms01-disk02</v>
      </c>
      <c r="K56" s="17" t="s">
        <v>329</v>
      </c>
      <c r="L56" s="17">
        <v>64</v>
      </c>
      <c r="M56" s="17">
        <v>1</v>
      </c>
      <c r="N56" s="17" t="s">
        <v>358</v>
      </c>
      <c r="O56" s="17" t="s">
        <v>49</v>
      </c>
      <c r="P56" s="17" t="s">
        <v>355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330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329</v>
      </c>
      <c r="I57" s="16">
        <v>64</v>
      </c>
      <c r="J57" s="16" t="str">
        <f t="shared" si="1"/>
        <v>d-dip-web01-disk02</v>
      </c>
      <c r="K57" s="16" t="s">
        <v>329</v>
      </c>
      <c r="L57" s="16">
        <v>64</v>
      </c>
      <c r="M57" s="16">
        <v>1</v>
      </c>
      <c r="N57" s="16" t="s">
        <v>358</v>
      </c>
      <c r="O57" s="16" t="s">
        <v>49</v>
      </c>
      <c r="P57" s="16" t="s">
        <v>355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IF</v>
      </c>
      <c r="D58" s="17" t="s">
        <v>55</v>
      </c>
      <c r="E58" s="24" t="s">
        <v>23</v>
      </c>
      <c r="F58" s="17" t="s">
        <v>430</v>
      </c>
      <c r="G58" s="17" t="str">
        <f t="shared" si="0"/>
        <v>d-if-auth01-disk01</v>
      </c>
      <c r="H58" s="17" t="s">
        <v>329</v>
      </c>
      <c r="I58" s="17">
        <v>64</v>
      </c>
      <c r="J58" s="17" t="str">
        <f t="shared" si="1"/>
        <v>d-if-auth01-disk02</v>
      </c>
      <c r="K58" s="17" t="s">
        <v>329</v>
      </c>
      <c r="L58" s="17">
        <v>64</v>
      </c>
      <c r="M58" s="17">
        <v>1</v>
      </c>
      <c r="N58" s="17" t="s">
        <v>358</v>
      </c>
      <c r="O58" s="17" t="s">
        <v>49</v>
      </c>
      <c r="P58" s="17" t="s">
        <v>355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IF</v>
      </c>
      <c r="D59" s="16" t="s">
        <v>55</v>
      </c>
      <c r="E59" s="22" t="s">
        <v>23</v>
      </c>
      <c r="F59" s="16" t="s">
        <v>431</v>
      </c>
      <c r="G59" s="16" t="str">
        <f t="shared" si="0"/>
        <v>d-if-proxy01-disk01</v>
      </c>
      <c r="H59" s="16" t="s">
        <v>329</v>
      </c>
      <c r="I59" s="16">
        <v>64</v>
      </c>
      <c r="J59" s="16" t="str">
        <f t="shared" si="1"/>
        <v>d-if-proxy01-disk02</v>
      </c>
      <c r="K59" s="16" t="s">
        <v>329</v>
      </c>
      <c r="L59" s="16">
        <v>64</v>
      </c>
      <c r="M59" s="16">
        <v>1</v>
      </c>
      <c r="N59" s="16" t="s">
        <v>358</v>
      </c>
      <c r="O59" s="16" t="s">
        <v>49</v>
      </c>
      <c r="P59" s="16" t="s">
        <v>355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310</v>
      </c>
      <c r="E60" s="24" t="s">
        <v>23</v>
      </c>
      <c r="F60" s="17" t="s">
        <v>311</v>
      </c>
      <c r="G60" s="17" t="str">
        <f t="shared" si="0"/>
        <v>d-if-gramon01-disk01</v>
      </c>
      <c r="H60" s="17" t="s">
        <v>329</v>
      </c>
      <c r="I60" s="17">
        <v>64</v>
      </c>
      <c r="J60" s="17" t="str">
        <f t="shared" si="1"/>
        <v>d-if-gramon01-disk02</v>
      </c>
      <c r="K60" s="17" t="s">
        <v>329</v>
      </c>
      <c r="L60" s="17">
        <v>64</v>
      </c>
      <c r="M60" s="17">
        <v>1</v>
      </c>
      <c r="N60" s="17" t="s">
        <v>358</v>
      </c>
      <c r="O60" s="17" t="s">
        <v>49</v>
      </c>
      <c r="P60" s="17" t="s">
        <v>355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314</v>
      </c>
      <c r="E61" s="24" t="s">
        <v>23</v>
      </c>
      <c r="F61" s="17" t="s">
        <v>315</v>
      </c>
      <c r="G61" s="17" t="str">
        <f t="shared" si="0"/>
        <v>d-doip-web01-disk01</v>
      </c>
      <c r="H61" s="17" t="s">
        <v>329</v>
      </c>
      <c r="I61" s="17">
        <v>64</v>
      </c>
      <c r="J61" s="17" t="str">
        <f t="shared" si="1"/>
        <v>d-doip-web01-disk02</v>
      </c>
      <c r="K61" s="17" t="s">
        <v>329</v>
      </c>
      <c r="L61" s="17">
        <v>64</v>
      </c>
      <c r="M61" s="17">
        <v>1</v>
      </c>
      <c r="N61" s="17" t="s">
        <v>358</v>
      </c>
      <c r="O61" s="17" t="s">
        <v>49</v>
      </c>
      <c r="P61" s="17" t="s">
        <v>355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314</v>
      </c>
      <c r="E62" s="22" t="s">
        <v>23</v>
      </c>
      <c r="F62" s="16" t="s">
        <v>318</v>
      </c>
      <c r="G62" s="16" t="str">
        <f t="shared" si="0"/>
        <v>d-doip-ap01-disk01</v>
      </c>
      <c r="H62" s="16" t="s">
        <v>329</v>
      </c>
      <c r="I62" s="16">
        <v>64</v>
      </c>
      <c r="J62" s="16" t="str">
        <f t="shared" si="1"/>
        <v>d-doip-ap01-disk02</v>
      </c>
      <c r="K62" s="16" t="s">
        <v>329</v>
      </c>
      <c r="L62" s="16">
        <v>64</v>
      </c>
      <c r="M62" s="16">
        <v>1</v>
      </c>
      <c r="N62" s="16" t="s">
        <v>358</v>
      </c>
      <c r="O62" s="16" t="s">
        <v>49</v>
      </c>
      <c r="P62" s="16" t="s">
        <v>355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314</v>
      </c>
      <c r="E63" s="24" t="s">
        <v>23</v>
      </c>
      <c r="F63" s="17" t="s">
        <v>320</v>
      </c>
      <c r="G63" s="17" t="str">
        <f>SUBSTITUTE($F63,"hazr-","")&amp;"-disk01"</f>
        <v>d-doip-adm01-disk01</v>
      </c>
      <c r="H63" s="17" t="s">
        <v>329</v>
      </c>
      <c r="I63" s="17">
        <v>64</v>
      </c>
      <c r="J63" s="17" t="str">
        <f>SUBSTITUTE($F63,"hazr-","")&amp;"-disk02"</f>
        <v>d-doip-adm01-disk02</v>
      </c>
      <c r="K63" s="17" t="s">
        <v>329</v>
      </c>
      <c r="L63" s="17">
        <v>64</v>
      </c>
      <c r="M63" s="17">
        <v>1</v>
      </c>
      <c r="N63" s="17" t="s">
        <v>358</v>
      </c>
      <c r="O63" s="17" t="s">
        <v>49</v>
      </c>
      <c r="P63" s="17" t="s">
        <v>355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322</v>
      </c>
      <c r="G64" s="16" t="str">
        <f>SUBSTITUTE($F64,"hazr-","")&amp;"-disk01"</f>
        <v>d-bdp-crkweb01-disk01</v>
      </c>
      <c r="H64" s="16" t="s">
        <v>329</v>
      </c>
      <c r="I64" s="16">
        <v>64</v>
      </c>
      <c r="J64" s="16" t="str">
        <f>SUBSTITUTE($F64,"hazr-","")&amp;"-disk02"</f>
        <v>d-bdp-crkweb01-disk02</v>
      </c>
      <c r="K64" s="16" t="s">
        <v>329</v>
      </c>
      <c r="L64" s="16">
        <v>64</v>
      </c>
      <c r="M64" s="16">
        <v>1</v>
      </c>
      <c r="N64" s="16" t="s">
        <v>358</v>
      </c>
      <c r="O64" s="16" t="s">
        <v>49</v>
      </c>
      <c r="P64" s="16" t="s">
        <v>355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363</v>
      </c>
      <c r="G65" s="17" t="str">
        <f>SUBSTITUTE($F65,"hazr-","")&amp;"-disk01"</f>
        <v>d-bdp-crkap01-disk01</v>
      </c>
      <c r="H65" s="17" t="s">
        <v>329</v>
      </c>
      <c r="I65" s="17">
        <v>64</v>
      </c>
      <c r="J65" s="17" t="str">
        <f>SUBSTITUTE($F65,"hazr-","")&amp;"-disk02"</f>
        <v>d-bdp-crkap01-disk02</v>
      </c>
      <c r="K65" s="17" t="s">
        <v>329</v>
      </c>
      <c r="L65" s="17">
        <v>64</v>
      </c>
      <c r="M65" s="17">
        <v>1</v>
      </c>
      <c r="N65" s="17" t="s">
        <v>358</v>
      </c>
      <c r="O65" s="17" t="s">
        <v>49</v>
      </c>
      <c r="P65" s="17" t="s">
        <v>355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327</v>
      </c>
      <c r="G66" s="16" t="str">
        <f>SUBSTITUTE($F66,"hazr-","")&amp;"-disk01"</f>
        <v>d-bdp-crkml01-disk01</v>
      </c>
      <c r="H66" s="16" t="s">
        <v>329</v>
      </c>
      <c r="I66" s="16">
        <v>64</v>
      </c>
      <c r="J66" s="16" t="str">
        <f>SUBSTITUTE($F66,"hazr-","")&amp;"-disk02"</f>
        <v>d-bdp-crkml01-disk02</v>
      </c>
      <c r="K66" s="16" t="s">
        <v>329</v>
      </c>
      <c r="L66" s="16">
        <v>64</v>
      </c>
      <c r="M66" s="16">
        <v>1</v>
      </c>
      <c r="N66" s="16" t="s">
        <v>358</v>
      </c>
      <c r="O66" s="16" t="s">
        <v>49</v>
      </c>
      <c r="P66" s="16" t="s">
        <v>355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334</v>
      </c>
      <c r="G67" s="17" t="s">
        <v>362</v>
      </c>
      <c r="H67" s="17" t="s">
        <v>362</v>
      </c>
      <c r="I67" s="17" t="s">
        <v>362</v>
      </c>
      <c r="J67" s="17" t="s">
        <v>362</v>
      </c>
      <c r="K67" s="17" t="s">
        <v>362</v>
      </c>
      <c r="L67" s="17" t="s">
        <v>362</v>
      </c>
      <c r="M67" s="17" t="s">
        <v>362</v>
      </c>
      <c r="N67" s="17" t="s">
        <v>362</v>
      </c>
      <c r="O67" s="17" t="s">
        <v>49</v>
      </c>
      <c r="P67" s="17" t="s">
        <v>362</v>
      </c>
      <c r="Q67" s="17" t="s">
        <v>362</v>
      </c>
      <c r="R67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83"/>
  <sheetViews>
    <sheetView topLeftCell="A49" zoomScale="98" workbookViewId="0">
      <selection activeCell="A58" sqref="A58:A59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347</v>
      </c>
      <c r="J1" s="31" t="s">
        <v>411</v>
      </c>
      <c r="K1" s="31" t="s">
        <v>26</v>
      </c>
      <c r="L1" s="31" t="s">
        <v>29</v>
      </c>
    </row>
    <row r="2" spans="1:12" x14ac:dyDescent="0.3">
      <c r="A2" s="38"/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392</v>
      </c>
    </row>
    <row r="3" spans="1:12" x14ac:dyDescent="0.3">
      <c r="A3" s="38"/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368</v>
      </c>
      <c r="J3" s="17" t="s">
        <v>52</v>
      </c>
      <c r="K3" s="35" t="str">
        <f>SUBSTITUTE($I3,"hazr-","")&amp;"-nic"</f>
        <v>d-dis-adm01-nic</v>
      </c>
      <c r="L3" s="37" t="s">
        <v>392</v>
      </c>
    </row>
    <row r="4" spans="1:12" x14ac:dyDescent="0.3">
      <c r="A4" s="38"/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369</v>
      </c>
      <c r="J4" s="16" t="s">
        <v>52</v>
      </c>
      <c r="K4" s="33" t="str">
        <f t="shared" ref="K4:K67" si="1">SUBSTITUTE($I4,"hazr-","")&amp;"-nic"</f>
        <v>d-dis-bbiweb01-nic</v>
      </c>
      <c r="L4" s="34" t="s">
        <v>392</v>
      </c>
    </row>
    <row r="5" spans="1:12" x14ac:dyDescent="0.3">
      <c r="A5" s="38"/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396</v>
      </c>
      <c r="J5" s="17" t="s">
        <v>52</v>
      </c>
      <c r="K5" s="35" t="str">
        <f t="shared" si="1"/>
        <v>d-dis-bbicltap01-nic</v>
      </c>
      <c r="L5" s="37" t="s">
        <v>392</v>
      </c>
    </row>
    <row r="6" spans="1:12" x14ac:dyDescent="0.3">
      <c r="A6" s="38"/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203</v>
      </c>
      <c r="J6" s="16" t="s">
        <v>52</v>
      </c>
      <c r="K6" s="33" t="str">
        <f t="shared" si="1"/>
        <v>d-dis-bbimsgap01-nic</v>
      </c>
      <c r="L6" s="34" t="s">
        <v>392</v>
      </c>
    </row>
    <row r="7" spans="1:12" x14ac:dyDescent="0.3">
      <c r="A7" s="38"/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 t="s">
        <v>91</v>
      </c>
      <c r="I7" s="24" t="s">
        <v>397</v>
      </c>
      <c r="J7" s="17" t="s">
        <v>52</v>
      </c>
      <c r="K7" s="35" t="str">
        <f t="shared" si="1"/>
        <v>d-dis-walkap01-nic</v>
      </c>
      <c r="L7" s="37" t="s">
        <v>392</v>
      </c>
    </row>
    <row r="8" spans="1:12" x14ac:dyDescent="0.3">
      <c r="A8" s="38"/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 t="s">
        <v>91</v>
      </c>
      <c r="I8" s="22" t="s">
        <v>207</v>
      </c>
      <c r="J8" s="16" t="s">
        <v>52</v>
      </c>
      <c r="K8" s="33" t="str">
        <f t="shared" si="1"/>
        <v>d-dis-bat01-nic</v>
      </c>
      <c r="L8" s="34" t="s">
        <v>392</v>
      </c>
    </row>
    <row r="9" spans="1:12" x14ac:dyDescent="0.3">
      <c r="A9" s="38"/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 t="s">
        <v>91</v>
      </c>
      <c r="I9" s="24" t="s">
        <v>372</v>
      </c>
      <c r="J9" s="17" t="s">
        <v>52</v>
      </c>
      <c r="K9" s="35" t="str">
        <f t="shared" si="1"/>
        <v>d-dis-drvcltap01-nic</v>
      </c>
      <c r="L9" s="37" t="s">
        <v>392</v>
      </c>
    </row>
    <row r="10" spans="1:12" x14ac:dyDescent="0.3">
      <c r="A10" s="38"/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 t="s">
        <v>59</v>
      </c>
      <c r="I10" s="22" t="s">
        <v>211</v>
      </c>
      <c r="J10" s="16" t="s">
        <v>52</v>
      </c>
      <c r="K10" s="33" t="str">
        <f t="shared" si="1"/>
        <v>d-dis-walkweb01-nic</v>
      </c>
      <c r="L10" s="34" t="s">
        <v>392</v>
      </c>
    </row>
    <row r="11" spans="1:12" x14ac:dyDescent="0.3">
      <c r="A11" s="38"/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 t="s">
        <v>91</v>
      </c>
      <c r="I11" s="24" t="s">
        <v>398</v>
      </c>
      <c r="J11" s="17" t="s">
        <v>52</v>
      </c>
      <c r="K11" s="35" t="str">
        <f t="shared" si="1"/>
        <v>d-dis-drvmsgap01-nic</v>
      </c>
      <c r="L11" s="37" t="s">
        <v>392</v>
      </c>
    </row>
    <row r="12" spans="1:12" x14ac:dyDescent="0.3">
      <c r="A12" s="38"/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 t="s">
        <v>59</v>
      </c>
      <c r="I12" s="22" t="s">
        <v>373</v>
      </c>
      <c r="J12" s="16" t="s">
        <v>52</v>
      </c>
      <c r="K12" s="33" t="str">
        <f t="shared" si="1"/>
        <v>d-dis-web01-nic</v>
      </c>
      <c r="L12" s="34" t="s">
        <v>392</v>
      </c>
    </row>
    <row r="13" spans="1:12" x14ac:dyDescent="0.3">
      <c r="A13" s="38"/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 t="s">
        <v>91</v>
      </c>
      <c r="I13" s="24" t="s">
        <v>374</v>
      </c>
      <c r="J13" s="17" t="s">
        <v>52</v>
      </c>
      <c r="K13" s="35" t="str">
        <f t="shared" si="1"/>
        <v>d-dis-cmsadm01-nic</v>
      </c>
      <c r="L13" s="37" t="s">
        <v>392</v>
      </c>
    </row>
    <row r="14" spans="1:12" x14ac:dyDescent="0.3">
      <c r="A14" s="38"/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 t="s">
        <v>91</v>
      </c>
      <c r="I14" s="22" t="s">
        <v>219</v>
      </c>
      <c r="J14" s="16" t="s">
        <v>52</v>
      </c>
      <c r="K14" s="33" t="str">
        <f t="shared" si="1"/>
        <v>d-dis-cmsap01-nic</v>
      </c>
      <c r="L14" s="34" t="s">
        <v>392</v>
      </c>
    </row>
    <row r="15" spans="1:12" x14ac:dyDescent="0.3">
      <c r="A15" s="38"/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 t="s">
        <v>59</v>
      </c>
      <c r="I15" s="24" t="s">
        <v>371</v>
      </c>
      <c r="J15" s="17" t="s">
        <v>52</v>
      </c>
      <c r="K15" s="35" t="str">
        <f t="shared" si="1"/>
        <v>d-dis-cmsweb01-nic</v>
      </c>
      <c r="L15" s="37" t="s">
        <v>392</v>
      </c>
    </row>
    <row r="16" spans="1:12" x14ac:dyDescent="0.3">
      <c r="A16" s="38"/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 t="s">
        <v>91</v>
      </c>
      <c r="I16" s="22" t="s">
        <v>391</v>
      </c>
      <c r="J16" s="16" t="s">
        <v>52</v>
      </c>
      <c r="K16" s="33" t="str">
        <f t="shared" si="1"/>
        <v>d-dis-cmbsap01-nic</v>
      </c>
      <c r="L16" s="34" t="s">
        <v>392</v>
      </c>
    </row>
    <row r="17" spans="1:12" x14ac:dyDescent="0.3">
      <c r="A17" s="38"/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 t="s">
        <v>119</v>
      </c>
      <c r="I17" s="24" t="s">
        <v>399</v>
      </c>
      <c r="J17" s="17" t="s">
        <v>54</v>
      </c>
      <c r="K17" s="35" t="str">
        <f t="shared" si="1"/>
        <v>d-dtg-ingap01-nic</v>
      </c>
      <c r="L17" s="37" t="s">
        <v>392</v>
      </c>
    </row>
    <row r="18" spans="1:12" x14ac:dyDescent="0.3">
      <c r="A18" s="38"/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 t="s">
        <v>119</v>
      </c>
      <c r="I18" s="22" t="s">
        <v>229</v>
      </c>
      <c r="J18" s="16" t="s">
        <v>54</v>
      </c>
      <c r="K18" s="33" t="str">
        <f t="shared" si="1"/>
        <v>d-dtg-ap01-nic</v>
      </c>
      <c r="L18" s="34" t="s">
        <v>392</v>
      </c>
    </row>
    <row r="19" spans="1:12" x14ac:dyDescent="0.3">
      <c r="A19" s="38"/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 t="s">
        <v>119</v>
      </c>
      <c r="I19" s="24" t="s">
        <v>400</v>
      </c>
      <c r="J19" s="17" t="s">
        <v>54</v>
      </c>
      <c r="K19" s="35" t="str">
        <f t="shared" si="1"/>
        <v>d-dtg-extgeoap01-nic</v>
      </c>
      <c r="L19" s="37" t="s">
        <v>392</v>
      </c>
    </row>
    <row r="20" spans="1:12" x14ac:dyDescent="0.3">
      <c r="A20" s="38"/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 t="s">
        <v>119</v>
      </c>
      <c r="I20" s="22" t="s">
        <v>233</v>
      </c>
      <c r="J20" s="16" t="s">
        <v>54</v>
      </c>
      <c r="K20" s="33" t="str">
        <f t="shared" si="1"/>
        <v>d-dtg-geoap01-nic</v>
      </c>
      <c r="L20" s="34" t="s">
        <v>392</v>
      </c>
    </row>
    <row r="21" spans="1:12" x14ac:dyDescent="0.3">
      <c r="A21" s="38"/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 t="s">
        <v>76</v>
      </c>
      <c r="I21" s="24" t="s">
        <v>401</v>
      </c>
      <c r="J21" s="17" t="s">
        <v>54</v>
      </c>
      <c r="K21" s="35" t="str">
        <f t="shared" si="1"/>
        <v>d-dtg-mq01-nic</v>
      </c>
      <c r="L21" s="37" t="s">
        <v>392</v>
      </c>
    </row>
    <row r="22" spans="1:12" x14ac:dyDescent="0.3">
      <c r="A22" s="38"/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 t="s">
        <v>119</v>
      </c>
      <c r="I22" s="22" t="s">
        <v>375</v>
      </c>
      <c r="J22" s="16" t="s">
        <v>54</v>
      </c>
      <c r="K22" s="33" t="str">
        <f t="shared" si="1"/>
        <v>d-dtg-admweb01-nic</v>
      </c>
      <c r="L22" s="34" t="s">
        <v>392</v>
      </c>
    </row>
    <row r="23" spans="1:12" x14ac:dyDescent="0.3">
      <c r="A23" s="38"/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 t="s">
        <v>119</v>
      </c>
      <c r="I23" s="24" t="s">
        <v>376</v>
      </c>
      <c r="J23" s="17" t="s">
        <v>54</v>
      </c>
      <c r="K23" s="35" t="str">
        <f t="shared" si="1"/>
        <v>d-dtg-admap01-nic</v>
      </c>
      <c r="L23" s="37" t="s">
        <v>392</v>
      </c>
    </row>
    <row r="24" spans="1:12" x14ac:dyDescent="0.3">
      <c r="A24" s="38"/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 t="s">
        <v>119</v>
      </c>
      <c r="I24" s="22" t="s">
        <v>242</v>
      </c>
      <c r="J24" s="16" t="s">
        <v>54</v>
      </c>
      <c r="K24" s="33" t="str">
        <f t="shared" si="1"/>
        <v>d-dtg-dtoms01-nic</v>
      </c>
      <c r="L24" s="34" t="s">
        <v>392</v>
      </c>
    </row>
    <row r="25" spans="1:12" x14ac:dyDescent="0.3">
      <c r="A25" s="38"/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 t="s">
        <v>120</v>
      </c>
      <c r="I25" s="24" t="s">
        <v>377</v>
      </c>
      <c r="J25" s="17" t="s">
        <v>54</v>
      </c>
      <c r="K25" s="35" t="str">
        <f t="shared" si="1"/>
        <v>d-dtg-tsdb01-nic</v>
      </c>
      <c r="L25" s="37" t="s">
        <v>392</v>
      </c>
    </row>
    <row r="26" spans="1:12" x14ac:dyDescent="0.3">
      <c r="A26" s="38"/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 t="s">
        <v>76</v>
      </c>
      <c r="I26" s="22" t="s">
        <v>378</v>
      </c>
      <c r="J26" s="16" t="s">
        <v>54</v>
      </c>
      <c r="K26" s="33" t="str">
        <f t="shared" si="1"/>
        <v>d-dtg-web01-nic</v>
      </c>
      <c r="L26" s="34" t="s">
        <v>392</v>
      </c>
    </row>
    <row r="27" spans="1:12" x14ac:dyDescent="0.3">
      <c r="A27" s="38"/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 t="s">
        <v>119</v>
      </c>
      <c r="I27" s="24" t="s">
        <v>402</v>
      </c>
      <c r="J27" s="17" t="s">
        <v>54</v>
      </c>
      <c r="K27" s="35" t="str">
        <f t="shared" si="1"/>
        <v>d-dtg-zkp01-nic</v>
      </c>
      <c r="L27" s="37" t="s">
        <v>392</v>
      </c>
    </row>
    <row r="28" spans="1:12" x14ac:dyDescent="0.3">
      <c r="A28" s="38"/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 t="s">
        <v>119</v>
      </c>
      <c r="I28" s="22" t="s">
        <v>252</v>
      </c>
      <c r="J28" s="16" t="s">
        <v>54</v>
      </c>
      <c r="K28" s="33" t="str">
        <f t="shared" si="1"/>
        <v>d-dtg-zkp02-nic</v>
      </c>
      <c r="L28" s="34" t="s">
        <v>392</v>
      </c>
    </row>
    <row r="29" spans="1:12" x14ac:dyDescent="0.3">
      <c r="A29" s="38"/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 t="s">
        <v>119</v>
      </c>
      <c r="I29" s="24" t="s">
        <v>403</v>
      </c>
      <c r="J29" s="17" t="s">
        <v>54</v>
      </c>
      <c r="K29" s="35" t="str">
        <f t="shared" si="1"/>
        <v>d-dtg-zkp03-nic</v>
      </c>
      <c r="L29" s="37" t="s">
        <v>392</v>
      </c>
    </row>
    <row r="30" spans="1:12" x14ac:dyDescent="0.3">
      <c r="A30" s="38"/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 t="s">
        <v>119</v>
      </c>
      <c r="I30" s="22" t="s">
        <v>256</v>
      </c>
      <c r="J30" s="16" t="s">
        <v>54</v>
      </c>
      <c r="K30" s="33" t="str">
        <f t="shared" si="1"/>
        <v>d-dtg-kfk01-nic</v>
      </c>
      <c r="L30" s="34" t="s">
        <v>392</v>
      </c>
    </row>
    <row r="31" spans="1:12" x14ac:dyDescent="0.3">
      <c r="A31" s="38"/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 t="s">
        <v>119</v>
      </c>
      <c r="I31" s="24" t="s">
        <v>404</v>
      </c>
      <c r="J31" s="17" t="s">
        <v>54</v>
      </c>
      <c r="K31" s="35" t="str">
        <f t="shared" si="1"/>
        <v>d-dtg-kfk02-nic</v>
      </c>
      <c r="L31" s="37" t="s">
        <v>392</v>
      </c>
    </row>
    <row r="32" spans="1:12" x14ac:dyDescent="0.3">
      <c r="A32" s="38"/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 t="s">
        <v>119</v>
      </c>
      <c r="I32" s="22" t="s">
        <v>260</v>
      </c>
      <c r="J32" s="16" t="s">
        <v>54</v>
      </c>
      <c r="K32" s="33" t="str">
        <f t="shared" si="1"/>
        <v>d-dtg-kfk03-nic</v>
      </c>
      <c r="L32" s="34" t="s">
        <v>392</v>
      </c>
    </row>
    <row r="33" spans="1:12" x14ac:dyDescent="0.3">
      <c r="A33" s="38"/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 t="s">
        <v>119</v>
      </c>
      <c r="I33" s="24" t="s">
        <v>379</v>
      </c>
      <c r="J33" s="17" t="s">
        <v>54</v>
      </c>
      <c r="K33" s="35" t="str">
        <f t="shared" si="1"/>
        <v>d-dtg-mdoms01-nic</v>
      </c>
      <c r="L33" s="37" t="s">
        <v>392</v>
      </c>
    </row>
    <row r="34" spans="1:12" x14ac:dyDescent="0.3">
      <c r="A34" s="38"/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 t="s">
        <v>119</v>
      </c>
      <c r="I34" s="22" t="s">
        <v>264</v>
      </c>
      <c r="J34" s="16" t="s">
        <v>54</v>
      </c>
      <c r="K34" s="33" t="str">
        <f t="shared" si="1"/>
        <v>d-dtg-cdmlap01-nic</v>
      </c>
      <c r="L34" s="34" t="s">
        <v>392</v>
      </c>
    </row>
    <row r="35" spans="1:12" x14ac:dyDescent="0.3">
      <c r="A35" s="38"/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 t="s">
        <v>119</v>
      </c>
      <c r="I35" s="24" t="s">
        <v>405</v>
      </c>
      <c r="J35" s="17" t="s">
        <v>54</v>
      </c>
      <c r="K35" s="35" t="str">
        <f t="shared" si="1"/>
        <v>d-dtg-cdstap01-nic</v>
      </c>
      <c r="L35" s="37" t="s">
        <v>392</v>
      </c>
    </row>
    <row r="36" spans="1:12" x14ac:dyDescent="0.3">
      <c r="A36" s="38"/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 t="s">
        <v>119</v>
      </c>
      <c r="I36" s="22" t="s">
        <v>364</v>
      </c>
      <c r="J36" s="16" t="s">
        <v>54</v>
      </c>
      <c r="K36" s="33" t="str">
        <f t="shared" si="1"/>
        <v>d-dtg-cdsvadm01-nic</v>
      </c>
      <c r="L36" s="34" t="s">
        <v>392</v>
      </c>
    </row>
    <row r="37" spans="1:12" x14ac:dyDescent="0.3">
      <c r="A37" s="38"/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 t="s">
        <v>119</v>
      </c>
      <c r="I37" s="24" t="s">
        <v>406</v>
      </c>
      <c r="J37" s="17" t="s">
        <v>54</v>
      </c>
      <c r="K37" s="35" t="str">
        <f t="shared" si="1"/>
        <v>d-dtg-diosap01-nic</v>
      </c>
      <c r="L37" s="37" t="s">
        <v>392</v>
      </c>
    </row>
    <row r="38" spans="1:12" x14ac:dyDescent="0.3">
      <c r="A38" s="38"/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 t="s">
        <v>119</v>
      </c>
      <c r="I38" s="22" t="s">
        <v>380</v>
      </c>
      <c r="J38" s="16" t="s">
        <v>54</v>
      </c>
      <c r="K38" s="33" t="str">
        <f t="shared" si="1"/>
        <v>d-dtg-diosweb01-nic</v>
      </c>
      <c r="L38" s="34" t="s">
        <v>392</v>
      </c>
    </row>
    <row r="39" spans="1:12" x14ac:dyDescent="0.3">
      <c r="A39" s="38"/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 t="s">
        <v>76</v>
      </c>
      <c r="I39" s="24" t="s">
        <v>381</v>
      </c>
      <c r="J39" s="17" t="s">
        <v>54</v>
      </c>
      <c r="K39" s="35" t="str">
        <f t="shared" si="1"/>
        <v>d-dtg-dprweb01-nic</v>
      </c>
      <c r="L39" s="37" t="s">
        <v>392</v>
      </c>
    </row>
    <row r="40" spans="1:12" x14ac:dyDescent="0.3">
      <c r="A40" s="38"/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7" si="2">SUBSTITUTE($I40,"hazr-","")&amp;"-nsg"</f>
        <v>d-dtg-dprap01-nsg</v>
      </c>
      <c r="F40" s="33" t="s">
        <v>49</v>
      </c>
      <c r="G40" s="33" t="s">
        <v>57</v>
      </c>
      <c r="H40" s="33" t="s">
        <v>119</v>
      </c>
      <c r="I40" s="22" t="s">
        <v>275</v>
      </c>
      <c r="J40" s="16" t="s">
        <v>54</v>
      </c>
      <c r="K40" s="33" t="str">
        <f t="shared" si="1"/>
        <v>d-dtg-dprap01-nic</v>
      </c>
      <c r="L40" s="34" t="s">
        <v>392</v>
      </c>
    </row>
    <row r="41" spans="1:12" x14ac:dyDescent="0.3">
      <c r="A41" s="38"/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 t="s">
        <v>127</v>
      </c>
      <c r="I41" s="24" t="s">
        <v>382</v>
      </c>
      <c r="J41" s="17" t="s">
        <v>184</v>
      </c>
      <c r="K41" s="35" t="str">
        <f t="shared" si="1"/>
        <v>d-bdp-airfw01-nic</v>
      </c>
      <c r="L41" s="37" t="s">
        <v>392</v>
      </c>
    </row>
    <row r="42" spans="1:12" x14ac:dyDescent="0.3">
      <c r="A42" s="38"/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 t="s">
        <v>127</v>
      </c>
      <c r="I42" s="22" t="s">
        <v>383</v>
      </c>
      <c r="J42" s="16" t="s">
        <v>184</v>
      </c>
      <c r="K42" s="33" t="str">
        <f t="shared" si="1"/>
        <v>d-bdp-kepler01-nic</v>
      </c>
      <c r="L42" s="34" t="s">
        <v>392</v>
      </c>
    </row>
    <row r="43" spans="1:12" x14ac:dyDescent="0.3">
      <c r="A43" s="38"/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 t="s">
        <v>127</v>
      </c>
      <c r="I43" s="24" t="s">
        <v>365</v>
      </c>
      <c r="J43" s="17" t="s">
        <v>184</v>
      </c>
      <c r="K43" s="35" t="str">
        <f t="shared" si="1"/>
        <v>d-bdp-cxmadm01-nic</v>
      </c>
      <c r="L43" s="37" t="s">
        <v>392</v>
      </c>
    </row>
    <row r="44" spans="1:12" x14ac:dyDescent="0.3">
      <c r="A44" s="38"/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 t="s">
        <v>127</v>
      </c>
      <c r="I44" s="22" t="s">
        <v>384</v>
      </c>
      <c r="J44" s="16" t="s">
        <v>184</v>
      </c>
      <c r="K44" s="33" t="str">
        <f t="shared" si="1"/>
        <v>d-bdp-slap01-nic</v>
      </c>
      <c r="L44" s="34" t="s">
        <v>392</v>
      </c>
    </row>
    <row r="45" spans="1:12" x14ac:dyDescent="0.3">
      <c r="A45" s="38"/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 t="s">
        <v>410</v>
      </c>
      <c r="I45" s="24" t="s">
        <v>385</v>
      </c>
      <c r="J45" s="17" t="s">
        <v>330</v>
      </c>
      <c r="K45" s="35" t="str">
        <f t="shared" si="1"/>
        <v>d-dip-adm01-nic</v>
      </c>
      <c r="L45" s="37" t="s">
        <v>392</v>
      </c>
    </row>
    <row r="46" spans="1:12" x14ac:dyDescent="0.3">
      <c r="A46" s="38"/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 t="s">
        <v>410</v>
      </c>
      <c r="I46" s="22" t="s">
        <v>386</v>
      </c>
      <c r="J46" s="16" t="s">
        <v>330</v>
      </c>
      <c r="K46" s="33" t="str">
        <f t="shared" si="1"/>
        <v>d-dip-ap01-nic</v>
      </c>
      <c r="L46" s="34" t="s">
        <v>392</v>
      </c>
    </row>
    <row r="47" spans="1:12" x14ac:dyDescent="0.3">
      <c r="A47" s="38"/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 t="s">
        <v>410</v>
      </c>
      <c r="I47" s="24" t="s">
        <v>407</v>
      </c>
      <c r="J47" s="17" t="s">
        <v>330</v>
      </c>
      <c r="K47" s="35" t="str">
        <f t="shared" si="1"/>
        <v>d-dip-flk01-nic</v>
      </c>
      <c r="L47" s="37" t="s">
        <v>392</v>
      </c>
    </row>
    <row r="48" spans="1:12" x14ac:dyDescent="0.3">
      <c r="A48" s="38"/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 t="s">
        <v>410</v>
      </c>
      <c r="I48" s="22" t="s">
        <v>293</v>
      </c>
      <c r="J48" s="16" t="s">
        <v>330</v>
      </c>
      <c r="K48" s="33" t="str">
        <f t="shared" si="1"/>
        <v>d-dip-flk02-nic</v>
      </c>
      <c r="L48" s="34" t="s">
        <v>392</v>
      </c>
    </row>
    <row r="49" spans="1:12" x14ac:dyDescent="0.3">
      <c r="A49" s="38"/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 t="s">
        <v>410</v>
      </c>
      <c r="I49" s="24" t="s">
        <v>408</v>
      </c>
      <c r="J49" s="17" t="s">
        <v>330</v>
      </c>
      <c r="K49" s="35" t="str">
        <f t="shared" si="1"/>
        <v>d-dip-flk03-nic</v>
      </c>
      <c r="L49" s="37" t="s">
        <v>392</v>
      </c>
    </row>
    <row r="50" spans="1:12" x14ac:dyDescent="0.3">
      <c r="A50" s="38"/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 t="s">
        <v>410</v>
      </c>
      <c r="I50" s="22" t="s">
        <v>297</v>
      </c>
      <c r="J50" s="16" t="s">
        <v>330</v>
      </c>
      <c r="K50" s="33" t="str">
        <f t="shared" si="1"/>
        <v>d-dip-geoap01-nic</v>
      </c>
      <c r="L50" s="34" t="s">
        <v>392</v>
      </c>
    </row>
    <row r="51" spans="1:12" x14ac:dyDescent="0.3">
      <c r="A51" s="38"/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 t="s">
        <v>410</v>
      </c>
      <c r="I51" s="24" t="s">
        <v>409</v>
      </c>
      <c r="J51" s="17" t="s">
        <v>330</v>
      </c>
      <c r="K51" s="35" t="str">
        <f t="shared" si="1"/>
        <v>d-dip-kfk01-nic</v>
      </c>
      <c r="L51" s="37" t="s">
        <v>392</v>
      </c>
    </row>
    <row r="52" spans="1:12" x14ac:dyDescent="0.3">
      <c r="A52" s="38"/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 t="s">
        <v>410</v>
      </c>
      <c r="I52" s="22" t="s">
        <v>331</v>
      </c>
      <c r="J52" s="16" t="s">
        <v>330</v>
      </c>
      <c r="K52" s="33" t="str">
        <f t="shared" si="1"/>
        <v>d-dip-kfk02-nic</v>
      </c>
      <c r="L52" s="34" t="s">
        <v>392</v>
      </c>
    </row>
    <row r="53" spans="1:12" x14ac:dyDescent="0.3">
      <c r="A53" s="38"/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 t="s">
        <v>410</v>
      </c>
      <c r="I53" s="24" t="s">
        <v>332</v>
      </c>
      <c r="J53" s="17" t="s">
        <v>330</v>
      </c>
      <c r="K53" s="35" t="str">
        <f t="shared" si="1"/>
        <v>d-dip-kfk03-nic</v>
      </c>
      <c r="L53" s="37" t="s">
        <v>392</v>
      </c>
    </row>
    <row r="54" spans="1:12" x14ac:dyDescent="0.3">
      <c r="A54" s="38"/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 t="s">
        <v>410</v>
      </c>
      <c r="I54" s="22" t="s">
        <v>303</v>
      </c>
      <c r="J54" s="16" t="s">
        <v>330</v>
      </c>
      <c r="K54" s="33" t="str">
        <f t="shared" si="1"/>
        <v>d-dip-mqap01-nic</v>
      </c>
      <c r="L54" s="34" t="s">
        <v>392</v>
      </c>
    </row>
    <row r="55" spans="1:12" x14ac:dyDescent="0.3">
      <c r="A55" s="38"/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 t="s">
        <v>410</v>
      </c>
      <c r="I55" s="24" t="s">
        <v>387</v>
      </c>
      <c r="J55" s="17" t="s">
        <v>330</v>
      </c>
      <c r="K55" s="35" t="str">
        <f t="shared" si="1"/>
        <v>d-dip-mqweb01-nic</v>
      </c>
      <c r="L55" s="37" t="s">
        <v>392</v>
      </c>
    </row>
    <row r="56" spans="1:12" x14ac:dyDescent="0.3">
      <c r="A56" s="38"/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 t="s">
        <v>410</v>
      </c>
      <c r="I56" s="22" t="s">
        <v>388</v>
      </c>
      <c r="J56" s="16" t="s">
        <v>330</v>
      </c>
      <c r="K56" s="33" t="str">
        <f t="shared" si="1"/>
        <v>d-dip-oms01-nic</v>
      </c>
      <c r="L56" s="34" t="s">
        <v>392</v>
      </c>
    </row>
    <row r="57" spans="1:12" x14ac:dyDescent="0.3">
      <c r="A57" s="38"/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 t="s">
        <v>410</v>
      </c>
      <c r="I57" s="24" t="s">
        <v>389</v>
      </c>
      <c r="J57" s="17" t="s">
        <v>330</v>
      </c>
      <c r="K57" s="35" t="str">
        <f t="shared" si="1"/>
        <v>d-dip-web01-nic</v>
      </c>
      <c r="L57" s="37" t="s">
        <v>392</v>
      </c>
    </row>
    <row r="58" spans="1:12" x14ac:dyDescent="0.3">
      <c r="A58" s="38"/>
      <c r="B58" s="36" t="s">
        <v>31</v>
      </c>
      <c r="C58" s="33" t="str" cm="1">
        <f t="array" ref="C58">UPPER(INDEX(_xlfn.TEXTSPLIT($I58, "-"), 3))</f>
        <v>IF</v>
      </c>
      <c r="D58" s="33" t="s">
        <v>49</v>
      </c>
      <c r="E58" s="33" t="str">
        <f t="shared" si="2"/>
        <v>d-if-auth01-nsg</v>
      </c>
      <c r="F58" s="33" t="s">
        <v>49</v>
      </c>
      <c r="G58" s="33" t="s">
        <v>57</v>
      </c>
      <c r="H58" s="33" t="s">
        <v>166</v>
      </c>
      <c r="I58" s="22" t="s">
        <v>430</v>
      </c>
      <c r="J58" s="16" t="s">
        <v>55</v>
      </c>
      <c r="K58" s="33" t="str">
        <f t="shared" si="1"/>
        <v>d-if-auth01-nic</v>
      </c>
      <c r="L58" s="34" t="s">
        <v>392</v>
      </c>
    </row>
    <row r="59" spans="1:12" x14ac:dyDescent="0.3">
      <c r="A59" s="38"/>
      <c r="B59" s="35" t="s">
        <v>31</v>
      </c>
      <c r="C59" s="35" t="str" cm="1">
        <f t="array" ref="C59">UPPER(INDEX(_xlfn.TEXTSPLIT($I59, "-"), 3))</f>
        <v>IF</v>
      </c>
      <c r="D59" s="35" t="s">
        <v>49</v>
      </c>
      <c r="E59" s="35" t="str">
        <f t="shared" si="2"/>
        <v>d-if-proxy01-nsg</v>
      </c>
      <c r="F59" s="35" t="s">
        <v>49</v>
      </c>
      <c r="G59" s="35" t="s">
        <v>56</v>
      </c>
      <c r="H59" s="35" t="s">
        <v>84</v>
      </c>
      <c r="I59" s="24" t="s">
        <v>431</v>
      </c>
      <c r="J59" s="17" t="s">
        <v>55</v>
      </c>
      <c r="K59" s="35" t="str">
        <f t="shared" si="1"/>
        <v>d-if-proxy01-nic</v>
      </c>
      <c r="L59" s="37" t="s">
        <v>392</v>
      </c>
    </row>
    <row r="60" spans="1:12" x14ac:dyDescent="0.3">
      <c r="A60" s="38"/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 t="s">
        <v>166</v>
      </c>
      <c r="I60" s="22" t="s">
        <v>311</v>
      </c>
      <c r="J60" s="16" t="s">
        <v>55</v>
      </c>
      <c r="K60" s="33" t="str">
        <f t="shared" si="1"/>
        <v>d-if-gramon01-nic</v>
      </c>
      <c r="L60" s="34" t="s">
        <v>392</v>
      </c>
    </row>
    <row r="61" spans="1:12" x14ac:dyDescent="0.3">
      <c r="A61" s="38"/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 t="s">
        <v>104</v>
      </c>
      <c r="I61" s="24" t="s">
        <v>393</v>
      </c>
      <c r="J61" s="17" t="s">
        <v>53</v>
      </c>
      <c r="K61" s="35" t="str">
        <f t="shared" si="1"/>
        <v>d-doip-web01-nic</v>
      </c>
      <c r="L61" s="37" t="s">
        <v>392</v>
      </c>
    </row>
    <row r="62" spans="1:12" x14ac:dyDescent="0.3">
      <c r="A62" s="38"/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 t="s">
        <v>104</v>
      </c>
      <c r="I62" s="22" t="s">
        <v>318</v>
      </c>
      <c r="J62" s="16" t="s">
        <v>53</v>
      </c>
      <c r="K62" s="33" t="str">
        <f t="shared" si="1"/>
        <v>d-doip-ap01-nic</v>
      </c>
      <c r="L62" s="34" t="s">
        <v>392</v>
      </c>
    </row>
    <row r="63" spans="1:12" x14ac:dyDescent="0.3">
      <c r="A63" s="38"/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 t="s">
        <v>104</v>
      </c>
      <c r="I63" s="24" t="s">
        <v>394</v>
      </c>
      <c r="J63" s="17" t="s">
        <v>53</v>
      </c>
      <c r="K63" s="35" t="str">
        <f t="shared" si="1"/>
        <v>d-doip-adm01-nic</v>
      </c>
      <c r="L63" s="37" t="s">
        <v>392</v>
      </c>
    </row>
    <row r="64" spans="1:12" x14ac:dyDescent="0.3">
      <c r="A64" s="38"/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 t="s">
        <v>78</v>
      </c>
      <c r="I64" s="22" t="s">
        <v>390</v>
      </c>
      <c r="J64" s="16" t="s">
        <v>184</v>
      </c>
      <c r="K64" s="33" t="str">
        <f t="shared" si="1"/>
        <v>d-bdp-crkweb01-nic</v>
      </c>
      <c r="L64" s="34" t="s">
        <v>392</v>
      </c>
    </row>
    <row r="65" spans="1:12" x14ac:dyDescent="0.3">
      <c r="A65" s="38"/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 t="s">
        <v>127</v>
      </c>
      <c r="I65" s="24" t="s">
        <v>363</v>
      </c>
      <c r="J65" s="17" t="s">
        <v>184</v>
      </c>
      <c r="K65" s="35" t="str">
        <f t="shared" si="1"/>
        <v>d-bdp-crkap01-nic</v>
      </c>
      <c r="L65" s="37" t="s">
        <v>392</v>
      </c>
    </row>
    <row r="66" spans="1:12" x14ac:dyDescent="0.3">
      <c r="A66" s="38"/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 t="s">
        <v>127</v>
      </c>
      <c r="I66" s="22" t="s">
        <v>327</v>
      </c>
      <c r="J66" s="16" t="s">
        <v>184</v>
      </c>
      <c r="K66" s="33" t="str">
        <f t="shared" si="1"/>
        <v>d-bdp-crkml01-nic</v>
      </c>
      <c r="L66" s="34" t="s">
        <v>392</v>
      </c>
    </row>
    <row r="67" spans="1:12" x14ac:dyDescent="0.3">
      <c r="A67" s="38"/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 t="s">
        <v>91</v>
      </c>
      <c r="I67" s="24" t="s">
        <v>395</v>
      </c>
      <c r="J67" s="17" t="s">
        <v>52</v>
      </c>
      <c r="K67" s="35" t="str">
        <f t="shared" si="1"/>
        <v>d-dis-dfir01-nic</v>
      </c>
      <c r="L67" s="37" t="s">
        <v>392</v>
      </c>
    </row>
    <row r="68" spans="1:12" x14ac:dyDescent="0.3">
      <c r="A68" s="38"/>
      <c r="B68" s="36" t="s">
        <v>31</v>
      </c>
      <c r="C68" s="33" t="str" cm="1">
        <f t="array" ref="C68">UPPER(INDEX(_xlfn.TEXTSPLIT($E68, "-"), 2))</f>
        <v>DIS</v>
      </c>
      <c r="D68" s="33" t="s">
        <v>49</v>
      </c>
      <c r="E68" s="33" t="str">
        <f>SUBSTITUTE(H68,"-sbn","")&amp;"-nsg"</f>
        <v>d-dis-db-nsg</v>
      </c>
      <c r="F68" s="33" t="s">
        <v>49</v>
      </c>
      <c r="G68" s="33" t="s">
        <v>188</v>
      </c>
      <c r="H68" s="33" t="s">
        <v>412</v>
      </c>
      <c r="I68" s="33"/>
      <c r="J68" s="33"/>
      <c r="K68" s="33"/>
      <c r="L68" s="33" t="s">
        <v>427</v>
      </c>
    </row>
    <row r="69" spans="1:12" x14ac:dyDescent="0.3">
      <c r="A69" s="38"/>
      <c r="B69" s="35" t="s">
        <v>31</v>
      </c>
      <c r="C69" s="35" t="str" cm="1">
        <f t="array" ref="C69">UPPER(INDEX(_xlfn.TEXTSPLIT($E69, "-"), 2))</f>
        <v>DIS</v>
      </c>
      <c r="D69" s="35" t="s">
        <v>49</v>
      </c>
      <c r="E69" s="35" t="str">
        <f t="shared" ref="E69:E83" si="3">SUBSTITUTE(H69,"-sbn","")&amp;"-nsg"</f>
        <v>d-dis-pe-nsg</v>
      </c>
      <c r="F69" s="35" t="s">
        <v>49</v>
      </c>
      <c r="G69" s="35" t="s">
        <v>188</v>
      </c>
      <c r="H69" s="35" t="s">
        <v>413</v>
      </c>
      <c r="I69" s="35"/>
      <c r="J69" s="35"/>
      <c r="K69" s="35"/>
      <c r="L69" s="35" t="s">
        <v>427</v>
      </c>
    </row>
    <row r="70" spans="1:12" x14ac:dyDescent="0.3">
      <c r="A70" s="38"/>
      <c r="B70" s="36" t="s">
        <v>31</v>
      </c>
      <c r="C70" s="36" t="str" cm="1">
        <f t="array" ref="C70">UPPER(INDEX(_xlfn.TEXTSPLIT($E70, "-"), 2))</f>
        <v>PULS</v>
      </c>
      <c r="D70" s="33" t="s">
        <v>49</v>
      </c>
      <c r="E70" s="33" t="str">
        <f t="shared" si="3"/>
        <v>d-puls-db-nsg</v>
      </c>
      <c r="F70" s="33" t="s">
        <v>49</v>
      </c>
      <c r="G70" s="33" t="s">
        <v>188</v>
      </c>
      <c r="H70" s="33" t="s">
        <v>414</v>
      </c>
      <c r="I70" s="33"/>
      <c r="J70" s="33"/>
      <c r="K70" s="33"/>
      <c r="L70" s="33" t="s">
        <v>427</v>
      </c>
    </row>
    <row r="71" spans="1:12" x14ac:dyDescent="0.3">
      <c r="A71" s="38"/>
      <c r="B71" s="35" t="s">
        <v>31</v>
      </c>
      <c r="C71" s="35" t="str" cm="1">
        <f t="array" ref="C71">UPPER(INDEX(_xlfn.TEXTSPLIT($E71, "-"), 2))</f>
        <v>PULS</v>
      </c>
      <c r="D71" s="35" t="s">
        <v>49</v>
      </c>
      <c r="E71" s="35" t="str">
        <f t="shared" si="3"/>
        <v>d-puls-pe-nsg</v>
      </c>
      <c r="F71" s="35" t="s">
        <v>49</v>
      </c>
      <c r="G71" s="35" t="s">
        <v>188</v>
      </c>
      <c r="H71" s="35" t="s">
        <v>415</v>
      </c>
      <c r="I71" s="35"/>
      <c r="J71" s="35"/>
      <c r="K71" s="35"/>
      <c r="L71" s="35" t="s">
        <v>427</v>
      </c>
    </row>
    <row r="72" spans="1:12" x14ac:dyDescent="0.3">
      <c r="A72" s="38"/>
      <c r="B72" s="36" t="s">
        <v>31</v>
      </c>
      <c r="C72" s="36" t="str" cm="1">
        <f t="array" ref="C72">UPPER(INDEX(_xlfn.TEXTSPLIT($E72, "-"), 2))</f>
        <v>DOIP</v>
      </c>
      <c r="D72" s="33" t="s">
        <v>49</v>
      </c>
      <c r="E72" s="33" t="str">
        <f t="shared" si="3"/>
        <v>d-doip-db-nsg</v>
      </c>
      <c r="F72" s="33" t="s">
        <v>49</v>
      </c>
      <c r="G72" s="33" t="s">
        <v>188</v>
      </c>
      <c r="H72" s="33" t="s">
        <v>416</v>
      </c>
      <c r="I72" s="33"/>
      <c r="J72" s="33"/>
      <c r="K72" s="33"/>
      <c r="L72" s="33" t="s">
        <v>427</v>
      </c>
    </row>
    <row r="73" spans="1:12" x14ac:dyDescent="0.3">
      <c r="A73" s="38"/>
      <c r="B73" s="35" t="s">
        <v>31</v>
      </c>
      <c r="C73" s="35" t="str" cm="1">
        <f t="array" ref="C73">UPPER(INDEX(_xlfn.TEXTSPLIT($E73, "-"), 2))</f>
        <v>DOIP</v>
      </c>
      <c r="D73" s="35" t="s">
        <v>49</v>
      </c>
      <c r="E73" s="35" t="str">
        <f t="shared" si="3"/>
        <v>d-doip-pe-nsg</v>
      </c>
      <c r="F73" s="35" t="s">
        <v>49</v>
      </c>
      <c r="G73" s="35" t="s">
        <v>188</v>
      </c>
      <c r="H73" s="35" t="s">
        <v>417</v>
      </c>
      <c r="I73" s="35"/>
      <c r="J73" s="35"/>
      <c r="K73" s="35"/>
      <c r="L73" s="35" t="s">
        <v>427</v>
      </c>
    </row>
    <row r="74" spans="1:12" x14ac:dyDescent="0.3">
      <c r="A74" s="38"/>
      <c r="B74" s="36" t="s">
        <v>31</v>
      </c>
      <c r="C74" s="36" t="str" cm="1">
        <f t="array" ref="C74">UPPER(INDEX(_xlfn.TEXTSPLIT($E74, "-"), 2))</f>
        <v>DDG</v>
      </c>
      <c r="D74" s="33" t="s">
        <v>49</v>
      </c>
      <c r="E74" s="33" t="str">
        <f t="shared" si="3"/>
        <v>d-ddg-db-nsg</v>
      </c>
      <c r="F74" s="33" t="s">
        <v>49</v>
      </c>
      <c r="G74" s="33" t="s">
        <v>188</v>
      </c>
      <c r="H74" s="33" t="s">
        <v>418</v>
      </c>
      <c r="I74" s="33"/>
      <c r="J74" s="33"/>
      <c r="K74" s="33"/>
      <c r="L74" s="33" t="s">
        <v>427</v>
      </c>
    </row>
    <row r="75" spans="1:12" x14ac:dyDescent="0.3">
      <c r="A75" s="38"/>
      <c r="B75" s="35" t="s">
        <v>31</v>
      </c>
      <c r="C75" s="35" t="str" cm="1">
        <f t="array" ref="C75">UPPER(INDEX(_xlfn.TEXTSPLIT($E75, "-"), 2))</f>
        <v>DDG</v>
      </c>
      <c r="D75" s="35" t="s">
        <v>49</v>
      </c>
      <c r="E75" s="35" t="str">
        <f t="shared" si="3"/>
        <v>d-ddg-pe-nsg</v>
      </c>
      <c r="F75" s="35" t="s">
        <v>49</v>
      </c>
      <c r="G75" s="35" t="s">
        <v>188</v>
      </c>
      <c r="H75" s="35" t="s">
        <v>419</v>
      </c>
      <c r="I75" s="35"/>
      <c r="J75" s="35"/>
      <c r="K75" s="35"/>
      <c r="L75" s="35" t="s">
        <v>427</v>
      </c>
    </row>
    <row r="76" spans="1:12" x14ac:dyDescent="0.3">
      <c r="A76" s="38"/>
      <c r="B76" s="36" t="s">
        <v>31</v>
      </c>
      <c r="C76" s="36" t="str" cm="1">
        <f t="array" ref="C76">UPPER(INDEX(_xlfn.TEXTSPLIT($E76, "-"), 2))</f>
        <v>BDP</v>
      </c>
      <c r="D76" s="33" t="s">
        <v>49</v>
      </c>
      <c r="E76" s="33" t="str">
        <f t="shared" si="3"/>
        <v>d-bdp-db-nsg</v>
      </c>
      <c r="F76" s="33" t="s">
        <v>49</v>
      </c>
      <c r="G76" s="33" t="s">
        <v>188</v>
      </c>
      <c r="H76" s="33" t="s">
        <v>420</v>
      </c>
      <c r="I76" s="33"/>
      <c r="J76" s="33"/>
      <c r="K76" s="33"/>
      <c r="L76" s="33" t="s">
        <v>427</v>
      </c>
    </row>
    <row r="77" spans="1:12" x14ac:dyDescent="0.3">
      <c r="A77" s="38"/>
      <c r="B77" s="35" t="s">
        <v>31</v>
      </c>
      <c r="C77" s="35" t="str" cm="1">
        <f t="array" ref="C77">UPPER(INDEX(_xlfn.TEXTSPLIT($E77, "-"), 2))</f>
        <v>BDP</v>
      </c>
      <c r="D77" s="35" t="s">
        <v>49</v>
      </c>
      <c r="E77" s="35" t="str">
        <f t="shared" si="3"/>
        <v>d-bdp-pe-nsg</v>
      </c>
      <c r="F77" s="35" t="s">
        <v>49</v>
      </c>
      <c r="G77" s="35" t="s">
        <v>188</v>
      </c>
      <c r="H77" s="35" t="s">
        <v>421</v>
      </c>
      <c r="I77" s="35"/>
      <c r="J77" s="35"/>
      <c r="K77" s="35"/>
      <c r="L77" s="35" t="s">
        <v>427</v>
      </c>
    </row>
    <row r="78" spans="1:12" x14ac:dyDescent="0.3">
      <c r="A78" s="38"/>
      <c r="B78" s="36" t="s">
        <v>31</v>
      </c>
      <c r="C78" s="36" t="str" cm="1">
        <f t="array" ref="C78">UPPER(INDEX(_xlfn.TEXTSPLIT($E78, "-"), 2))</f>
        <v>DIP</v>
      </c>
      <c r="D78" s="33" t="s">
        <v>49</v>
      </c>
      <c r="E78" s="33" t="str">
        <f t="shared" si="3"/>
        <v>d-dip-db-nsg</v>
      </c>
      <c r="F78" s="33" t="s">
        <v>49</v>
      </c>
      <c r="G78" s="33" t="s">
        <v>188</v>
      </c>
      <c r="H78" s="33" t="s">
        <v>422</v>
      </c>
      <c r="I78" s="33"/>
      <c r="J78" s="33"/>
      <c r="K78" s="33"/>
      <c r="L78" s="33" t="s">
        <v>427</v>
      </c>
    </row>
    <row r="79" spans="1:12" x14ac:dyDescent="0.3">
      <c r="A79" s="38"/>
      <c r="B79" s="35" t="s">
        <v>31</v>
      </c>
      <c r="C79" s="35" t="s">
        <v>428</v>
      </c>
      <c r="D79" s="35" t="s">
        <v>49</v>
      </c>
      <c r="E79" s="35" t="s">
        <v>429</v>
      </c>
      <c r="F79" s="35" t="s">
        <v>49</v>
      </c>
      <c r="G79" s="35" t="s">
        <v>57</v>
      </c>
      <c r="H79" s="35" t="s">
        <v>156</v>
      </c>
      <c r="I79" s="35"/>
      <c r="J79" s="35"/>
      <c r="K79" s="35"/>
      <c r="L79" s="35" t="s">
        <v>427</v>
      </c>
    </row>
    <row r="80" spans="1:12" x14ac:dyDescent="0.3">
      <c r="A80" s="38"/>
      <c r="B80" s="36" t="s">
        <v>31</v>
      </c>
      <c r="C80" s="36" t="str" cm="1">
        <f t="array" ref="C80">UPPER(INDEX(_xlfn.TEXTSPLIT($E80, "-"), 2))</f>
        <v>COM</v>
      </c>
      <c r="D80" s="33" t="s">
        <v>49</v>
      </c>
      <c r="E80" s="33" t="str">
        <f t="shared" si="3"/>
        <v>d-com-pe-nsg</v>
      </c>
      <c r="F80" s="33" t="s">
        <v>49</v>
      </c>
      <c r="G80" s="33" t="s">
        <v>188</v>
      </c>
      <c r="H80" s="33" t="s">
        <v>423</v>
      </c>
      <c r="I80" s="33"/>
      <c r="J80" s="33"/>
      <c r="K80" s="33"/>
      <c r="L80" s="33" t="s">
        <v>427</v>
      </c>
    </row>
    <row r="81" spans="1:12" x14ac:dyDescent="0.3">
      <c r="A81" s="38"/>
      <c r="B81" s="35" t="s">
        <v>31</v>
      </c>
      <c r="C81" s="35" t="str" cm="1">
        <f t="array" ref="C81">UPPER(INDEX(_xlfn.TEXTSPLIT($E81, "-"), 2))</f>
        <v>COM</v>
      </c>
      <c r="D81" s="35" t="s">
        <v>49</v>
      </c>
      <c r="E81" s="35" t="str">
        <f t="shared" si="3"/>
        <v>d-com-db-nsg</v>
      </c>
      <c r="F81" s="35" t="s">
        <v>49</v>
      </c>
      <c r="G81" s="35" t="s">
        <v>188</v>
      </c>
      <c r="H81" s="35" t="s">
        <v>424</v>
      </c>
      <c r="I81" s="35"/>
      <c r="J81" s="35"/>
      <c r="K81" s="35"/>
      <c r="L81" s="35" t="s">
        <v>427</v>
      </c>
    </row>
    <row r="82" spans="1:12" x14ac:dyDescent="0.3">
      <c r="A82" s="38"/>
      <c r="B82" s="36" t="s">
        <v>31</v>
      </c>
      <c r="C82" s="36" t="str" cm="1">
        <f t="array" ref="C82">UPPER(INDEX(_xlfn.TEXTSPLIT($E82, "-"), 2))</f>
        <v>IF</v>
      </c>
      <c r="D82" s="33" t="s">
        <v>49</v>
      </c>
      <c r="E82" s="33" t="str">
        <f t="shared" si="3"/>
        <v>d-if-db-nsg</v>
      </c>
      <c r="F82" s="33" t="s">
        <v>49</v>
      </c>
      <c r="G82" s="33" t="s">
        <v>188</v>
      </c>
      <c r="H82" s="33" t="s">
        <v>425</v>
      </c>
      <c r="I82" s="33"/>
      <c r="J82" s="33"/>
      <c r="K82" s="33"/>
      <c r="L82" s="33" t="s">
        <v>427</v>
      </c>
    </row>
    <row r="83" spans="1:12" x14ac:dyDescent="0.3">
      <c r="A83" s="38"/>
      <c r="B83" s="35" t="s">
        <v>31</v>
      </c>
      <c r="C83" s="35" t="str" cm="1">
        <f t="array" ref="C83">UPPER(INDEX(_xlfn.TEXTSPLIT($E83, "-"), 2))</f>
        <v>IF</v>
      </c>
      <c r="D83" s="35" t="s">
        <v>49</v>
      </c>
      <c r="E83" s="35" t="str">
        <f t="shared" si="3"/>
        <v>d-if-pe-nsg</v>
      </c>
      <c r="F83" s="35" t="s">
        <v>49</v>
      </c>
      <c r="G83" s="35" t="s">
        <v>188</v>
      </c>
      <c r="H83" s="35" t="s">
        <v>426</v>
      </c>
      <c r="I83" s="35"/>
      <c r="J83" s="35"/>
      <c r="K83" s="35"/>
      <c r="L83" s="35" t="s">
        <v>427</v>
      </c>
    </row>
  </sheetData>
  <phoneticPr fontId="1" type="noConversion"/>
  <conditionalFormatting sqref="E2:E8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2026-06-16T02:19:50Z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