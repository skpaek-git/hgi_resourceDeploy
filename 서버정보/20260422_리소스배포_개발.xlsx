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EFCA98C-5593-4E38-92AF-0EC3E0D226F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4" l="1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68" i="14" a="1"/>
  <c r="C68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0" i="14" a="1"/>
  <c r="C40" i="14" s="1"/>
  <c r="C39" i="14" a="1"/>
  <c r="C39" i="14" s="1"/>
  <c r="C37" i="14" a="1"/>
  <c r="C37" i="14" s="1"/>
  <c r="C34" i="14" a="1"/>
  <c r="C34" i="14" s="1"/>
  <c r="C27" i="14" a="1"/>
  <c r="C27" i="14" s="1"/>
  <c r="C24" i="14" a="1"/>
  <c r="C24" i="14" s="1"/>
  <c r="C23" i="14" a="1"/>
  <c r="C23" i="14" s="1"/>
  <c r="C16" i="14" a="1"/>
  <c r="C16" i="14" s="1"/>
  <c r="C14" i="14" a="1"/>
  <c r="C14" i="14" s="1"/>
  <c r="C13" i="14" a="1"/>
  <c r="C13" i="14" s="1"/>
  <c r="C10" i="14" a="1"/>
  <c r="C10" i="14" s="1"/>
  <c r="C4" i="14" a="1"/>
  <c r="C4" i="14" s="1"/>
  <c r="C3" i="14" a="1"/>
  <c r="C3" i="14" s="1"/>
  <c r="U71" i="1" l="1"/>
  <c r="O71" i="1"/>
  <c r="C47" i="1" a="1"/>
  <c r="C47" i="1" s="1"/>
  <c r="C3" i="1" a="1"/>
  <c r="C3" i="1" s="1"/>
  <c r="C4" i="1" a="1"/>
  <c r="C4" i="1" s="1"/>
  <c r="C11" i="1" a="1"/>
  <c r="C11" i="1" s="1"/>
  <c r="C13" i="1" a="1"/>
  <c r="C13" i="1" s="1"/>
  <c r="C14" i="1" a="1"/>
  <c r="C14" i="1" s="1"/>
  <c r="C16" i="1" a="1"/>
  <c r="C16" i="1" s="1"/>
  <c r="C23" i="1" a="1"/>
  <c r="C23" i="1" s="1"/>
  <c r="C24" i="1" a="1"/>
  <c r="C24" i="1" s="1"/>
  <c r="C27" i="1" a="1"/>
  <c r="C27" i="1" s="1"/>
  <c r="C34" i="1" a="1"/>
  <c r="C34" i="1" s="1"/>
  <c r="C37" i="1" a="1"/>
  <c r="C37" i="1" s="1"/>
  <c r="C39" i="1" a="1"/>
  <c r="C39" i="1" s="1"/>
  <c r="C40" i="1" a="1"/>
  <c r="C40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8" i="1" a="1"/>
  <c r="C68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<sst xmlns="http://schemas.openxmlformats.org/spreadsheetml/2006/main" count="2461" uniqueCount="539">
  <si>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</si>
  <si>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</si>
  <si>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</si>
  <si>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</si>
  <si>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</si>
  <si>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</si>
  <si>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</si>
  <si>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</si>
  <si>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</si>
  <si>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</si>
  <si>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</si>
  <si>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</si>
  <si>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</si>
  <si>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</si>
  <si>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</si>
  <si>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</si>
  <si>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</si>
  <si>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</si>
  <si>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</si>
  <si>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</si>
  <si>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</si>
  <si>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</si>
  <si>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</si>
  <si>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</si>
  <si>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</si>
  <si>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</si>
  <si>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</si>
  <si>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</si>
  <si>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</si>
  <si>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</si>
  <si>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</si>
  <si>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</si>
  <si>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</si>
  <si>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</si>
  <si>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</si>
  <si>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</si>
  <si>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</si>
  <si>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</si>
  <si>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</si>
  <si>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</si>
  <si>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</si>
  <si>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</si>
  <si>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</si>
  <si>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</si>
  <si>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</si>
  <si>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</si>
  <si>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</si>
  <si>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</si>
  <si>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</si>
  <si>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</si>
  <si>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</si>
  <si>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</si>
  <si>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</si>
  <si>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</si>
  <si>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</si>
  <si>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</si>
  <si>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</si>
  <si>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</si>
  <si>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</si>
  <si>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</si>
  <si>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</si>
  <si>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</si>
  <si>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</si>
  <si>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</si>
  <si>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</si>
  <si>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</si>
  <si>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</si>
  <si>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</si>
  <si>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</si>
  <si>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</si>
  <si>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</si>
  <si>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</si>
  <si>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</si>
  <si>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</si>
  <si>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</si>
  <si>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</si>
  <si>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</si>
  <si>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</si>
  <si>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</si>
  <si>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</si>
  <si>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</si>
  <si>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</si>
  <si>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</si>
  <si>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</si>
  <si>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</si>
  <si>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</si>
  <si>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</si>
  <si>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</si>
  <si>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</si>
  <si>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</si>
  <si>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</si>
  <si>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</si>
  <si>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</si>
  <si>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</si>
  <si>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</si>
  <si>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</si>
  <si>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</si>
  <si>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</si>
  <si>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</si>
  <si>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</si>
  <si>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</si>
  <si>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</si>
  <si>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</si>
  <si>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</si>
  <si>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</si>
  <si>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</si>
  <si>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</si>
  <si>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</si>
  <si>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</si>
  <si>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</si>
  <si>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</si>
  <si>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</si>
  <si>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</si>
  <si>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</si>
  <si>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</si>
  <si>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</si>
  <si>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</si>
  <si>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</si>
  <si>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</si>
  <si>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</si>
  <si>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</si>
  <si>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</si>
  <si>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</si>
  <si>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</si>
  <si>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</si>
  <si>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</si>
  <si>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</si>
  <si>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</si>
  <si>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</si>
  <si>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</si>
  <si>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</si>
  <si>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</si>
  <si>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</si>
  <si>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</si>
  <si>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</si>
  <si>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</si>
  <si>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</si>
  <si>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</si>
  <si>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</si>
  <si>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</si>
  <si>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</si>
  <si>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</si>
  <si>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</si>
  <si>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</si>
  <si>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</si>
  <si>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</si>
  <si>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</si>
  <si>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</si>
  <si>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</si>
  <si>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</si>
  <si>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</si>
  <si>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</si>
  <si>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</si>
  <si>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</si>
  <si>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</si>
  <si>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</si>
  <si>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</si>
  <si>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</si>
  <si>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</si>
  <si>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</si>
  <si>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</si>
  <si>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</si>
  <si>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</si>
  <si>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</si>
  <si>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</si>
  <si>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</si>
  <si>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</si>
  <si>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</si>
  <si>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</si>
  <si>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</si>
  <si>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</si>
  <si>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</si>
  <si>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</si>
  <si>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</si>
  <si>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</si>
  <si>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</si>
  <si>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</si>
  <si>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</si>
  <si>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</si>
  <si>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</si>
  <si>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</si>
  <si>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</si>
  <si>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</si>
  <si>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</si>
  <si>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</si>
  <si>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</si>
  <si>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</si>
  <si>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</si>
  <si>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</si>
  <si>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</si>
  <si>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</si>
  <si>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</si>
  <si>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</si>
  <si>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</si>
  <si>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</si>
  <si>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</si>
  <si>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</si>
  <si>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</si>
  <si>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</si>
  <si>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</si>
  <si>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</si>
  <si>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</si>
  <si>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</si>
  <si>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</si>
  <si>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</si>
  <si>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</si>
  <si>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</si>
  <si>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</si>
  <si>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</si>
  <si>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</si>
  <si>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</si>
  <si>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</si>
  <si>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</si>
  <si>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</si>
  <si>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</si>
  <si>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</si>
  <si>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</si>
  <si>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</si>
  <si>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</si>
  <si>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</si>
  <si>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</si>
  <si>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</si>
  <si>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</si>
  <si>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</si>
  <si>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</si>
  <si>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</si>
  <si>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</si>
  <si>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</si>
  <si>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</si>
  <si>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</si>
  <si>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</si>
  <si>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</si>
  <si>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</si>
  <si>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</si>
  <si>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</si>
  <si>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</si>
  <si>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</si>
  <si>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</si>
  <si>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</si>
  <si>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</si>
  <si>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</si>
  <si>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</si>
  <si>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</si>
  <si>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</si>
  <si>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</si>
  <si>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</si>
  <si>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</si>
  <si>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</si>
  <si>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</si>
  <si>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</si>
  <si>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</si>
  <si>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</si>
  <si>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</si>
  <si>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</si>
  <si>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</si>
  <si>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</si>
  <si>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</si>
  <si>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</si>
  <si>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</si>
  <si>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</si>
  <si>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</si>
  <si>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</si>
  <si>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</si>
  <si>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</si>
  <si>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</si>
  <si>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</si>
  <si>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</si>
  <si>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</si>
  <si>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</si>
  <si>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</si>
  <si>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</si>
  <si>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</si>
  <si>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</si>
  <si>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</si>
  <si>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</si>
  <si>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</si>
  <si>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</si>
  <si>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</si>
  <si>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</si>
  <si>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</si>
  <si>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</si>
  <si>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</si>
  <si>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</si>
  <si>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</si>
  <si>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</si>
  <si>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</si>
  <si>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</si>
  <si>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</si>
  <si>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</si>
  <si>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</si>
  <si>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</si>
  <si>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</si>
  <si>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</si>
  <si>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</si>
  <si>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</si>
  <si>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</si>
  <si>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</si>
  <si>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</si>
  <si>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</si>
  <si>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</si>
  <si>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</si>
  <si>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</si>
  <si>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</si>
  <si>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</si>
  <si>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</si>
  <si>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</si>
  <si>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</si>
  <si>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</si>
  <si>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</si>
  <si>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</si>
  <si>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</si>
  <si>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</si>
  <si>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</si>
  <si>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</si>
  <si>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</si>
  <si>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</si>
  <si>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</si>
  <si>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</si>
  <si>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</si>
  <si>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</si>
  <si>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</si>
  <si>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</si>
  <si>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</si>
  <si>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</si>
  <si>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</si>
  <si>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</si>
  <si>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</si>
  <si>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</si>
  <si>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</si>
  <si>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</si>
  <si>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</si>
  <si>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</si>
  <si>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</si>
  <si>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</si>
  <si>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</si>
  <si>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</si>
  <si>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</si>
  <si>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</si>
  <si>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</si>
  <si>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</si>
  <si>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</si>
  <si>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</si>
  <si>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</si>
  <si>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</si>
  <si>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</si>
  <si>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</si>
  <si>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</si>
  <si>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</si>
  <si>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</si>
  <si>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</si>
  <si>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</si>
  <si>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</si>
  <si>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</si>
  <si>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</si>
  <si>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</si>
  <si>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</si>
  <si>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</si>
  <si>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</si>
  <si>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</si>
  <si>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</si>
  <si>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</si>
  <si>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</si>
  <si>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</si>
  <si>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</si>
  <si>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</si>
  <si>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</si>
  <si>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</si>
  <si>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</si>
  <si>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</si>
  <si>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</si>
  <si>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</si>
  <si>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</si>
  <si>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</si>
  <si>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</si>
  <si>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</si>
  <si>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</si>
  <si>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</si>
  <si>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</si>
  <si>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</si>
  <si>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</si>
  <si>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</si>
  <si>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</si>
  <si>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</si>
  <si>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</si>
  <si>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</si>
  <si>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</si>
  <si>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</si>
  <si>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</si>
  <si>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</si>
  <si>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</si>
  <si>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</si>
  <si>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</si>
  <si>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</si>
  <si>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</si>
  <si>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</si>
  <si>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</si>
  <si>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</si>
  <si>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</si>
  <si>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</si>
  <si>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</si>
  <si>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</si>
  <si>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</si>
  <si>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</si>
  <si>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</si>
  <si>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</si>
  <si>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</si>
  <si>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</si>
  <si>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</si>
  <si>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</si>
  <si>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</si>
  <si>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</si>
  <si>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</si>
  <si>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</si>
  <si>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</si>
  <si>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</si>
  <si>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</si>
  <si>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</si>
  <si>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</si>
  <si>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</si>
  <si>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</si>
  <si>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</si>
  <si>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</si>
  <si>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</si>
  <si>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</si>
  <si>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</si>
  <si>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</si>
  <si>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</si>
  <si>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</si>
  <si>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</si>
  <si>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</si>
  <si>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</si>
  <si>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</si>
  <si>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</si>
  <si>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</si>
  <si>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</si>
  <si>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</si>
  <si>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</si>
  <si>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</si>
  <si>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</si>
  <si>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</si>
  <si>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</si>
  <si>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</si>
  <si>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</si>
  <si>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</si>
  <si>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</si>
  <si>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</si>
  <si>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</si>
  <si>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</si>
  <si>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</si>
  <si>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</si>
  <si>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</si>
  <si>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</si>
  <si>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</si>
  <si>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</si>
  <si>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</si>
  <si>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</si>
  <si>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</si>
  <si>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</si>
  <si>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</si>
  <si>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</si>
  <si>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</si>
  <si>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</si>
  <si>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</si>
  <si>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</si>
  <si>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</si>
  <si>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</si>
  <si>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</si>
  <si>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</si>
  <si>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</si>
  <si>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</si>
  <si>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</si>
  <si>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</si>
  <si>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</si>
  <si>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</si>
  <si>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</si>
  <si>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</si>
  <si>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</si>
  <si>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</si>
  <si>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</si>
  <si>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</si>
  <si>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</si>
  <si>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</si>
  <si>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</si>
  <si>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</si>
  <si>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</si>
  <si>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</si>
  <si>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</si>
  <si>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</si>
  <si>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</si>
  <si>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</si>
  <si>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</si>
  <si>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</si>
  <si>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</si>
  <si>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</si>
  <si>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</si>
  <si>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</si>
  <si>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</si>
  <si>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</si>
  <si>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</si>
  <si>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</si>
  <si>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</si>
  <si>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</si>
  <si>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</si>
  <si>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</si>
  <si>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</si>
  <si>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</si>
  <si>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</si>
  <si>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</si>
  <si>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삭제</t>
    <phoneticPr fontId="1" type="noConversion"/>
  </si>
  <si>
    <t>hazr-d-dis-bat02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</si>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</sst>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20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15" fillId="7" borderId="1" xfId="0" applyFont="1" applyFill="1" applyBorder="1">
      <alignment vertical="center"/>
    </xf>
    <xf numFmtId="0" fontId="15" fillId="9" borderId="1" xfId="0" applyFont="1" applyFill="1" applyBorder="1">
      <alignment vertical="center"/>
    </xf>
    <xf numFmtId="0" fontId="0" fillId="9" borderId="2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1" xfId="0" applyFill="1" applyBorder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1" totalsRowShown="0" headerRowDxfId="32" dataDxfId="31">
  <autoFilter ref="B1:AF7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480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481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476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479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482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483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484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485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486</v>
      </c>
      <c r="D10" s="56" t="s">
        <v>487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1"/>
  <sheetViews>
    <sheetView topLeftCell="A21" zoomScaleNormal="100" zoomScaleSheetLayoutView="100" workbookViewId="0">
      <selection activeCell="F44" sqref="F44"/>
    </sheetView>
  </sheetViews>
  <sheetFormatPr defaultRowHeight="16.5" x14ac:dyDescent="0.3"/>
  <cols>
    <col min="1" max="1" width="8.37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504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505</v>
      </c>
      <c r="AB1" s="43" t="s">
        <v>503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100"/>
      <c r="B2" s="1" t="s">
        <v>81</v>
      </c>
      <c r="C2" s="1"/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490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472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499</v>
      </c>
      <c r="AD2" s="1">
        <v>1</v>
      </c>
      <c r="AE2" s="1"/>
      <c r="AF2" s="1"/>
    </row>
    <row r="3" spans="1:32" x14ac:dyDescent="0.3">
      <c r="A3" s="101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514</v>
      </c>
      <c r="G3" s="1" t="s">
        <v>318</v>
      </c>
      <c r="H3" s="1" t="s">
        <v>309</v>
      </c>
      <c r="I3" s="1">
        <v>2</v>
      </c>
      <c r="J3" s="1">
        <v>8</v>
      </c>
      <c r="K3" s="1" t="s">
        <v>490</v>
      </c>
      <c r="L3" s="80" t="s">
        <v>306</v>
      </c>
      <c r="M3" s="1" t="s">
        <v>315</v>
      </c>
      <c r="N3" s="1" t="s">
        <v>513</v>
      </c>
      <c r="O3" s="1" t="str">
        <f t="shared" si="0"/>
        <v>d-dis-adm01-osdisk</v>
      </c>
      <c r="P3" s="1">
        <v>64</v>
      </c>
      <c r="Q3" s="1" t="s">
        <v>472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499</v>
      </c>
      <c r="AD3" s="1">
        <v>1</v>
      </c>
      <c r="AE3" s="1"/>
      <c r="AF3" s="1"/>
    </row>
    <row r="4" spans="1:32" x14ac:dyDescent="0.3">
      <c r="A4" s="101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515</v>
      </c>
      <c r="G4" s="1" t="s">
        <v>320</v>
      </c>
      <c r="H4" s="81" t="s">
        <v>321</v>
      </c>
      <c r="I4" s="1">
        <v>2</v>
      </c>
      <c r="J4" s="1">
        <v>8</v>
      </c>
      <c r="K4" s="1" t="s">
        <v>490</v>
      </c>
      <c r="L4" s="1" t="s">
        <v>305</v>
      </c>
      <c r="M4" s="1" t="s">
        <v>315</v>
      </c>
      <c r="N4" s="1" t="s">
        <v>513</v>
      </c>
      <c r="O4" s="1" t="str">
        <f t="shared" si="0"/>
        <v>d-dis-bbiweb01-osdisk</v>
      </c>
      <c r="P4" s="1">
        <v>64</v>
      </c>
      <c r="Q4" s="1" t="s">
        <v>472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499</v>
      </c>
      <c r="AD4" s="1">
        <v>1</v>
      </c>
      <c r="AE4" s="1"/>
      <c r="AF4" s="1"/>
    </row>
    <row r="5" spans="1:32" x14ac:dyDescent="0.3">
      <c r="A5" s="100"/>
      <c r="B5" s="1" t="s">
        <v>81</v>
      </c>
      <c r="C5" s="1"/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490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472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499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/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490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472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499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/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490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472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499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/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490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472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499</v>
      </c>
      <c r="AD8" s="1">
        <v>1</v>
      </c>
      <c r="AE8" s="1"/>
      <c r="AF8" s="1"/>
    </row>
    <row r="9" spans="1:32" x14ac:dyDescent="0.3">
      <c r="A9" s="97" t="s">
        <v>508</v>
      </c>
      <c r="B9" s="1" t="s">
        <v>81</v>
      </c>
      <c r="C9" s="1"/>
      <c r="D9" s="1" t="s">
        <v>310</v>
      </c>
      <c r="E9" s="1" t="s">
        <v>24</v>
      </c>
      <c r="F9" s="1" t="s">
        <v>509</v>
      </c>
      <c r="G9" s="1" t="s">
        <v>334</v>
      </c>
      <c r="H9" s="1" t="s">
        <v>321</v>
      </c>
      <c r="I9" s="1">
        <v>2</v>
      </c>
      <c r="J9" s="1">
        <v>8</v>
      </c>
      <c r="K9" s="1" t="s">
        <v>490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472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499</v>
      </c>
      <c r="AD9" s="1">
        <v>1</v>
      </c>
      <c r="AE9" s="1"/>
      <c r="AF9" s="1"/>
    </row>
    <row r="10" spans="1:32" x14ac:dyDescent="0.3">
      <c r="A10" s="100"/>
      <c r="B10" s="1" t="s">
        <v>81</v>
      </c>
      <c r="C10" s="1"/>
      <c r="D10" s="1" t="s">
        <v>310</v>
      </c>
      <c r="E10" s="1" t="s">
        <v>516</v>
      </c>
      <c r="F10" s="1" t="s">
        <v>518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490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472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499</v>
      </c>
      <c r="AD10" s="1">
        <v>1</v>
      </c>
      <c r="AE10" s="1"/>
      <c r="AF10" s="1"/>
    </row>
    <row r="11" spans="1:32" x14ac:dyDescent="0.3">
      <c r="A11" s="101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490</v>
      </c>
      <c r="L11" s="80" t="s">
        <v>305</v>
      </c>
      <c r="M11" s="1" t="s">
        <v>315</v>
      </c>
      <c r="N11" s="1" t="s">
        <v>513</v>
      </c>
      <c r="O11" s="1" t="str">
        <f t="shared" si="0"/>
        <v>d-dis-walkweb01-osdisk</v>
      </c>
      <c r="P11" s="1">
        <v>64</v>
      </c>
      <c r="Q11" s="1" t="s">
        <v>472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499</v>
      </c>
      <c r="AD11" s="1">
        <v>1</v>
      </c>
      <c r="AE11" s="1"/>
      <c r="AF11" s="1"/>
    </row>
    <row r="12" spans="1:32" x14ac:dyDescent="0.3">
      <c r="A12" s="100"/>
      <c r="B12" s="1" t="s">
        <v>81</v>
      </c>
      <c r="C12" s="1"/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490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472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499</v>
      </c>
      <c r="AD12" s="1">
        <v>1</v>
      </c>
      <c r="AE12" s="1"/>
      <c r="AF12" s="1"/>
    </row>
    <row r="13" spans="1:32" x14ac:dyDescent="0.3">
      <c r="A13" s="101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519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490</v>
      </c>
      <c r="L13" s="80" t="s">
        <v>305</v>
      </c>
      <c r="M13" s="1" t="s">
        <v>315</v>
      </c>
      <c r="N13" s="1" t="s">
        <v>513</v>
      </c>
      <c r="O13" s="1" t="str">
        <f t="shared" si="0"/>
        <v>d-dis-web01-osdisk</v>
      </c>
      <c r="P13" s="1">
        <v>64</v>
      </c>
      <c r="Q13" s="1" t="s">
        <v>472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499</v>
      </c>
      <c r="AD13" s="1">
        <v>1</v>
      </c>
      <c r="AE13" s="1"/>
      <c r="AF13" s="1"/>
    </row>
    <row r="14" spans="1:32" x14ac:dyDescent="0.3">
      <c r="A14" s="104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520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490</v>
      </c>
      <c r="L14" s="1" t="s">
        <v>305</v>
      </c>
      <c r="M14" s="1" t="s">
        <v>315</v>
      </c>
      <c r="N14" s="1" t="s">
        <v>513</v>
      </c>
      <c r="O14" s="1" t="str">
        <f t="shared" si="0"/>
        <v>d-dis-cmsadm01-osdisk</v>
      </c>
      <c r="P14" s="1">
        <v>64</v>
      </c>
      <c r="Q14" s="1" t="s">
        <v>472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499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/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490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472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499</v>
      </c>
      <c r="AD15" s="1">
        <v>1</v>
      </c>
      <c r="AE15" s="1"/>
      <c r="AF15" s="1"/>
    </row>
    <row r="16" spans="1:32" x14ac:dyDescent="0.3">
      <c r="A16" s="104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517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490</v>
      </c>
      <c r="L16" s="1" t="s">
        <v>305</v>
      </c>
      <c r="M16" s="1" t="s">
        <v>315</v>
      </c>
      <c r="N16" s="1" t="s">
        <v>513</v>
      </c>
      <c r="O16" s="1" t="str">
        <f t="shared" si="0"/>
        <v>d-dis-cmsweb01-osdisk</v>
      </c>
      <c r="P16" s="1">
        <v>64</v>
      </c>
      <c r="Q16" s="1" t="s">
        <v>472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499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/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490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472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499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/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490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472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499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/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490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472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499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/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490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472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499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/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490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472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499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/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490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472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499</v>
      </c>
      <c r="AD22" s="1">
        <v>1</v>
      </c>
      <c r="AE22" s="1"/>
      <c r="AF22" s="1"/>
    </row>
    <row r="23" spans="1:32" x14ac:dyDescent="0.3">
      <c r="A23" s="104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521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490</v>
      </c>
      <c r="L23" s="1" t="s">
        <v>305</v>
      </c>
      <c r="M23" s="1" t="s">
        <v>315</v>
      </c>
      <c r="N23" s="1" t="s">
        <v>512</v>
      </c>
      <c r="O23" s="1" t="str">
        <f t="shared" si="0"/>
        <v>d-dtg-admweb01-osdisk</v>
      </c>
      <c r="P23" s="1">
        <v>64</v>
      </c>
      <c r="Q23" s="1" t="s">
        <v>472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499</v>
      </c>
      <c r="AD23" s="1">
        <v>1</v>
      </c>
      <c r="AE23" s="1"/>
      <c r="AF23" s="1"/>
    </row>
    <row r="24" spans="1:32" x14ac:dyDescent="0.3">
      <c r="A24" s="104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522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490</v>
      </c>
      <c r="L24" s="80" t="s">
        <v>305</v>
      </c>
      <c r="M24" s="1" t="s">
        <v>315</v>
      </c>
      <c r="N24" s="1" t="s">
        <v>512</v>
      </c>
      <c r="O24" s="1" t="str">
        <f t="shared" si="0"/>
        <v>d-dtg-admap01-osdisk</v>
      </c>
      <c r="P24" s="1">
        <v>64</v>
      </c>
      <c r="Q24" s="1" t="s">
        <v>472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499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/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490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472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499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/>
      <c r="D26" s="1" t="s">
        <v>351</v>
      </c>
      <c r="E26" s="1" t="s">
        <v>24</v>
      </c>
      <c r="F26" s="1" t="s">
        <v>523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490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472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499</v>
      </c>
      <c r="AD26" s="1">
        <v>1</v>
      </c>
      <c r="AE26" s="1"/>
      <c r="AF26" s="1"/>
    </row>
    <row r="27" spans="1:32" x14ac:dyDescent="0.3">
      <c r="A27" s="104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524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490</v>
      </c>
      <c r="L27" s="1" t="s">
        <v>305</v>
      </c>
      <c r="M27" s="1" t="s">
        <v>315</v>
      </c>
      <c r="N27" s="1" t="s">
        <v>512</v>
      </c>
      <c r="O27" s="1" t="str">
        <f t="shared" si="0"/>
        <v>d-dtg-web01-osdisk</v>
      </c>
      <c r="P27" s="1">
        <v>64</v>
      </c>
      <c r="Q27" s="1" t="s">
        <v>472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499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/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490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472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499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/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490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472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499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/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490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472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499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/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490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472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499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/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490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472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499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/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490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472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499</v>
      </c>
      <c r="AD33" s="1">
        <v>1</v>
      </c>
      <c r="AE33" s="1"/>
      <c r="AF33" s="1"/>
    </row>
    <row r="34" spans="1:32" x14ac:dyDescent="0.3">
      <c r="A34" s="104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525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490</v>
      </c>
      <c r="L34" s="80" t="s">
        <v>305</v>
      </c>
      <c r="M34" s="1" t="s">
        <v>315</v>
      </c>
      <c r="N34" s="1" t="s">
        <v>512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472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499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/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490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472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499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/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490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472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499</v>
      </c>
      <c r="AD36" s="1">
        <v>1</v>
      </c>
      <c r="AE36" s="1"/>
      <c r="AF36" s="1"/>
    </row>
    <row r="37" spans="1:32" x14ac:dyDescent="0.3">
      <c r="A37" s="104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510</v>
      </c>
      <c r="G37" s="1" t="s">
        <v>394</v>
      </c>
      <c r="H37" s="1" t="s">
        <v>321</v>
      </c>
      <c r="I37" s="1">
        <v>2</v>
      </c>
      <c r="J37" s="1">
        <v>8</v>
      </c>
      <c r="K37" s="1" t="s">
        <v>490</v>
      </c>
      <c r="L37" s="1" t="s">
        <v>305</v>
      </c>
      <c r="M37" s="1" t="s">
        <v>315</v>
      </c>
      <c r="N37" s="1" t="s">
        <v>512</v>
      </c>
      <c r="O37" s="1" t="str">
        <f t="shared" si="3"/>
        <v>d-dtg-cdsvadm01-osdisk</v>
      </c>
      <c r="P37" s="1">
        <v>64</v>
      </c>
      <c r="Q37" s="1" t="s">
        <v>472</v>
      </c>
      <c r="R37" s="1"/>
      <c r="S37" s="1"/>
      <c r="T37" s="1"/>
      <c r="U37" s="1" t="str">
        <f t="shared" si="4"/>
        <v>d-dtg-cdsvadm01-nic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499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/>
      <c r="D38" s="1" t="s">
        <v>351</v>
      </c>
      <c r="E38" s="1" t="s">
        <v>24</v>
      </c>
      <c r="F38" s="1" t="s">
        <v>395</v>
      </c>
      <c r="G38" s="1" t="s">
        <v>396</v>
      </c>
      <c r="H38" s="81" t="s">
        <v>321</v>
      </c>
      <c r="I38" s="1">
        <v>2</v>
      </c>
      <c r="J38" s="1">
        <v>8</v>
      </c>
      <c r="K38" s="1" t="s">
        <v>490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472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499</v>
      </c>
      <c r="AD38" s="1">
        <v>1</v>
      </c>
      <c r="AE38" s="1"/>
      <c r="AF38" s="1"/>
    </row>
    <row r="39" spans="1:32" x14ac:dyDescent="0.3">
      <c r="A39" s="104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526</v>
      </c>
      <c r="G39" s="1" t="s">
        <v>398</v>
      </c>
      <c r="H39" s="81" t="s">
        <v>321</v>
      </c>
      <c r="I39" s="1">
        <v>2</v>
      </c>
      <c r="J39" s="1">
        <v>8</v>
      </c>
      <c r="K39" s="1" t="s">
        <v>490</v>
      </c>
      <c r="L39" s="1" t="s">
        <v>305</v>
      </c>
      <c r="M39" s="1" t="s">
        <v>315</v>
      </c>
      <c r="N39" s="1" t="s">
        <v>512</v>
      </c>
      <c r="O39" s="1" t="str">
        <f t="shared" si="3"/>
        <v>d-dtg-diosweb01-osdisk</v>
      </c>
      <c r="P39" s="1">
        <v>64</v>
      </c>
      <c r="Q39" s="1" t="s">
        <v>472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499</v>
      </c>
      <c r="AD39" s="1">
        <v>1</v>
      </c>
      <c r="AE39" s="1"/>
      <c r="AF39" s="1"/>
    </row>
    <row r="40" spans="1:32" x14ac:dyDescent="0.3">
      <c r="A40" s="104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527</v>
      </c>
      <c r="G40" s="1" t="s">
        <v>400</v>
      </c>
      <c r="H40" s="1" t="s">
        <v>321</v>
      </c>
      <c r="I40" s="1">
        <v>2</v>
      </c>
      <c r="J40" s="1">
        <v>8</v>
      </c>
      <c r="K40" s="1" t="s">
        <v>490</v>
      </c>
      <c r="L40" s="80" t="s">
        <v>305</v>
      </c>
      <c r="M40" s="1" t="s">
        <v>315</v>
      </c>
      <c r="N40" s="1" t="s">
        <v>512</v>
      </c>
      <c r="O40" s="1" t="str">
        <f t="shared" si="3"/>
        <v>d-dtg-dprweb01-osdisk</v>
      </c>
      <c r="P40" s="1">
        <v>64</v>
      </c>
      <c r="Q40" s="1" t="s">
        <v>472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499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/>
      <c r="D41" s="1" t="s">
        <v>351</v>
      </c>
      <c r="E41" s="1" t="s">
        <v>24</v>
      </c>
      <c r="F41" s="1" t="s">
        <v>401</v>
      </c>
      <c r="G41" s="1" t="s">
        <v>402</v>
      </c>
      <c r="H41" s="81" t="s">
        <v>321</v>
      </c>
      <c r="I41" s="1">
        <v>2</v>
      </c>
      <c r="J41" s="1">
        <v>8</v>
      </c>
      <c r="K41" s="1" t="s">
        <v>490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472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499</v>
      </c>
      <c r="AD41" s="1">
        <v>1</v>
      </c>
      <c r="AE41" s="1"/>
      <c r="AF41" s="1"/>
    </row>
    <row r="42" spans="1:32" x14ac:dyDescent="0.3">
      <c r="A42" s="104"/>
      <c r="B42" s="1" t="s">
        <v>81</v>
      </c>
      <c r="C42" s="1" t="str" cm="1">
        <f t="array" ref="C42">UPPER(INDEX(_xlfn.TEXTSPLIT($D42, "-"), 3))</f>
        <v>BDP</v>
      </c>
      <c r="D42" s="1" t="s">
        <v>403</v>
      </c>
      <c r="E42" s="1" t="s">
        <v>24</v>
      </c>
      <c r="F42" s="1" t="s">
        <v>528</v>
      </c>
      <c r="G42" s="1" t="s">
        <v>405</v>
      </c>
      <c r="H42" s="81" t="s">
        <v>321</v>
      </c>
      <c r="I42" s="1">
        <v>2</v>
      </c>
      <c r="J42" s="1">
        <v>8</v>
      </c>
      <c r="K42" s="1" t="s">
        <v>490</v>
      </c>
      <c r="L42" s="80" t="s">
        <v>305</v>
      </c>
      <c r="M42" s="1" t="s">
        <v>315</v>
      </c>
      <c r="N42" s="1" t="s">
        <v>512</v>
      </c>
      <c r="O42" s="1" t="str">
        <f t="shared" si="3"/>
        <v>d-bdp-airfw01-osdisk</v>
      </c>
      <c r="P42" s="1">
        <v>64</v>
      </c>
      <c r="Q42" s="1" t="s">
        <v>472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406</v>
      </c>
      <c r="AA42" s="1" t="b">
        <v>1</v>
      </c>
      <c r="AB42" s="1" t="s">
        <v>173</v>
      </c>
      <c r="AC42" s="1" t="s">
        <v>499</v>
      </c>
      <c r="AD42" s="1">
        <v>1</v>
      </c>
      <c r="AE42" s="1"/>
      <c r="AF42" s="1"/>
    </row>
    <row r="43" spans="1:32" x14ac:dyDescent="0.3">
      <c r="A43" s="104"/>
      <c r="B43" s="1" t="s">
        <v>81</v>
      </c>
      <c r="C43" s="1" t="str" cm="1">
        <f t="array" ref="C43">UPPER(INDEX(_xlfn.TEXTSPLIT($D43, "-"), 3))</f>
        <v>BDP</v>
      </c>
      <c r="D43" s="1" t="s">
        <v>403</v>
      </c>
      <c r="E43" s="1" t="s">
        <v>24</v>
      </c>
      <c r="F43" s="1" t="s">
        <v>529</v>
      </c>
      <c r="G43" s="1" t="s">
        <v>408</v>
      </c>
      <c r="H43" s="1" t="s">
        <v>321</v>
      </c>
      <c r="I43" s="1">
        <v>2</v>
      </c>
      <c r="J43" s="1">
        <v>8</v>
      </c>
      <c r="K43" s="1" t="s">
        <v>490</v>
      </c>
      <c r="L43" s="1" t="s">
        <v>305</v>
      </c>
      <c r="M43" s="1" t="s">
        <v>315</v>
      </c>
      <c r="N43" s="1" t="s">
        <v>512</v>
      </c>
      <c r="O43" s="1" t="str">
        <f t="shared" si="3"/>
        <v>d-bdp-kepler01-osdisk</v>
      </c>
      <c r="P43" s="1">
        <v>64</v>
      </c>
      <c r="Q43" s="1" t="s">
        <v>472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406</v>
      </c>
      <c r="AA43" s="1" t="b">
        <v>1</v>
      </c>
      <c r="AB43" s="1" t="s">
        <v>173</v>
      </c>
      <c r="AC43" s="1" t="s">
        <v>499</v>
      </c>
      <c r="AD43" s="1">
        <v>1</v>
      </c>
      <c r="AE43" s="1"/>
      <c r="AF43" s="1"/>
    </row>
    <row r="44" spans="1:32" x14ac:dyDescent="0.3">
      <c r="A44" s="104"/>
      <c r="B44" s="1" t="s">
        <v>81</v>
      </c>
      <c r="C44" s="1" t="str" cm="1">
        <f t="array" ref="C44">UPPER(INDEX(_xlfn.TEXTSPLIT($D44, "-"), 3))</f>
        <v>BDP</v>
      </c>
      <c r="D44" s="1" t="s">
        <v>403</v>
      </c>
      <c r="E44" s="1" t="s">
        <v>24</v>
      </c>
      <c r="F44" s="1" t="s">
        <v>511</v>
      </c>
      <c r="G44" s="1" t="s">
        <v>409</v>
      </c>
      <c r="H44" s="81" t="s">
        <v>321</v>
      </c>
      <c r="I44" s="1">
        <v>2</v>
      </c>
      <c r="J44" s="1">
        <v>8</v>
      </c>
      <c r="K44" s="1" t="s">
        <v>490</v>
      </c>
      <c r="L44" s="80" t="s">
        <v>305</v>
      </c>
      <c r="M44" s="1" t="s">
        <v>315</v>
      </c>
      <c r="N44" s="1" t="s">
        <v>512</v>
      </c>
      <c r="O44" s="1" t="str">
        <f t="shared" si="3"/>
        <v>d-bdp-cxmadm01-osdisk</v>
      </c>
      <c r="P44" s="1">
        <v>64</v>
      </c>
      <c r="Q44" s="1" t="s">
        <v>472</v>
      </c>
      <c r="R44" s="1"/>
      <c r="S44" s="1"/>
      <c r="T44" s="1"/>
      <c r="U44" s="1" t="str">
        <f t="shared" si="4"/>
        <v>d-bdp-cxmadm01-nic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406</v>
      </c>
      <c r="AA44" s="1" t="b">
        <v>1</v>
      </c>
      <c r="AB44" s="1" t="s">
        <v>173</v>
      </c>
      <c r="AC44" s="1" t="s">
        <v>499</v>
      </c>
      <c r="AD44" s="1">
        <v>1</v>
      </c>
      <c r="AE44" s="1"/>
      <c r="AF44" s="1"/>
    </row>
    <row r="45" spans="1:32" x14ac:dyDescent="0.3">
      <c r="A45" s="104"/>
      <c r="B45" s="1" t="s">
        <v>81</v>
      </c>
      <c r="C45" s="1" t="str" cm="1">
        <f t="array" ref="C45">UPPER(INDEX(_xlfn.TEXTSPLIT($D45, "-"), 3))</f>
        <v>BDP</v>
      </c>
      <c r="D45" s="1" t="s">
        <v>403</v>
      </c>
      <c r="E45" s="1" t="s">
        <v>24</v>
      </c>
      <c r="F45" s="1" t="s">
        <v>530</v>
      </c>
      <c r="G45" s="1" t="s">
        <v>411</v>
      </c>
      <c r="H45" s="81" t="s">
        <v>321</v>
      </c>
      <c r="I45" s="1">
        <v>2</v>
      </c>
      <c r="J45" s="1">
        <v>8</v>
      </c>
      <c r="K45" s="1" t="s">
        <v>490</v>
      </c>
      <c r="L45" s="1" t="s">
        <v>305</v>
      </c>
      <c r="M45" s="1" t="s">
        <v>315</v>
      </c>
      <c r="N45" s="1" t="s">
        <v>512</v>
      </c>
      <c r="O45" s="1" t="str">
        <f t="shared" si="3"/>
        <v>d-bdp-slap01-osdisk</v>
      </c>
      <c r="P45" s="1">
        <v>64</v>
      </c>
      <c r="Q45" s="1" t="s">
        <v>472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406</v>
      </c>
      <c r="AA45" s="1" t="b">
        <v>1</v>
      </c>
      <c r="AB45" s="1" t="s">
        <v>173</v>
      </c>
      <c r="AC45" s="1" t="s">
        <v>499</v>
      </c>
      <c r="AD45" s="1">
        <v>1</v>
      </c>
      <c r="AE45" s="1"/>
      <c r="AF45" s="1"/>
    </row>
    <row r="46" spans="1:32" x14ac:dyDescent="0.3">
      <c r="A46" s="104"/>
      <c r="B46" s="1" t="s">
        <v>81</v>
      </c>
      <c r="C46" s="1" t="str" cm="1">
        <f t="array" ref="C46">UPPER(INDEX(_xlfn.TEXTSPLIT($D46, "-"), 3))</f>
        <v>DIP</v>
      </c>
      <c r="D46" s="1" t="s">
        <v>473</v>
      </c>
      <c r="E46" s="1" t="s">
        <v>24</v>
      </c>
      <c r="F46" s="1" t="s">
        <v>531</v>
      </c>
      <c r="G46" s="1" t="s">
        <v>413</v>
      </c>
      <c r="H46" s="1" t="s">
        <v>321</v>
      </c>
      <c r="I46" s="1">
        <v>2</v>
      </c>
      <c r="J46" s="1">
        <v>8</v>
      </c>
      <c r="K46" s="1" t="s">
        <v>490</v>
      </c>
      <c r="L46" s="80" t="s">
        <v>305</v>
      </c>
      <c r="M46" s="1" t="s">
        <v>315</v>
      </c>
      <c r="N46" s="1" t="s">
        <v>512</v>
      </c>
      <c r="O46" s="1" t="str">
        <f t="shared" si="3"/>
        <v>d-dip-adm01-osdisk</v>
      </c>
      <c r="P46" s="1">
        <v>64</v>
      </c>
      <c r="Q46" s="1" t="s">
        <v>472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414</v>
      </c>
      <c r="AA46" s="1" t="b">
        <v>1</v>
      </c>
      <c r="AB46" s="1" t="s">
        <v>173</v>
      </c>
      <c r="AC46" s="1" t="s">
        <v>499</v>
      </c>
      <c r="AD46" s="1">
        <v>1</v>
      </c>
      <c r="AE46" s="1"/>
      <c r="AF46" s="1"/>
    </row>
    <row r="47" spans="1:32" x14ac:dyDescent="0.3">
      <c r="A47" s="104"/>
      <c r="B47" s="1" t="s">
        <v>81</v>
      </c>
      <c r="C47" s="1" t="str" cm="1">
        <f t="array" ref="C47">UPPER(INDEX(_xlfn.TEXTSPLIT($D47, "-"), 3))</f>
        <v>DIP</v>
      </c>
      <c r="D47" s="1" t="s">
        <v>473</v>
      </c>
      <c r="E47" s="1" t="s">
        <v>24</v>
      </c>
      <c r="F47" s="1" t="s">
        <v>532</v>
      </c>
      <c r="G47" s="1" t="s">
        <v>416</v>
      </c>
      <c r="H47" s="81" t="s">
        <v>321</v>
      </c>
      <c r="I47" s="1">
        <v>2</v>
      </c>
      <c r="J47" s="1">
        <v>8</v>
      </c>
      <c r="K47" s="1" t="s">
        <v>490</v>
      </c>
      <c r="L47" s="1" t="s">
        <v>305</v>
      </c>
      <c r="M47" s="1" t="s">
        <v>315</v>
      </c>
      <c r="N47" s="1" t="s">
        <v>512</v>
      </c>
      <c r="O47" s="1" t="str">
        <f t="shared" si="3"/>
        <v>d-dip-ap01-osdisk</v>
      </c>
      <c r="P47" s="1">
        <v>64</v>
      </c>
      <c r="Q47" s="1" t="s">
        <v>472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414</v>
      </c>
      <c r="AA47" s="1" t="b">
        <v>1</v>
      </c>
      <c r="AB47" s="1" t="s">
        <v>173</v>
      </c>
      <c r="AC47" s="1" t="s">
        <v>499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/>
      <c r="D48" s="1" t="s">
        <v>473</v>
      </c>
      <c r="E48" s="1" t="s">
        <v>24</v>
      </c>
      <c r="F48" s="1" t="s">
        <v>417</v>
      </c>
      <c r="G48" s="1" t="s">
        <v>418</v>
      </c>
      <c r="H48" s="81" t="s">
        <v>321</v>
      </c>
      <c r="I48" s="1">
        <v>2</v>
      </c>
      <c r="J48" s="1">
        <v>8</v>
      </c>
      <c r="K48" s="1" t="s">
        <v>490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472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414</v>
      </c>
      <c r="AA48" s="1" t="b">
        <v>1</v>
      </c>
      <c r="AB48" s="1" t="s">
        <v>173</v>
      </c>
      <c r="AC48" s="1" t="s">
        <v>499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/>
      <c r="D49" s="1" t="s">
        <v>473</v>
      </c>
      <c r="E49" s="1" t="s">
        <v>24</v>
      </c>
      <c r="F49" s="1" t="s">
        <v>419</v>
      </c>
      <c r="G49" s="1" t="s">
        <v>420</v>
      </c>
      <c r="H49" s="1" t="s">
        <v>321</v>
      </c>
      <c r="I49" s="1">
        <v>2</v>
      </c>
      <c r="J49" s="1">
        <v>8</v>
      </c>
      <c r="K49" s="1" t="s">
        <v>490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472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414</v>
      </c>
      <c r="AA49" s="1" t="b">
        <v>1</v>
      </c>
      <c r="AB49" s="1" t="s">
        <v>173</v>
      </c>
      <c r="AC49" s="1" t="s">
        <v>499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/>
      <c r="D50" s="1" t="s">
        <v>473</v>
      </c>
      <c r="E50" s="1" t="s">
        <v>24</v>
      </c>
      <c r="F50" s="1" t="s">
        <v>421</v>
      </c>
      <c r="G50" s="1" t="s">
        <v>422</v>
      </c>
      <c r="H50" s="81" t="s">
        <v>321</v>
      </c>
      <c r="I50" s="1">
        <v>2</v>
      </c>
      <c r="J50" s="1">
        <v>8</v>
      </c>
      <c r="K50" s="1" t="s">
        <v>490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472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414</v>
      </c>
      <c r="AA50" s="1" t="b">
        <v>1</v>
      </c>
      <c r="AB50" s="1" t="s">
        <v>173</v>
      </c>
      <c r="AC50" s="1" t="s">
        <v>499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/>
      <c r="D51" s="1" t="s">
        <v>473</v>
      </c>
      <c r="E51" s="1" t="s">
        <v>24</v>
      </c>
      <c r="F51" s="1" t="s">
        <v>423</v>
      </c>
      <c r="G51" s="1" t="s">
        <v>424</v>
      </c>
      <c r="H51" s="81" t="s">
        <v>321</v>
      </c>
      <c r="I51" s="1">
        <v>2</v>
      </c>
      <c r="J51" s="1">
        <v>8</v>
      </c>
      <c r="K51" s="1" t="s">
        <v>490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472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414</v>
      </c>
      <c r="AA51" s="1" t="b">
        <v>1</v>
      </c>
      <c r="AB51" s="1" t="s">
        <v>173</v>
      </c>
      <c r="AC51" s="1" t="s">
        <v>499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/>
      <c r="D52" s="1" t="s">
        <v>473</v>
      </c>
      <c r="E52" s="1" t="s">
        <v>24</v>
      </c>
      <c r="F52" s="1" t="s">
        <v>425</v>
      </c>
      <c r="G52" s="1" t="s">
        <v>426</v>
      </c>
      <c r="H52" s="1" t="s">
        <v>321</v>
      </c>
      <c r="I52" s="1">
        <v>2</v>
      </c>
      <c r="J52" s="1">
        <v>8</v>
      </c>
      <c r="K52" s="1" t="s">
        <v>490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472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414</v>
      </c>
      <c r="AA52" s="1" t="b">
        <v>1</v>
      </c>
      <c r="AB52" s="1" t="s">
        <v>173</v>
      </c>
      <c r="AC52" s="1" t="s">
        <v>499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/>
      <c r="D53" s="1" t="s">
        <v>473</v>
      </c>
      <c r="E53" s="1" t="s">
        <v>24</v>
      </c>
      <c r="F53" s="1" t="s">
        <v>474</v>
      </c>
      <c r="G53" s="1" t="s">
        <v>427</v>
      </c>
      <c r="H53" s="81" t="s">
        <v>321</v>
      </c>
      <c r="I53" s="1">
        <v>2</v>
      </c>
      <c r="J53" s="1">
        <v>8</v>
      </c>
      <c r="K53" s="1" t="s">
        <v>490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472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414</v>
      </c>
      <c r="AA53" s="1" t="b">
        <v>1</v>
      </c>
      <c r="AB53" s="1" t="s">
        <v>173</v>
      </c>
      <c r="AC53" s="1" t="s">
        <v>499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/>
      <c r="D54" s="1" t="s">
        <v>473</v>
      </c>
      <c r="E54" s="1" t="s">
        <v>24</v>
      </c>
      <c r="F54" s="1" t="s">
        <v>475</v>
      </c>
      <c r="G54" s="1" t="s">
        <v>428</v>
      </c>
      <c r="H54" s="81" t="s">
        <v>321</v>
      </c>
      <c r="I54" s="1">
        <v>2</v>
      </c>
      <c r="J54" s="1">
        <v>8</v>
      </c>
      <c r="K54" s="1" t="s">
        <v>490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472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414</v>
      </c>
      <c r="AA54" s="1" t="b">
        <v>1</v>
      </c>
      <c r="AB54" s="1" t="s">
        <v>173</v>
      </c>
      <c r="AC54" s="1" t="s">
        <v>499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/>
      <c r="D55" s="1" t="s">
        <v>473</v>
      </c>
      <c r="E55" s="1" t="s">
        <v>24</v>
      </c>
      <c r="F55" s="1" t="s">
        <v>429</v>
      </c>
      <c r="G55" s="1" t="s">
        <v>430</v>
      </c>
      <c r="H55" s="1" t="s">
        <v>321</v>
      </c>
      <c r="I55" s="1">
        <v>2</v>
      </c>
      <c r="J55" s="1">
        <v>8</v>
      </c>
      <c r="K55" s="1" t="s">
        <v>490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472</v>
      </c>
      <c r="R55" s="1"/>
      <c r="S55" s="1"/>
      <c r="T55" s="1" t="s">
        <v>489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414</v>
      </c>
      <c r="AA55" s="1" t="b">
        <v>1</v>
      </c>
      <c r="AB55" s="1" t="s">
        <v>173</v>
      </c>
      <c r="AC55" s="1" t="s">
        <v>499</v>
      </c>
      <c r="AD55" s="1">
        <v>1</v>
      </c>
      <c r="AE55" s="1"/>
      <c r="AF55" s="1"/>
    </row>
    <row r="56" spans="1:32" x14ac:dyDescent="0.3">
      <c r="A56" s="104"/>
      <c r="B56" s="1" t="s">
        <v>81</v>
      </c>
      <c r="C56" s="1" t="str" cm="1">
        <f t="array" ref="C56">UPPER(INDEX(_xlfn.TEXTSPLIT($D56, "-"), 3))</f>
        <v>DIP</v>
      </c>
      <c r="D56" s="1" t="s">
        <v>473</v>
      </c>
      <c r="E56" s="1" t="s">
        <v>24</v>
      </c>
      <c r="F56" s="1" t="s">
        <v>533</v>
      </c>
      <c r="G56" s="1" t="s">
        <v>432</v>
      </c>
      <c r="H56" s="81" t="s">
        <v>321</v>
      </c>
      <c r="I56" s="1">
        <v>2</v>
      </c>
      <c r="J56" s="1">
        <v>8</v>
      </c>
      <c r="K56" s="1" t="s">
        <v>490</v>
      </c>
      <c r="L56" s="80" t="s">
        <v>305</v>
      </c>
      <c r="M56" s="1" t="s">
        <v>315</v>
      </c>
      <c r="N56" s="1" t="s">
        <v>512</v>
      </c>
      <c r="O56" s="1" t="str">
        <f t="shared" si="3"/>
        <v>d-dip-mqweb01-osdisk</v>
      </c>
      <c r="P56" s="1">
        <v>64</v>
      </c>
      <c r="Q56" s="1" t="s">
        <v>472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414</v>
      </c>
      <c r="AA56" s="1" t="b">
        <v>1</v>
      </c>
      <c r="AB56" s="1" t="s">
        <v>173</v>
      </c>
      <c r="AC56" s="1" t="s">
        <v>499</v>
      </c>
      <c r="AD56" s="1">
        <v>1</v>
      </c>
      <c r="AE56" s="1"/>
      <c r="AF56" s="1"/>
    </row>
    <row r="57" spans="1:32" x14ac:dyDescent="0.3">
      <c r="A57" s="104"/>
      <c r="B57" s="1" t="s">
        <v>81</v>
      </c>
      <c r="C57" s="1" t="str" cm="1">
        <f t="array" ref="C57">UPPER(INDEX(_xlfn.TEXTSPLIT($D57, "-"), 3))</f>
        <v>DIP</v>
      </c>
      <c r="D57" s="1" t="s">
        <v>473</v>
      </c>
      <c r="E57" s="1" t="s">
        <v>24</v>
      </c>
      <c r="F57" s="1" t="s">
        <v>534</v>
      </c>
      <c r="G57" s="1" t="s">
        <v>434</v>
      </c>
      <c r="H57" s="81" t="s">
        <v>321</v>
      </c>
      <c r="I57" s="1">
        <v>2</v>
      </c>
      <c r="J57" s="1">
        <v>8</v>
      </c>
      <c r="K57" s="1" t="s">
        <v>490</v>
      </c>
      <c r="L57" s="1" t="s">
        <v>305</v>
      </c>
      <c r="M57" s="1" t="s">
        <v>315</v>
      </c>
      <c r="N57" s="1" t="s">
        <v>512</v>
      </c>
      <c r="O57" s="1" t="str">
        <f t="shared" si="3"/>
        <v>d-dip-oms01-osdisk</v>
      </c>
      <c r="P57" s="1">
        <v>64</v>
      </c>
      <c r="Q57" s="1" t="s">
        <v>472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414</v>
      </c>
      <c r="AA57" s="1" t="b">
        <v>1</v>
      </c>
      <c r="AB57" s="1" t="s">
        <v>173</v>
      </c>
      <c r="AC57" s="1" t="s">
        <v>499</v>
      </c>
      <c r="AD57" s="1">
        <v>1</v>
      </c>
      <c r="AE57" s="1"/>
      <c r="AF57" s="1"/>
    </row>
    <row r="58" spans="1:32" x14ac:dyDescent="0.3">
      <c r="A58" s="104"/>
      <c r="B58" s="1" t="s">
        <v>81</v>
      </c>
      <c r="C58" s="1" t="str" cm="1">
        <f t="array" ref="C58">UPPER(INDEX(_xlfn.TEXTSPLIT($D58, "-"), 3))</f>
        <v>DIP</v>
      </c>
      <c r="D58" s="1" t="s">
        <v>473</v>
      </c>
      <c r="E58" s="1" t="s">
        <v>24</v>
      </c>
      <c r="F58" s="1" t="s">
        <v>535</v>
      </c>
      <c r="G58" s="1" t="s">
        <v>436</v>
      </c>
      <c r="H58" s="1" t="s">
        <v>321</v>
      </c>
      <c r="I58" s="1">
        <v>2</v>
      </c>
      <c r="J58" s="1">
        <v>8</v>
      </c>
      <c r="K58" s="1" t="s">
        <v>490</v>
      </c>
      <c r="L58" s="80" t="s">
        <v>305</v>
      </c>
      <c r="M58" s="1" t="s">
        <v>315</v>
      </c>
      <c r="N58" s="1" t="s">
        <v>512</v>
      </c>
      <c r="O58" s="1" t="str">
        <f t="shared" si="3"/>
        <v>d-dip-web01-osdisk</v>
      </c>
      <c r="P58" s="1">
        <v>64</v>
      </c>
      <c r="Q58" s="1" t="s">
        <v>472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414</v>
      </c>
      <c r="AA58" s="1" t="b">
        <v>1</v>
      </c>
      <c r="AB58" s="1" t="s">
        <v>173</v>
      </c>
      <c r="AC58" s="1" t="s">
        <v>499</v>
      </c>
      <c r="AD58" s="1">
        <v>1</v>
      </c>
      <c r="AE58" s="1"/>
      <c r="AF58" s="1"/>
    </row>
    <row r="59" spans="1:32" x14ac:dyDescent="0.3">
      <c r="A59" s="104"/>
      <c r="B59" s="1" t="s">
        <v>81</v>
      </c>
      <c r="C59" s="1" t="str" cm="1">
        <f t="array" ref="C59">UPPER(INDEX(_xlfn.TEXTSPLIT($D59, "-"), 3))</f>
        <v>COM</v>
      </c>
      <c r="D59" s="1" t="s">
        <v>437</v>
      </c>
      <c r="E59" s="1" t="s">
        <v>24</v>
      </c>
      <c r="F59" s="1" t="s">
        <v>536</v>
      </c>
      <c r="G59" s="1" t="s">
        <v>439</v>
      </c>
      <c r="H59" s="81" t="s">
        <v>321</v>
      </c>
      <c r="I59" s="1">
        <v>2</v>
      </c>
      <c r="J59" s="1">
        <v>8</v>
      </c>
      <c r="K59" s="1" t="s">
        <v>490</v>
      </c>
      <c r="L59" s="1" t="s">
        <v>305</v>
      </c>
      <c r="M59" s="1" t="s">
        <v>315</v>
      </c>
      <c r="N59" s="1" t="s">
        <v>512</v>
      </c>
      <c r="O59" s="1" t="str">
        <f t="shared" si="3"/>
        <v>d-com-auth01-osdisk</v>
      </c>
      <c r="P59" s="1">
        <v>64</v>
      </c>
      <c r="Q59" s="1" t="s">
        <v>472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440</v>
      </c>
      <c r="AA59" s="1" t="b">
        <v>1</v>
      </c>
      <c r="AB59" s="1" t="s">
        <v>173</v>
      </c>
      <c r="AC59" s="1" t="s">
        <v>499</v>
      </c>
      <c r="AD59" s="1">
        <v>1</v>
      </c>
      <c r="AE59" s="1"/>
      <c r="AF59" s="1"/>
    </row>
    <row r="60" spans="1:32" x14ac:dyDescent="0.3">
      <c r="A60" s="104"/>
      <c r="B60" s="1" t="s">
        <v>81</v>
      </c>
      <c r="C60" s="1" t="str" cm="1">
        <f t="array" ref="C60">UPPER(INDEX(_xlfn.TEXTSPLIT($D60, "-"), 3))</f>
        <v>COM</v>
      </c>
      <c r="D60" s="1" t="s">
        <v>437</v>
      </c>
      <c r="E60" s="1" t="s">
        <v>24</v>
      </c>
      <c r="F60" s="1" t="s">
        <v>537</v>
      </c>
      <c r="G60" s="1" t="s">
        <v>442</v>
      </c>
      <c r="H60" s="81" t="s">
        <v>321</v>
      </c>
      <c r="I60" s="1">
        <v>2</v>
      </c>
      <c r="J60" s="1">
        <v>8</v>
      </c>
      <c r="K60" s="1" t="s">
        <v>490</v>
      </c>
      <c r="L60" s="80" t="s">
        <v>305</v>
      </c>
      <c r="M60" s="1" t="s">
        <v>315</v>
      </c>
      <c r="N60" s="1" t="s">
        <v>512</v>
      </c>
      <c r="O60" s="1" t="str">
        <f t="shared" si="3"/>
        <v>d-com-proxy01-osdisk</v>
      </c>
      <c r="P60" s="1">
        <v>64</v>
      </c>
      <c r="Q60" s="1" t="s">
        <v>472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443</v>
      </c>
      <c r="AA60" s="1" t="b">
        <v>1</v>
      </c>
      <c r="AB60" s="1" t="s">
        <v>173</v>
      </c>
      <c r="AC60" s="1" t="s">
        <v>499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/>
      <c r="D61" s="1" t="s">
        <v>444</v>
      </c>
      <c r="E61" s="1" t="s">
        <v>24</v>
      </c>
      <c r="F61" s="1" t="s">
        <v>445</v>
      </c>
      <c r="G61" s="1" t="s">
        <v>446</v>
      </c>
      <c r="H61" s="1" t="s">
        <v>321</v>
      </c>
      <c r="I61" s="1">
        <v>2</v>
      </c>
      <c r="J61" s="1">
        <v>8</v>
      </c>
      <c r="K61" s="1" t="s">
        <v>490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472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447</v>
      </c>
      <c r="AA61" s="1" t="b">
        <v>1</v>
      </c>
      <c r="AB61" s="1" t="s">
        <v>173</v>
      </c>
      <c r="AC61" s="1" t="s">
        <v>499</v>
      </c>
      <c r="AD61" s="1">
        <v>1</v>
      </c>
      <c r="AE61" s="1"/>
      <c r="AF61" s="1"/>
    </row>
    <row r="62" spans="1:32" x14ac:dyDescent="0.3">
      <c r="A62" s="97" t="s">
        <v>508</v>
      </c>
      <c r="B62" s="1" t="s">
        <v>81</v>
      </c>
      <c r="C62" s="1"/>
      <c r="D62" s="1" t="s">
        <v>175</v>
      </c>
      <c r="E62" s="1" t="s">
        <v>24</v>
      </c>
      <c r="F62" s="1" t="s">
        <v>448</v>
      </c>
      <c r="G62" s="1" t="s">
        <v>449</v>
      </c>
      <c r="H62" s="81" t="s">
        <v>321</v>
      </c>
      <c r="I62" s="1">
        <v>2</v>
      </c>
      <c r="J62" s="1">
        <v>8</v>
      </c>
      <c r="K62" s="1" t="s">
        <v>490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472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450</v>
      </c>
      <c r="AA62" s="1" t="b">
        <v>1</v>
      </c>
      <c r="AB62" s="1" t="s">
        <v>173</v>
      </c>
      <c r="AC62" s="1" t="s">
        <v>499</v>
      </c>
      <c r="AD62" s="1">
        <v>1</v>
      </c>
      <c r="AE62" s="1"/>
      <c r="AF62" s="1"/>
    </row>
    <row r="63" spans="1:32" x14ac:dyDescent="0.3">
      <c r="A63" s="97" t="s">
        <v>508</v>
      </c>
      <c r="B63" s="1" t="s">
        <v>81</v>
      </c>
      <c r="C63" s="1"/>
      <c r="D63" s="1" t="s">
        <v>451</v>
      </c>
      <c r="E63" s="1" t="s">
        <v>24</v>
      </c>
      <c r="F63" s="1" t="s">
        <v>452</v>
      </c>
      <c r="G63" s="1" t="s">
        <v>453</v>
      </c>
      <c r="H63" s="81" t="s">
        <v>321</v>
      </c>
      <c r="I63" s="1">
        <v>2</v>
      </c>
      <c r="J63" s="1">
        <v>8</v>
      </c>
      <c r="K63" s="1" t="s">
        <v>490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472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454</v>
      </c>
      <c r="AA63" s="1" t="b">
        <v>1</v>
      </c>
      <c r="AB63" s="1" t="s">
        <v>173</v>
      </c>
      <c r="AC63" s="1" t="s">
        <v>499</v>
      </c>
      <c r="AD63" s="1">
        <v>1</v>
      </c>
      <c r="AE63" s="1"/>
      <c r="AF63" s="1"/>
    </row>
    <row r="64" spans="1:32" x14ac:dyDescent="0.3">
      <c r="A64" s="97" t="s">
        <v>508</v>
      </c>
      <c r="B64" s="1" t="s">
        <v>81</v>
      </c>
      <c r="C64" s="1"/>
      <c r="D64" s="1" t="s">
        <v>451</v>
      </c>
      <c r="E64" s="1" t="s">
        <v>24</v>
      </c>
      <c r="F64" s="1" t="s">
        <v>455</v>
      </c>
      <c r="G64" s="1" t="s">
        <v>456</v>
      </c>
      <c r="H64" s="1" t="s">
        <v>321</v>
      </c>
      <c r="I64" s="1">
        <v>2</v>
      </c>
      <c r="J64" s="1">
        <v>8</v>
      </c>
      <c r="K64" s="1" t="s">
        <v>490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472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450</v>
      </c>
      <c r="AA64" s="1" t="b">
        <v>1</v>
      </c>
      <c r="AB64" s="1" t="s">
        <v>173</v>
      </c>
      <c r="AC64" s="1" t="s">
        <v>499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/>
      <c r="D65" s="1" t="s">
        <v>457</v>
      </c>
      <c r="E65" s="1" t="s">
        <v>24</v>
      </c>
      <c r="F65" s="1" t="s">
        <v>458</v>
      </c>
      <c r="G65" s="1" t="s">
        <v>459</v>
      </c>
      <c r="H65" s="81" t="s">
        <v>321</v>
      </c>
      <c r="I65" s="1">
        <v>2</v>
      </c>
      <c r="J65" s="1">
        <v>8</v>
      </c>
      <c r="K65" s="1" t="s">
        <v>490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472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460</v>
      </c>
      <c r="AA65" s="1" t="b">
        <v>1</v>
      </c>
      <c r="AB65" s="1" t="s">
        <v>173</v>
      </c>
      <c r="AC65" s="1" t="s">
        <v>499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/>
      <c r="D66" s="1" t="s">
        <v>457</v>
      </c>
      <c r="E66" s="1" t="s">
        <v>24</v>
      </c>
      <c r="F66" s="1" t="s">
        <v>461</v>
      </c>
      <c r="G66" s="1" t="s">
        <v>462</v>
      </c>
      <c r="H66" s="81" t="s">
        <v>321</v>
      </c>
      <c r="I66" s="1">
        <v>2</v>
      </c>
      <c r="J66" s="1">
        <v>8</v>
      </c>
      <c r="K66" s="1" t="s">
        <v>490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472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460</v>
      </c>
      <c r="AA66" s="1" t="b">
        <v>1</v>
      </c>
      <c r="AB66" s="1" t="s">
        <v>173</v>
      </c>
      <c r="AC66" s="1" t="s">
        <v>499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/>
      <c r="D67" s="1" t="s">
        <v>457</v>
      </c>
      <c r="E67" s="1" t="s">
        <v>24</v>
      </c>
      <c r="F67" s="1" t="s">
        <v>463</v>
      </c>
      <c r="G67" s="1" t="s">
        <v>464</v>
      </c>
      <c r="H67" s="1" t="s">
        <v>321</v>
      </c>
      <c r="I67" s="1">
        <v>2</v>
      </c>
      <c r="J67" s="1">
        <v>8</v>
      </c>
      <c r="K67" s="1" t="s">
        <v>490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472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460</v>
      </c>
      <c r="AA67" s="1" t="b">
        <v>1</v>
      </c>
      <c r="AB67" s="1" t="s">
        <v>173</v>
      </c>
      <c r="AC67" s="1" t="s">
        <v>499</v>
      </c>
      <c r="AD67" s="1">
        <v>1</v>
      </c>
      <c r="AE67" s="1"/>
      <c r="AF67" s="1"/>
    </row>
    <row r="68" spans="1:32" x14ac:dyDescent="0.3">
      <c r="A68" s="104"/>
      <c r="B68" s="1" t="s">
        <v>81</v>
      </c>
      <c r="C68" s="1" t="str" cm="1">
        <f t="array" ref="C68">UPPER(INDEX(_xlfn.TEXTSPLIT($D68, "-"), 3))</f>
        <v>BDP</v>
      </c>
      <c r="D68" s="1" t="s">
        <v>403</v>
      </c>
      <c r="E68" s="1" t="s">
        <v>24</v>
      </c>
      <c r="F68" s="1" t="s">
        <v>538</v>
      </c>
      <c r="G68" s="1" t="s">
        <v>466</v>
      </c>
      <c r="H68" s="81" t="s">
        <v>321</v>
      </c>
      <c r="I68" s="1">
        <v>2</v>
      </c>
      <c r="J68" s="1">
        <v>8</v>
      </c>
      <c r="K68" s="1" t="s">
        <v>490</v>
      </c>
      <c r="L68" s="80" t="s">
        <v>305</v>
      </c>
      <c r="M68" s="1" t="s">
        <v>315</v>
      </c>
      <c r="N68" s="1" t="s">
        <v>512</v>
      </c>
      <c r="O68" s="1" t="str">
        <f t="shared" si="5"/>
        <v>d-bdp-crkweb01-osdisk</v>
      </c>
      <c r="P68" s="1">
        <v>64</v>
      </c>
      <c r="Q68" s="1" t="s">
        <v>472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467</v>
      </c>
      <c r="AA68" s="1" t="b">
        <v>1</v>
      </c>
      <c r="AB68" s="1" t="s">
        <v>173</v>
      </c>
      <c r="AC68" s="1" t="s">
        <v>499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/>
      <c r="D69" s="1" t="s">
        <v>403</v>
      </c>
      <c r="E69" s="1" t="s">
        <v>24</v>
      </c>
      <c r="F69" s="1" t="s">
        <v>468</v>
      </c>
      <c r="G69" s="1" t="s">
        <v>469</v>
      </c>
      <c r="H69" s="81" t="s">
        <v>321</v>
      </c>
      <c r="I69" s="1">
        <v>2</v>
      </c>
      <c r="J69" s="1">
        <v>8</v>
      </c>
      <c r="K69" s="1" t="s">
        <v>490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472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406</v>
      </c>
      <c r="AA69" s="1" t="b">
        <v>1</v>
      </c>
      <c r="AB69" s="1" t="s">
        <v>173</v>
      </c>
      <c r="AC69" s="1" t="s">
        <v>499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/>
      <c r="D70" s="1" t="s">
        <v>403</v>
      </c>
      <c r="E70" s="1" t="s">
        <v>24</v>
      </c>
      <c r="F70" s="1" t="s">
        <v>470</v>
      </c>
      <c r="G70" s="1" t="s">
        <v>471</v>
      </c>
      <c r="H70" s="1" t="s">
        <v>321</v>
      </c>
      <c r="I70" s="1">
        <v>2</v>
      </c>
      <c r="J70" s="1">
        <v>8</v>
      </c>
      <c r="K70" s="1" t="s">
        <v>490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472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406</v>
      </c>
      <c r="AA70" s="1" t="b">
        <v>1</v>
      </c>
      <c r="AB70" s="1" t="s">
        <v>173</v>
      </c>
      <c r="AC70" s="1" t="s">
        <v>499</v>
      </c>
      <c r="AD70" s="1">
        <v>1</v>
      </c>
      <c r="AE70" s="1"/>
      <c r="AF70" s="1"/>
    </row>
    <row r="71" spans="1:32" x14ac:dyDescent="0.3">
      <c r="A71" s="85"/>
      <c r="B71" s="1" t="s">
        <v>81</v>
      </c>
      <c r="C71" s="1"/>
      <c r="D71" s="1" t="s">
        <v>310</v>
      </c>
      <c r="E71" s="1" t="s">
        <v>24</v>
      </c>
      <c r="F71" s="1" t="s">
        <v>477</v>
      </c>
      <c r="G71" s="1" t="s">
        <v>478</v>
      </c>
      <c r="H71" s="81" t="s">
        <v>321</v>
      </c>
      <c r="I71" s="1">
        <v>2</v>
      </c>
      <c r="J71" s="1">
        <v>8</v>
      </c>
      <c r="K71" s="1" t="s">
        <v>490</v>
      </c>
      <c r="L71" s="1" t="s">
        <v>305</v>
      </c>
      <c r="M71" s="1" t="s">
        <v>307</v>
      </c>
      <c r="N71" s="1" t="s">
        <v>488</v>
      </c>
      <c r="O71" s="1" t="str">
        <f>SUBSTITUTE(F71,"hazr-","")&amp;"-osdisk"</f>
        <v>d-dis-dfir01-osdisk</v>
      </c>
      <c r="P71" s="1">
        <v>128</v>
      </c>
      <c r="Q71" s="1" t="s">
        <v>472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499</v>
      </c>
      <c r="AD71" s="1">
        <v>1</v>
      </c>
      <c r="AE71" s="1"/>
      <c r="AF71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1"/>
  <sheetViews>
    <sheetView tabSelected="1" workbookViewId="0"/>
  </sheetViews>
  <sheetFormatPr defaultRowHeight="16.5" x14ac:dyDescent="0.3"/>
  <cols>
    <col min="1" max="1" width="4.625" style="90" customWidth="1"/>
    <col min="2" max="2" width="5.75" style="90" bestFit="1" customWidth="1"/>
    <col min="3" max="3" width="9.375" style="90" bestFit="1" customWidth="1"/>
    <col min="4" max="4" width="17.625" style="90" bestFit="1" customWidth="1"/>
    <col min="5" max="5" width="17.625" style="90" customWidth="1"/>
    <col min="6" max="6" width="19.875" style="90" bestFit="1" customWidth="1"/>
    <col min="7" max="7" width="21.5" style="90" bestFit="1" customWidth="1"/>
    <col min="8" max="8" width="15" style="90" bestFit="1" customWidth="1"/>
    <col min="9" max="9" width="12.25" style="90" customWidth="1"/>
    <col min="10" max="10" width="21.5" style="90" bestFit="1" customWidth="1"/>
    <col min="11" max="11" width="15" style="90" bestFit="1" customWidth="1"/>
    <col min="12" max="17" width="14.125" style="90" customWidth="1"/>
  </cols>
  <sheetData>
    <row r="1" spans="1:18" x14ac:dyDescent="0.3">
      <c r="A1" s="91"/>
      <c r="B1" s="92" t="s">
        <v>0</v>
      </c>
      <c r="C1" s="92" t="s">
        <v>1</v>
      </c>
      <c r="D1" s="87" t="s">
        <v>2</v>
      </c>
      <c r="E1" s="87" t="s">
        <v>3</v>
      </c>
      <c r="F1" s="87" t="s">
        <v>491</v>
      </c>
      <c r="G1" s="87" t="s">
        <v>493</v>
      </c>
      <c r="H1" s="87" t="s">
        <v>495</v>
      </c>
      <c r="I1" s="87" t="s">
        <v>496</v>
      </c>
      <c r="J1" s="87" t="s">
        <v>494</v>
      </c>
      <c r="K1" s="87" t="s">
        <v>497</v>
      </c>
      <c r="L1" s="87" t="s">
        <v>498</v>
      </c>
      <c r="M1" s="87" t="s">
        <v>492</v>
      </c>
      <c r="N1" s="87" t="s">
        <v>501</v>
      </c>
      <c r="O1" s="87" t="s">
        <v>503</v>
      </c>
      <c r="P1" s="87" t="s">
        <v>172</v>
      </c>
      <c r="Q1" s="87" t="s">
        <v>500</v>
      </c>
      <c r="R1" s="55" t="s">
        <v>80</v>
      </c>
    </row>
    <row r="2" spans="1:18" x14ac:dyDescent="0.3">
      <c r="A2" s="93"/>
      <c r="B2" s="88" t="s">
        <v>81</v>
      </c>
      <c r="C2" s="88"/>
      <c r="D2" s="88" t="s">
        <v>176</v>
      </c>
      <c r="E2" s="94" t="s">
        <v>24</v>
      </c>
      <c r="F2" s="88" t="s">
        <v>311</v>
      </c>
      <c r="G2" s="88" t="str">
        <f>SUBSTITUTE($F2,"hazr-","")&amp;"-disk01"</f>
        <v>d-dis-ap01-disk01</v>
      </c>
      <c r="H2" s="88" t="s">
        <v>472</v>
      </c>
      <c r="I2" s="88">
        <v>64</v>
      </c>
      <c r="J2" s="88" t="str">
        <f>SUBSTITUTE($F2,"hazr-","")&amp;"-disk02"</f>
        <v>d-dis-ap01-disk02</v>
      </c>
      <c r="K2" s="88" t="s">
        <v>472</v>
      </c>
      <c r="L2" s="88">
        <v>64</v>
      </c>
      <c r="M2" s="88">
        <v>1</v>
      </c>
      <c r="N2" s="88" t="s">
        <v>502</v>
      </c>
      <c r="O2" s="88" t="s">
        <v>173</v>
      </c>
      <c r="P2" s="88" t="s">
        <v>499</v>
      </c>
      <c r="Q2" s="88" t="b">
        <v>1</v>
      </c>
      <c r="R2" s="86"/>
    </row>
    <row r="3" spans="1:18" x14ac:dyDescent="0.3">
      <c r="A3" s="102"/>
      <c r="B3" s="89" t="s">
        <v>81</v>
      </c>
      <c r="C3" s="89" t="str" cm="1">
        <f t="array" ref="C3">UPPER(INDEX(_xlfn.TEXTSPLIT($D3, "-"), 3))</f>
        <v>DIS</v>
      </c>
      <c r="D3" s="89" t="s">
        <v>310</v>
      </c>
      <c r="E3" s="96" t="s">
        <v>24</v>
      </c>
      <c r="F3" s="89" t="s">
        <v>317</v>
      </c>
      <c r="G3" s="89" t="str">
        <f t="shared" ref="G3:G66" si="0">SUBSTITUTE($F3,"hazr-","")&amp;"-disk01"</f>
        <v>d-dis-adm01-disk01</v>
      </c>
      <c r="H3" s="89" t="s">
        <v>472</v>
      </c>
      <c r="I3" s="89">
        <v>64</v>
      </c>
      <c r="J3" s="89" t="str">
        <f t="shared" ref="J3:J66" si="1">SUBSTITUTE($F3,"hazr-","")&amp;"-disk02"</f>
        <v>d-dis-adm01-disk02</v>
      </c>
      <c r="K3" s="89" t="s">
        <v>472</v>
      </c>
      <c r="L3" s="89">
        <v>64</v>
      </c>
      <c r="M3" s="89">
        <v>1</v>
      </c>
      <c r="N3" s="89" t="s">
        <v>502</v>
      </c>
      <c r="O3" s="89" t="s">
        <v>173</v>
      </c>
      <c r="P3" s="89" t="s">
        <v>499</v>
      </c>
      <c r="Q3" s="89" t="b">
        <v>1</v>
      </c>
      <c r="R3" s="56"/>
    </row>
    <row r="4" spans="1:18" x14ac:dyDescent="0.3">
      <c r="A4" s="103"/>
      <c r="B4" s="88" t="s">
        <v>81</v>
      </c>
      <c r="C4" s="88" t="str" cm="1">
        <f t="array" ref="C4">UPPER(INDEX(_xlfn.TEXTSPLIT($D4, "-"), 3))</f>
        <v>DIS</v>
      </c>
      <c r="D4" s="88" t="s">
        <v>310</v>
      </c>
      <c r="E4" s="94" t="s">
        <v>24</v>
      </c>
      <c r="F4" s="88" t="s">
        <v>319</v>
      </c>
      <c r="G4" s="88" t="str">
        <f t="shared" si="0"/>
        <v>d-dis-bbiweb01-disk01</v>
      </c>
      <c r="H4" s="88" t="s">
        <v>472</v>
      </c>
      <c r="I4" s="88">
        <v>64</v>
      </c>
      <c r="J4" s="88" t="str">
        <f t="shared" si="1"/>
        <v>d-dis-bbiweb01-disk02</v>
      </c>
      <c r="K4" s="88" t="s">
        <v>472</v>
      </c>
      <c r="L4" s="88">
        <v>64</v>
      </c>
      <c r="M4" s="88">
        <v>1</v>
      </c>
      <c r="N4" s="88" t="s">
        <v>502</v>
      </c>
      <c r="O4" s="88" t="s">
        <v>173</v>
      </c>
      <c r="P4" s="88" t="s">
        <v>499</v>
      </c>
      <c r="Q4" s="88" t="b">
        <v>1</v>
      </c>
      <c r="R4" s="86"/>
    </row>
    <row r="5" spans="1:18" x14ac:dyDescent="0.3">
      <c r="A5" s="95"/>
      <c r="B5" s="89" t="s">
        <v>81</v>
      </c>
      <c r="C5" s="89"/>
      <c r="D5" s="89" t="s">
        <v>310</v>
      </c>
      <c r="E5" s="96" t="s">
        <v>24</v>
      </c>
      <c r="F5" s="89" t="s">
        <v>325</v>
      </c>
      <c r="G5" s="89" t="str">
        <f t="shared" si="0"/>
        <v>d-dis-bbicltap01-disk01</v>
      </c>
      <c r="H5" s="89" t="s">
        <v>472</v>
      </c>
      <c r="I5" s="89">
        <v>64</v>
      </c>
      <c r="J5" s="89" t="str">
        <f t="shared" si="1"/>
        <v>d-dis-bbicltap01-disk02</v>
      </c>
      <c r="K5" s="89" t="s">
        <v>472</v>
      </c>
      <c r="L5" s="89">
        <v>64</v>
      </c>
      <c r="M5" s="89">
        <v>1</v>
      </c>
      <c r="N5" s="89" t="s">
        <v>502</v>
      </c>
      <c r="O5" s="89" t="s">
        <v>173</v>
      </c>
      <c r="P5" s="89" t="s">
        <v>499</v>
      </c>
      <c r="Q5" s="89" t="b">
        <v>1</v>
      </c>
      <c r="R5" s="56"/>
    </row>
    <row r="6" spans="1:18" x14ac:dyDescent="0.3">
      <c r="A6" s="93"/>
      <c r="B6" s="88" t="s">
        <v>81</v>
      </c>
      <c r="C6" s="88"/>
      <c r="D6" s="88" t="s">
        <v>310</v>
      </c>
      <c r="E6" s="94" t="s">
        <v>24</v>
      </c>
      <c r="F6" s="88" t="s">
        <v>327</v>
      </c>
      <c r="G6" s="88" t="str">
        <f t="shared" si="0"/>
        <v>d-dis-bbimsgap01-disk01</v>
      </c>
      <c r="H6" s="88" t="s">
        <v>472</v>
      </c>
      <c r="I6" s="88">
        <v>64</v>
      </c>
      <c r="J6" s="88" t="str">
        <f t="shared" si="1"/>
        <v>d-dis-bbimsgap01-disk02</v>
      </c>
      <c r="K6" s="88" t="s">
        <v>472</v>
      </c>
      <c r="L6" s="88">
        <v>64</v>
      </c>
      <c r="M6" s="88">
        <v>1</v>
      </c>
      <c r="N6" s="88" t="s">
        <v>502</v>
      </c>
      <c r="O6" s="88" t="s">
        <v>173</v>
      </c>
      <c r="P6" s="88" t="s">
        <v>499</v>
      </c>
      <c r="Q6" s="88" t="b">
        <v>1</v>
      </c>
      <c r="R6" s="86"/>
    </row>
    <row r="7" spans="1:18" x14ac:dyDescent="0.3">
      <c r="A7" s="95"/>
      <c r="B7" s="89" t="s">
        <v>81</v>
      </c>
      <c r="C7" s="89"/>
      <c r="D7" s="89" t="s">
        <v>310</v>
      </c>
      <c r="E7" s="96" t="s">
        <v>24</v>
      </c>
      <c r="F7" s="89" t="s">
        <v>329</v>
      </c>
      <c r="G7" s="89" t="str">
        <f t="shared" si="0"/>
        <v>d-dis-walkap01-disk01</v>
      </c>
      <c r="H7" s="89" t="s">
        <v>472</v>
      </c>
      <c r="I7" s="89">
        <v>64</v>
      </c>
      <c r="J7" s="89" t="str">
        <f t="shared" si="1"/>
        <v>d-dis-walkap01-disk02</v>
      </c>
      <c r="K7" s="89" t="s">
        <v>472</v>
      </c>
      <c r="L7" s="89">
        <v>64</v>
      </c>
      <c r="M7" s="89">
        <v>1</v>
      </c>
      <c r="N7" s="89" t="s">
        <v>502</v>
      </c>
      <c r="O7" s="89" t="s">
        <v>173</v>
      </c>
      <c r="P7" s="89" t="s">
        <v>499</v>
      </c>
      <c r="Q7" s="89" t="b">
        <v>1</v>
      </c>
      <c r="R7" s="56"/>
    </row>
    <row r="8" spans="1:18" x14ac:dyDescent="0.3">
      <c r="A8" s="93"/>
      <c r="B8" s="88" t="s">
        <v>81</v>
      </c>
      <c r="C8" s="88"/>
      <c r="D8" s="88" t="s">
        <v>310</v>
      </c>
      <c r="E8" s="94" t="s">
        <v>24</v>
      </c>
      <c r="F8" s="88" t="s">
        <v>331</v>
      </c>
      <c r="G8" s="88" t="str">
        <f t="shared" si="0"/>
        <v>d-dis-bat01-disk01</v>
      </c>
      <c r="H8" s="88" t="s">
        <v>472</v>
      </c>
      <c r="I8" s="88">
        <v>64</v>
      </c>
      <c r="J8" s="88" t="str">
        <f t="shared" si="1"/>
        <v>d-dis-bat01-disk02</v>
      </c>
      <c r="K8" s="88" t="s">
        <v>472</v>
      </c>
      <c r="L8" s="88">
        <v>64</v>
      </c>
      <c r="M8" s="88">
        <v>1</v>
      </c>
      <c r="N8" s="88" t="s">
        <v>502</v>
      </c>
      <c r="O8" s="88" t="s">
        <v>173</v>
      </c>
      <c r="P8" s="88" t="s">
        <v>499</v>
      </c>
      <c r="Q8" s="88" t="b">
        <v>1</v>
      </c>
      <c r="R8" s="86"/>
    </row>
    <row r="9" spans="1:18" x14ac:dyDescent="0.3">
      <c r="A9" s="98"/>
      <c r="B9" s="89" t="s">
        <v>81</v>
      </c>
      <c r="C9" s="89"/>
      <c r="D9" s="89" t="s">
        <v>310</v>
      </c>
      <c r="E9" s="96" t="s">
        <v>24</v>
      </c>
      <c r="F9" s="89" t="s">
        <v>333</v>
      </c>
      <c r="G9" s="89" t="str">
        <f t="shared" si="0"/>
        <v>d-dis-bat02-disk01</v>
      </c>
      <c r="H9" s="89" t="s">
        <v>472</v>
      </c>
      <c r="I9" s="89">
        <v>64</v>
      </c>
      <c r="J9" s="89" t="str">
        <f t="shared" si="1"/>
        <v>d-dis-bat02-disk02</v>
      </c>
      <c r="K9" s="89" t="s">
        <v>472</v>
      </c>
      <c r="L9" s="89">
        <v>64</v>
      </c>
      <c r="M9" s="89">
        <v>1</v>
      </c>
      <c r="N9" s="89" t="s">
        <v>502</v>
      </c>
      <c r="O9" s="89" t="s">
        <v>173</v>
      </c>
      <c r="P9" s="89" t="s">
        <v>499</v>
      </c>
      <c r="Q9" s="89" t="b">
        <v>1</v>
      </c>
      <c r="R9" s="56"/>
    </row>
    <row r="10" spans="1:18" x14ac:dyDescent="0.3">
      <c r="A10" s="102"/>
      <c r="B10" s="88" t="s">
        <v>81</v>
      </c>
      <c r="C10" s="88" t="str" cm="1">
        <f t="array" ref="C10">UPPER(INDEX(_xlfn.TEXTSPLIT($D10, "-"), 3))</f>
        <v>DIS</v>
      </c>
      <c r="D10" s="88" t="s">
        <v>310</v>
      </c>
      <c r="E10" s="94" t="s">
        <v>24</v>
      </c>
      <c r="F10" s="88" t="s">
        <v>335</v>
      </c>
      <c r="G10" s="88" t="str">
        <f t="shared" si="0"/>
        <v>d-dis-drvcltap01-disk01</v>
      </c>
      <c r="H10" s="88" t="s">
        <v>472</v>
      </c>
      <c r="I10" s="88">
        <v>64</v>
      </c>
      <c r="J10" s="88" t="str">
        <f t="shared" si="1"/>
        <v>d-dis-drvcltap01-disk02</v>
      </c>
      <c r="K10" s="88" t="s">
        <v>472</v>
      </c>
      <c r="L10" s="88">
        <v>64</v>
      </c>
      <c r="M10" s="88">
        <v>1</v>
      </c>
      <c r="N10" s="88" t="s">
        <v>502</v>
      </c>
      <c r="O10" s="88" t="s">
        <v>173</v>
      </c>
      <c r="P10" s="88" t="s">
        <v>499</v>
      </c>
      <c r="Q10" s="88" t="b">
        <v>1</v>
      </c>
      <c r="R10" s="86"/>
    </row>
    <row r="11" spans="1:18" x14ac:dyDescent="0.3">
      <c r="A11" s="93"/>
      <c r="B11" s="89" t="s">
        <v>81</v>
      </c>
      <c r="C11" s="89"/>
      <c r="D11" s="89" t="s">
        <v>310</v>
      </c>
      <c r="E11" s="96" t="s">
        <v>24</v>
      </c>
      <c r="F11" s="89" t="s">
        <v>337</v>
      </c>
      <c r="G11" s="89" t="str">
        <f t="shared" si="0"/>
        <v>d-dis-walkweb01-disk01</v>
      </c>
      <c r="H11" s="89" t="s">
        <v>472</v>
      </c>
      <c r="I11" s="89">
        <v>64</v>
      </c>
      <c r="J11" s="89" t="str">
        <f t="shared" si="1"/>
        <v>d-dis-walkweb01-disk02</v>
      </c>
      <c r="K11" s="89" t="s">
        <v>472</v>
      </c>
      <c r="L11" s="89">
        <v>64</v>
      </c>
      <c r="M11" s="89">
        <v>1</v>
      </c>
      <c r="N11" s="89" t="s">
        <v>502</v>
      </c>
      <c r="O11" s="89" t="s">
        <v>173</v>
      </c>
      <c r="P11" s="89" t="s">
        <v>499</v>
      </c>
      <c r="Q11" s="89" t="b">
        <v>1</v>
      </c>
      <c r="R11" s="56"/>
    </row>
    <row r="12" spans="1:18" x14ac:dyDescent="0.3">
      <c r="A12" s="95"/>
      <c r="B12" s="88" t="s">
        <v>81</v>
      </c>
      <c r="C12" s="88"/>
      <c r="D12" s="88" t="s">
        <v>310</v>
      </c>
      <c r="E12" s="94" t="s">
        <v>24</v>
      </c>
      <c r="F12" s="88" t="s">
        <v>339</v>
      </c>
      <c r="G12" s="88" t="str">
        <f t="shared" si="0"/>
        <v>d-dis-drvmsgap01-disk01</v>
      </c>
      <c r="H12" s="88" t="s">
        <v>472</v>
      </c>
      <c r="I12" s="88">
        <v>64</v>
      </c>
      <c r="J12" s="88" t="str">
        <f t="shared" si="1"/>
        <v>d-dis-drvmsgap01-disk02</v>
      </c>
      <c r="K12" s="88" t="s">
        <v>472</v>
      </c>
      <c r="L12" s="88">
        <v>64</v>
      </c>
      <c r="M12" s="88">
        <v>1</v>
      </c>
      <c r="N12" s="88" t="s">
        <v>502</v>
      </c>
      <c r="O12" s="88" t="s">
        <v>173</v>
      </c>
      <c r="P12" s="88" t="s">
        <v>499</v>
      </c>
      <c r="Q12" s="88" t="b">
        <v>1</v>
      </c>
      <c r="R12" s="86"/>
    </row>
    <row r="13" spans="1:18" x14ac:dyDescent="0.3">
      <c r="A13" s="103"/>
      <c r="B13" s="89" t="s">
        <v>81</v>
      </c>
      <c r="C13" s="89" t="str" cm="1">
        <f t="array" ref="C13">UPPER(INDEX(_xlfn.TEXTSPLIT($D13, "-"), 3))</f>
        <v>DIS</v>
      </c>
      <c r="D13" s="89" t="s">
        <v>310</v>
      </c>
      <c r="E13" s="96" t="s">
        <v>24</v>
      </c>
      <c r="F13" s="89" t="s">
        <v>341</v>
      </c>
      <c r="G13" s="89" t="str">
        <f t="shared" si="0"/>
        <v>d-dis-web01-disk01</v>
      </c>
      <c r="H13" s="89" t="s">
        <v>472</v>
      </c>
      <c r="I13" s="89">
        <v>64</v>
      </c>
      <c r="J13" s="89" t="str">
        <f t="shared" si="1"/>
        <v>d-dis-web01-disk02</v>
      </c>
      <c r="K13" s="89" t="s">
        <v>472</v>
      </c>
      <c r="L13" s="89">
        <v>64</v>
      </c>
      <c r="M13" s="89">
        <v>1</v>
      </c>
      <c r="N13" s="89" t="s">
        <v>502</v>
      </c>
      <c r="O13" s="89" t="s">
        <v>173</v>
      </c>
      <c r="P13" s="89" t="s">
        <v>499</v>
      </c>
      <c r="Q13" s="89" t="b">
        <v>1</v>
      </c>
      <c r="R13" s="56"/>
    </row>
    <row r="14" spans="1:18" x14ac:dyDescent="0.3">
      <c r="A14" s="102"/>
      <c r="B14" s="88" t="s">
        <v>81</v>
      </c>
      <c r="C14" s="88" t="str" cm="1">
        <f t="array" ref="C14">UPPER(INDEX(_xlfn.TEXTSPLIT($D14, "-"), 3))</f>
        <v>DIS</v>
      </c>
      <c r="D14" s="88" t="s">
        <v>310</v>
      </c>
      <c r="E14" s="94" t="s">
        <v>24</v>
      </c>
      <c r="F14" s="88" t="s">
        <v>343</v>
      </c>
      <c r="G14" s="88" t="str">
        <f t="shared" si="0"/>
        <v>d-dis-cmsadm01-disk01</v>
      </c>
      <c r="H14" s="88" t="s">
        <v>472</v>
      </c>
      <c r="I14" s="88">
        <v>64</v>
      </c>
      <c r="J14" s="88" t="str">
        <f t="shared" si="1"/>
        <v>d-dis-cmsadm01-disk02</v>
      </c>
      <c r="K14" s="88" t="s">
        <v>472</v>
      </c>
      <c r="L14" s="88">
        <v>64</v>
      </c>
      <c r="M14" s="88">
        <v>1</v>
      </c>
      <c r="N14" s="88" t="s">
        <v>502</v>
      </c>
      <c r="O14" s="88" t="s">
        <v>173</v>
      </c>
      <c r="P14" s="88" t="s">
        <v>499</v>
      </c>
      <c r="Q14" s="88" t="b">
        <v>1</v>
      </c>
      <c r="R14" s="86"/>
    </row>
    <row r="15" spans="1:18" x14ac:dyDescent="0.3">
      <c r="A15" s="93"/>
      <c r="B15" s="89" t="s">
        <v>81</v>
      </c>
      <c r="C15" s="89"/>
      <c r="D15" s="89" t="s">
        <v>310</v>
      </c>
      <c r="E15" s="96" t="s">
        <v>24</v>
      </c>
      <c r="F15" s="89" t="s">
        <v>345</v>
      </c>
      <c r="G15" s="89" t="str">
        <f t="shared" si="0"/>
        <v>d-dis-cmsap01-disk01</v>
      </c>
      <c r="H15" s="89" t="s">
        <v>472</v>
      </c>
      <c r="I15" s="89">
        <v>64</v>
      </c>
      <c r="J15" s="89" t="str">
        <f t="shared" si="1"/>
        <v>d-dis-cmsap01-disk02</v>
      </c>
      <c r="K15" s="89" t="s">
        <v>472</v>
      </c>
      <c r="L15" s="89">
        <v>64</v>
      </c>
      <c r="M15" s="89">
        <v>1</v>
      </c>
      <c r="N15" s="89" t="s">
        <v>502</v>
      </c>
      <c r="O15" s="89" t="s">
        <v>173</v>
      </c>
      <c r="P15" s="89" t="s">
        <v>499</v>
      </c>
      <c r="Q15" s="89" t="b">
        <v>1</v>
      </c>
      <c r="R15" s="56"/>
    </row>
    <row r="16" spans="1:18" x14ac:dyDescent="0.3">
      <c r="A16" s="102"/>
      <c r="B16" s="88" t="s">
        <v>81</v>
      </c>
      <c r="C16" s="88" t="str" cm="1">
        <f t="array" ref="C16">UPPER(INDEX(_xlfn.TEXTSPLIT($D16, "-"), 3))</f>
        <v>DIS</v>
      </c>
      <c r="D16" s="88" t="s">
        <v>310</v>
      </c>
      <c r="E16" s="94" t="s">
        <v>24</v>
      </c>
      <c r="F16" s="88" t="s">
        <v>347</v>
      </c>
      <c r="G16" s="88" t="str">
        <f t="shared" si="0"/>
        <v>d-dis-cmsweb01-disk01</v>
      </c>
      <c r="H16" s="88" t="s">
        <v>472</v>
      </c>
      <c r="I16" s="88">
        <v>64</v>
      </c>
      <c r="J16" s="88" t="str">
        <f t="shared" si="1"/>
        <v>d-dis-cmsweb01-disk02</v>
      </c>
      <c r="K16" s="88" t="s">
        <v>472</v>
      </c>
      <c r="L16" s="88">
        <v>64</v>
      </c>
      <c r="M16" s="88">
        <v>1</v>
      </c>
      <c r="N16" s="88" t="s">
        <v>502</v>
      </c>
      <c r="O16" s="88" t="s">
        <v>173</v>
      </c>
      <c r="P16" s="88" t="s">
        <v>499</v>
      </c>
      <c r="Q16" s="88" t="b">
        <v>1</v>
      </c>
      <c r="R16" s="86"/>
    </row>
    <row r="17" spans="1:18" x14ac:dyDescent="0.3">
      <c r="A17" s="93"/>
      <c r="B17" s="89" t="s">
        <v>81</v>
      </c>
      <c r="C17" s="89"/>
      <c r="D17" s="89" t="s">
        <v>310</v>
      </c>
      <c r="E17" s="96" t="s">
        <v>24</v>
      </c>
      <c r="F17" s="89" t="s">
        <v>349</v>
      </c>
      <c r="G17" s="89" t="str">
        <f t="shared" si="0"/>
        <v>d-dis-cmbsap01-disk01</v>
      </c>
      <c r="H17" s="89" t="s">
        <v>472</v>
      </c>
      <c r="I17" s="89">
        <v>64</v>
      </c>
      <c r="J17" s="89" t="str">
        <f t="shared" si="1"/>
        <v>d-dis-cmbsap01-disk02</v>
      </c>
      <c r="K17" s="89" t="s">
        <v>472</v>
      </c>
      <c r="L17" s="89">
        <v>64</v>
      </c>
      <c r="M17" s="89">
        <v>1</v>
      </c>
      <c r="N17" s="89" t="s">
        <v>502</v>
      </c>
      <c r="O17" s="89" t="s">
        <v>173</v>
      </c>
      <c r="P17" s="89" t="s">
        <v>499</v>
      </c>
      <c r="Q17" s="89" t="b">
        <v>1</v>
      </c>
      <c r="R17" s="56"/>
    </row>
    <row r="18" spans="1:18" x14ac:dyDescent="0.3">
      <c r="A18" s="93"/>
      <c r="B18" s="88" t="s">
        <v>81</v>
      </c>
      <c r="C18" s="88"/>
      <c r="D18" s="88" t="s">
        <v>351</v>
      </c>
      <c r="E18" s="94" t="s">
        <v>24</v>
      </c>
      <c r="F18" s="88" t="s">
        <v>352</v>
      </c>
      <c r="G18" s="88" t="str">
        <f t="shared" si="0"/>
        <v>d-dtg-ingap01-disk01</v>
      </c>
      <c r="H18" s="88" t="s">
        <v>472</v>
      </c>
      <c r="I18" s="88">
        <v>64</v>
      </c>
      <c r="J18" s="88" t="str">
        <f t="shared" si="1"/>
        <v>d-dtg-ingap01-disk02</v>
      </c>
      <c r="K18" s="88" t="s">
        <v>472</v>
      </c>
      <c r="L18" s="88">
        <v>64</v>
      </c>
      <c r="M18" s="88">
        <v>1</v>
      </c>
      <c r="N18" s="88" t="s">
        <v>502</v>
      </c>
      <c r="O18" s="88" t="s">
        <v>173</v>
      </c>
      <c r="P18" s="88" t="s">
        <v>499</v>
      </c>
      <c r="Q18" s="88" t="b">
        <v>1</v>
      </c>
      <c r="R18" s="86"/>
    </row>
    <row r="19" spans="1:18" x14ac:dyDescent="0.3">
      <c r="A19" s="95"/>
      <c r="B19" s="89" t="s">
        <v>81</v>
      </c>
      <c r="C19" s="89"/>
      <c r="D19" s="89" t="s">
        <v>351</v>
      </c>
      <c r="E19" s="96" t="s">
        <v>24</v>
      </c>
      <c r="F19" s="89" t="s">
        <v>355</v>
      </c>
      <c r="G19" s="89" t="str">
        <f t="shared" si="0"/>
        <v>d-dtg-ap01-disk01</v>
      </c>
      <c r="H19" s="89" t="s">
        <v>472</v>
      </c>
      <c r="I19" s="89">
        <v>64</v>
      </c>
      <c r="J19" s="89" t="str">
        <f t="shared" si="1"/>
        <v>d-dtg-ap01-disk02</v>
      </c>
      <c r="K19" s="89" t="s">
        <v>472</v>
      </c>
      <c r="L19" s="89">
        <v>64</v>
      </c>
      <c r="M19" s="89">
        <v>1</v>
      </c>
      <c r="N19" s="89" t="s">
        <v>502</v>
      </c>
      <c r="O19" s="89" t="s">
        <v>173</v>
      </c>
      <c r="P19" s="89" t="s">
        <v>499</v>
      </c>
      <c r="Q19" s="89" t="b">
        <v>1</v>
      </c>
      <c r="R19" s="56"/>
    </row>
    <row r="20" spans="1:18" x14ac:dyDescent="0.3">
      <c r="A20" s="93"/>
      <c r="B20" s="88" t="s">
        <v>81</v>
      </c>
      <c r="C20" s="88"/>
      <c r="D20" s="88" t="s">
        <v>351</v>
      </c>
      <c r="E20" s="94" t="s">
        <v>24</v>
      </c>
      <c r="F20" s="88" t="s">
        <v>357</v>
      </c>
      <c r="G20" s="88" t="str">
        <f t="shared" si="0"/>
        <v>d-dtg-extgeoap01-disk01</v>
      </c>
      <c r="H20" s="88" t="s">
        <v>472</v>
      </c>
      <c r="I20" s="88">
        <v>64</v>
      </c>
      <c r="J20" s="88" t="str">
        <f t="shared" si="1"/>
        <v>d-dtg-extgeoap01-disk02</v>
      </c>
      <c r="K20" s="88" t="s">
        <v>472</v>
      </c>
      <c r="L20" s="88">
        <v>64</v>
      </c>
      <c r="M20" s="88">
        <v>1</v>
      </c>
      <c r="N20" s="88" t="s">
        <v>502</v>
      </c>
      <c r="O20" s="88" t="s">
        <v>173</v>
      </c>
      <c r="P20" s="88" t="s">
        <v>499</v>
      </c>
      <c r="Q20" s="88" t="b">
        <v>1</v>
      </c>
      <c r="R20" s="86"/>
    </row>
    <row r="21" spans="1:18" x14ac:dyDescent="0.3">
      <c r="A21" s="95"/>
      <c r="B21" s="89" t="s">
        <v>81</v>
      </c>
      <c r="C21" s="89"/>
      <c r="D21" s="89" t="s">
        <v>351</v>
      </c>
      <c r="E21" s="96" t="s">
        <v>24</v>
      </c>
      <c r="F21" s="89" t="s">
        <v>359</v>
      </c>
      <c r="G21" s="89" t="str">
        <f t="shared" si="0"/>
        <v>d-dtg-geoap01-disk01</v>
      </c>
      <c r="H21" s="89" t="s">
        <v>472</v>
      </c>
      <c r="I21" s="89">
        <v>64</v>
      </c>
      <c r="J21" s="89" t="str">
        <f t="shared" si="1"/>
        <v>d-dtg-geoap01-disk02</v>
      </c>
      <c r="K21" s="89" t="s">
        <v>472</v>
      </c>
      <c r="L21" s="89">
        <v>64</v>
      </c>
      <c r="M21" s="89">
        <v>1</v>
      </c>
      <c r="N21" s="89" t="s">
        <v>502</v>
      </c>
      <c r="O21" s="89" t="s">
        <v>173</v>
      </c>
      <c r="P21" s="89" t="s">
        <v>499</v>
      </c>
      <c r="Q21" s="89" t="b">
        <v>1</v>
      </c>
      <c r="R21" s="56"/>
    </row>
    <row r="22" spans="1:18" x14ac:dyDescent="0.3">
      <c r="A22" s="93"/>
      <c r="B22" s="88" t="s">
        <v>81</v>
      </c>
      <c r="C22" s="88"/>
      <c r="D22" s="88" t="s">
        <v>351</v>
      </c>
      <c r="E22" s="94" t="s">
        <v>24</v>
      </c>
      <c r="F22" s="88" t="s">
        <v>361</v>
      </c>
      <c r="G22" s="88" t="str">
        <f t="shared" si="0"/>
        <v>d-dtg-mq01-disk01</v>
      </c>
      <c r="H22" s="88" t="s">
        <v>472</v>
      </c>
      <c r="I22" s="88">
        <v>64</v>
      </c>
      <c r="J22" s="88" t="str">
        <f t="shared" si="1"/>
        <v>d-dtg-mq01-disk02</v>
      </c>
      <c r="K22" s="88" t="s">
        <v>472</v>
      </c>
      <c r="L22" s="88">
        <v>64</v>
      </c>
      <c r="M22" s="88">
        <v>1</v>
      </c>
      <c r="N22" s="88" t="s">
        <v>502</v>
      </c>
      <c r="O22" s="88" t="s">
        <v>173</v>
      </c>
      <c r="P22" s="88" t="s">
        <v>499</v>
      </c>
      <c r="Q22" s="88" t="b">
        <v>1</v>
      </c>
      <c r="R22" s="86"/>
    </row>
    <row r="23" spans="1:18" x14ac:dyDescent="0.3">
      <c r="A23" s="102"/>
      <c r="B23" s="89" t="s">
        <v>81</v>
      </c>
      <c r="C23" s="89" t="str" cm="1">
        <f t="array" ref="C23">UPPER(INDEX(_xlfn.TEXTSPLIT($D23, "-"), 3))</f>
        <v>DTG</v>
      </c>
      <c r="D23" s="89" t="s">
        <v>351</v>
      </c>
      <c r="E23" s="96" t="s">
        <v>24</v>
      </c>
      <c r="F23" s="89" t="s">
        <v>364</v>
      </c>
      <c r="G23" s="89" t="str">
        <f t="shared" si="0"/>
        <v>d-dtg-admweb01-disk01</v>
      </c>
      <c r="H23" s="89" t="s">
        <v>472</v>
      </c>
      <c r="I23" s="89">
        <v>64</v>
      </c>
      <c r="J23" s="89" t="str">
        <f t="shared" si="1"/>
        <v>d-dtg-admweb01-disk02</v>
      </c>
      <c r="K23" s="89" t="s">
        <v>472</v>
      </c>
      <c r="L23" s="89">
        <v>64</v>
      </c>
      <c r="M23" s="89">
        <v>1</v>
      </c>
      <c r="N23" s="89" t="s">
        <v>502</v>
      </c>
      <c r="O23" s="89" t="s">
        <v>173</v>
      </c>
      <c r="P23" s="89" t="s">
        <v>499</v>
      </c>
      <c r="Q23" s="89" t="b">
        <v>1</v>
      </c>
      <c r="R23" s="56"/>
    </row>
    <row r="24" spans="1:18" x14ac:dyDescent="0.3">
      <c r="A24" s="103"/>
      <c r="B24" s="88" t="s">
        <v>81</v>
      </c>
      <c r="C24" s="88" t="str" cm="1">
        <f t="array" ref="C24">UPPER(INDEX(_xlfn.TEXTSPLIT($D24, "-"), 3))</f>
        <v>DTG</v>
      </c>
      <c r="D24" s="88" t="s">
        <v>351</v>
      </c>
      <c r="E24" s="94" t="s">
        <v>24</v>
      </c>
      <c r="F24" s="88" t="s">
        <v>366</v>
      </c>
      <c r="G24" s="88" t="str">
        <f t="shared" si="0"/>
        <v>d-dtg-admap01-disk01</v>
      </c>
      <c r="H24" s="88" t="s">
        <v>472</v>
      </c>
      <c r="I24" s="88">
        <v>64</v>
      </c>
      <c r="J24" s="88" t="str">
        <f t="shared" si="1"/>
        <v>d-dtg-admap01-disk02</v>
      </c>
      <c r="K24" s="88" t="s">
        <v>472</v>
      </c>
      <c r="L24" s="88">
        <v>64</v>
      </c>
      <c r="M24" s="88">
        <v>1</v>
      </c>
      <c r="N24" s="88" t="s">
        <v>502</v>
      </c>
      <c r="O24" s="88" t="s">
        <v>173</v>
      </c>
      <c r="P24" s="88" t="s">
        <v>499</v>
      </c>
      <c r="Q24" s="88" t="b">
        <v>1</v>
      </c>
      <c r="R24" s="86"/>
    </row>
    <row r="25" spans="1:18" x14ac:dyDescent="0.3">
      <c r="A25" s="95"/>
      <c r="B25" s="89" t="s">
        <v>81</v>
      </c>
      <c r="C25" s="89"/>
      <c r="D25" s="89" t="s">
        <v>351</v>
      </c>
      <c r="E25" s="96" t="s">
        <v>24</v>
      </c>
      <c r="F25" s="89" t="s">
        <v>368</v>
      </c>
      <c r="G25" s="89" t="str">
        <f t="shared" si="0"/>
        <v>d-dtg-dtoms01-disk01</v>
      </c>
      <c r="H25" s="89" t="s">
        <v>472</v>
      </c>
      <c r="I25" s="89">
        <v>64</v>
      </c>
      <c r="J25" s="89" t="str">
        <f t="shared" si="1"/>
        <v>d-dtg-dtoms01-disk02</v>
      </c>
      <c r="K25" s="89" t="s">
        <v>472</v>
      </c>
      <c r="L25" s="89">
        <v>64</v>
      </c>
      <c r="M25" s="89">
        <v>1</v>
      </c>
      <c r="N25" s="89" t="s">
        <v>502</v>
      </c>
      <c r="O25" s="89" t="s">
        <v>173</v>
      </c>
      <c r="P25" s="89" t="s">
        <v>499</v>
      </c>
      <c r="Q25" s="89" t="b">
        <v>1</v>
      </c>
      <c r="R25" s="56"/>
    </row>
    <row r="26" spans="1:18" x14ac:dyDescent="0.3">
      <c r="A26" s="93"/>
      <c r="B26" s="88" t="s">
        <v>81</v>
      </c>
      <c r="C26" s="88"/>
      <c r="D26" s="88" t="s">
        <v>351</v>
      </c>
      <c r="E26" s="94" t="s">
        <v>24</v>
      </c>
      <c r="F26" s="88" t="s">
        <v>370</v>
      </c>
      <c r="G26" s="88" t="str">
        <f t="shared" si="0"/>
        <v>d-dtg-tsdb01-disk01</v>
      </c>
      <c r="H26" s="88" t="s">
        <v>472</v>
      </c>
      <c r="I26" s="88">
        <v>256</v>
      </c>
      <c r="J26" s="88" t="str">
        <f t="shared" si="1"/>
        <v>d-dtg-tsdb01-disk02</v>
      </c>
      <c r="K26" s="88" t="s">
        <v>472</v>
      </c>
      <c r="L26" s="88">
        <v>256</v>
      </c>
      <c r="M26" s="88">
        <v>1</v>
      </c>
      <c r="N26" s="88" t="s">
        <v>502</v>
      </c>
      <c r="O26" s="88" t="s">
        <v>173</v>
      </c>
      <c r="P26" s="88" t="s">
        <v>499</v>
      </c>
      <c r="Q26" s="88" t="b">
        <v>1</v>
      </c>
      <c r="R26" s="86"/>
    </row>
    <row r="27" spans="1:18" x14ac:dyDescent="0.3">
      <c r="A27" s="103"/>
      <c r="B27" s="89" t="s">
        <v>81</v>
      </c>
      <c r="C27" s="89" t="str" cm="1">
        <f t="array" ref="C27">UPPER(INDEX(_xlfn.TEXTSPLIT($D27, "-"), 3))</f>
        <v>DTG</v>
      </c>
      <c r="D27" s="89" t="s">
        <v>351</v>
      </c>
      <c r="E27" s="96" t="s">
        <v>24</v>
      </c>
      <c r="F27" s="89" t="s">
        <v>374</v>
      </c>
      <c r="G27" s="89" t="str">
        <f t="shared" si="0"/>
        <v>d-dtg-web01-disk01</v>
      </c>
      <c r="H27" s="89" t="s">
        <v>472</v>
      </c>
      <c r="I27" s="89">
        <v>64</v>
      </c>
      <c r="J27" s="89" t="str">
        <f t="shared" si="1"/>
        <v>d-dtg-web01-disk02</v>
      </c>
      <c r="K27" s="89" t="s">
        <v>472</v>
      </c>
      <c r="L27" s="89">
        <v>64</v>
      </c>
      <c r="M27" s="89">
        <v>1</v>
      </c>
      <c r="N27" s="89" t="s">
        <v>502</v>
      </c>
      <c r="O27" s="89" t="s">
        <v>173</v>
      </c>
      <c r="P27" s="89" t="s">
        <v>499</v>
      </c>
      <c r="Q27" s="89" t="b">
        <v>1</v>
      </c>
      <c r="R27" s="56"/>
    </row>
    <row r="28" spans="1:18" x14ac:dyDescent="0.3">
      <c r="A28" s="95"/>
      <c r="B28" s="88" t="s">
        <v>81</v>
      </c>
      <c r="C28" s="88"/>
      <c r="D28" s="88" t="s">
        <v>351</v>
      </c>
      <c r="E28" s="94" t="s">
        <v>24</v>
      </c>
      <c r="F28" s="88" t="s">
        <v>376</v>
      </c>
      <c r="G28" s="88" t="str">
        <f t="shared" si="0"/>
        <v>d-dtg-zkp01-disk01</v>
      </c>
      <c r="H28" s="88" t="s">
        <v>472</v>
      </c>
      <c r="I28" s="88">
        <v>64</v>
      </c>
      <c r="J28" s="88" t="str">
        <f t="shared" si="1"/>
        <v>d-dtg-zkp01-disk02</v>
      </c>
      <c r="K28" s="88" t="s">
        <v>472</v>
      </c>
      <c r="L28" s="88">
        <v>64</v>
      </c>
      <c r="M28" s="88">
        <v>1</v>
      </c>
      <c r="N28" s="88" t="s">
        <v>502</v>
      </c>
      <c r="O28" s="88" t="s">
        <v>173</v>
      </c>
      <c r="P28" s="88" t="s">
        <v>499</v>
      </c>
      <c r="Q28" s="88" t="b">
        <v>1</v>
      </c>
      <c r="R28" s="86"/>
    </row>
    <row r="29" spans="1:18" x14ac:dyDescent="0.3">
      <c r="A29" s="93"/>
      <c r="B29" s="89" t="s">
        <v>81</v>
      </c>
      <c r="C29" s="89"/>
      <c r="D29" s="89" t="s">
        <v>351</v>
      </c>
      <c r="E29" s="96" t="s">
        <v>24</v>
      </c>
      <c r="F29" s="89" t="s">
        <v>378</v>
      </c>
      <c r="G29" s="89" t="str">
        <f t="shared" si="0"/>
        <v>d-dtg-zkp02-disk01</v>
      </c>
      <c r="H29" s="89" t="s">
        <v>472</v>
      </c>
      <c r="I29" s="89">
        <v>64</v>
      </c>
      <c r="J29" s="89" t="str">
        <f t="shared" si="1"/>
        <v>d-dtg-zkp02-disk02</v>
      </c>
      <c r="K29" s="89" t="s">
        <v>472</v>
      </c>
      <c r="L29" s="89">
        <v>64</v>
      </c>
      <c r="M29" s="89">
        <v>1</v>
      </c>
      <c r="N29" s="89" t="s">
        <v>502</v>
      </c>
      <c r="O29" s="89" t="s">
        <v>173</v>
      </c>
      <c r="P29" s="89" t="s">
        <v>499</v>
      </c>
      <c r="Q29" s="89" t="b">
        <v>1</v>
      </c>
      <c r="R29" s="56"/>
    </row>
    <row r="30" spans="1:18" x14ac:dyDescent="0.3">
      <c r="A30" s="95"/>
      <c r="B30" s="88" t="s">
        <v>81</v>
      </c>
      <c r="C30" s="88"/>
      <c r="D30" s="88" t="s">
        <v>351</v>
      </c>
      <c r="E30" s="94" t="s">
        <v>24</v>
      </c>
      <c r="F30" s="88" t="s">
        <v>380</v>
      </c>
      <c r="G30" s="88" t="str">
        <f t="shared" si="0"/>
        <v>d-dtg-zkp03-disk01</v>
      </c>
      <c r="H30" s="88" t="s">
        <v>472</v>
      </c>
      <c r="I30" s="88">
        <v>64</v>
      </c>
      <c r="J30" s="88" t="str">
        <f t="shared" si="1"/>
        <v>d-dtg-zkp03-disk02</v>
      </c>
      <c r="K30" s="88" t="s">
        <v>472</v>
      </c>
      <c r="L30" s="88">
        <v>64</v>
      </c>
      <c r="M30" s="88">
        <v>1</v>
      </c>
      <c r="N30" s="88" t="s">
        <v>502</v>
      </c>
      <c r="O30" s="88" t="s">
        <v>173</v>
      </c>
      <c r="P30" s="88" t="s">
        <v>499</v>
      </c>
      <c r="Q30" s="88" t="b">
        <v>1</v>
      </c>
      <c r="R30" s="86"/>
    </row>
    <row r="31" spans="1:18" x14ac:dyDescent="0.3">
      <c r="A31" s="93"/>
      <c r="B31" s="89" t="s">
        <v>81</v>
      </c>
      <c r="C31" s="89"/>
      <c r="D31" s="89" t="s">
        <v>351</v>
      </c>
      <c r="E31" s="96" t="s">
        <v>24</v>
      </c>
      <c r="F31" s="89" t="s">
        <v>382</v>
      </c>
      <c r="G31" s="89" t="str">
        <f t="shared" si="0"/>
        <v>d-dtg-kfk01-disk01</v>
      </c>
      <c r="H31" s="89" t="s">
        <v>472</v>
      </c>
      <c r="I31" s="89">
        <v>64</v>
      </c>
      <c r="J31" s="89" t="str">
        <f t="shared" si="1"/>
        <v>d-dtg-kfk01-disk02</v>
      </c>
      <c r="K31" s="89" t="s">
        <v>472</v>
      </c>
      <c r="L31" s="89">
        <v>64</v>
      </c>
      <c r="M31" s="89">
        <v>1</v>
      </c>
      <c r="N31" s="89" t="s">
        <v>502</v>
      </c>
      <c r="O31" s="89" t="s">
        <v>173</v>
      </c>
      <c r="P31" s="89" t="s">
        <v>499</v>
      </c>
      <c r="Q31" s="89" t="b">
        <v>1</v>
      </c>
      <c r="R31" s="56"/>
    </row>
    <row r="32" spans="1:18" x14ac:dyDescent="0.3">
      <c r="A32" s="95"/>
      <c r="B32" s="88" t="s">
        <v>81</v>
      </c>
      <c r="C32" s="88"/>
      <c r="D32" s="88" t="s">
        <v>351</v>
      </c>
      <c r="E32" s="94" t="s">
        <v>24</v>
      </c>
      <c r="F32" s="88" t="s">
        <v>384</v>
      </c>
      <c r="G32" s="88" t="str">
        <f t="shared" si="0"/>
        <v>d-dtg-kfk02-disk01</v>
      </c>
      <c r="H32" s="88" t="s">
        <v>472</v>
      </c>
      <c r="I32" s="88">
        <v>64</v>
      </c>
      <c r="J32" s="88" t="str">
        <f t="shared" si="1"/>
        <v>d-dtg-kfk02-disk02</v>
      </c>
      <c r="K32" s="88" t="s">
        <v>472</v>
      </c>
      <c r="L32" s="88">
        <v>64</v>
      </c>
      <c r="M32" s="88">
        <v>1</v>
      </c>
      <c r="N32" s="88" t="s">
        <v>502</v>
      </c>
      <c r="O32" s="88" t="s">
        <v>173</v>
      </c>
      <c r="P32" s="88" t="s">
        <v>499</v>
      </c>
      <c r="Q32" s="88" t="b">
        <v>1</v>
      </c>
      <c r="R32" s="86"/>
    </row>
    <row r="33" spans="1:18" x14ac:dyDescent="0.3">
      <c r="A33" s="93"/>
      <c r="B33" s="89" t="s">
        <v>81</v>
      </c>
      <c r="C33" s="89"/>
      <c r="D33" s="89" t="s">
        <v>351</v>
      </c>
      <c r="E33" s="96" t="s">
        <v>24</v>
      </c>
      <c r="F33" s="89" t="s">
        <v>386</v>
      </c>
      <c r="G33" s="89" t="str">
        <f t="shared" si="0"/>
        <v>d-dtg-kfk03-disk01</v>
      </c>
      <c r="H33" s="89" t="s">
        <v>472</v>
      </c>
      <c r="I33" s="89">
        <v>64</v>
      </c>
      <c r="J33" s="89" t="str">
        <f t="shared" si="1"/>
        <v>d-dtg-kfk03-disk02</v>
      </c>
      <c r="K33" s="89" t="s">
        <v>472</v>
      </c>
      <c r="L33" s="89">
        <v>64</v>
      </c>
      <c r="M33" s="89">
        <v>1</v>
      </c>
      <c r="N33" s="89" t="s">
        <v>502</v>
      </c>
      <c r="O33" s="89" t="s">
        <v>173</v>
      </c>
      <c r="P33" s="89" t="s">
        <v>499</v>
      </c>
      <c r="Q33" s="89" t="b">
        <v>1</v>
      </c>
      <c r="R33" s="56"/>
    </row>
    <row r="34" spans="1:18" x14ac:dyDescent="0.3">
      <c r="A34" s="102"/>
      <c r="B34" s="88" t="s">
        <v>81</v>
      </c>
      <c r="C34" s="88" t="str" cm="1">
        <f t="array" ref="C34">UPPER(INDEX(_xlfn.TEXTSPLIT($D34, "-"), 3))</f>
        <v>DTG</v>
      </c>
      <c r="D34" s="88" t="s">
        <v>351</v>
      </c>
      <c r="E34" s="94" t="s">
        <v>24</v>
      </c>
      <c r="F34" s="88" t="s">
        <v>388</v>
      </c>
      <c r="G34" s="88" t="str">
        <f t="shared" si="0"/>
        <v>d-dtg-mdoms01-disk01</v>
      </c>
      <c r="H34" s="88" t="s">
        <v>472</v>
      </c>
      <c r="I34" s="88">
        <v>64</v>
      </c>
      <c r="J34" s="88" t="str">
        <f t="shared" si="1"/>
        <v>d-dtg-mdoms01-disk02</v>
      </c>
      <c r="K34" s="88" t="s">
        <v>472</v>
      </c>
      <c r="L34" s="88">
        <v>64</v>
      </c>
      <c r="M34" s="88">
        <v>1</v>
      </c>
      <c r="N34" s="88" t="s">
        <v>502</v>
      </c>
      <c r="O34" s="88" t="s">
        <v>173</v>
      </c>
      <c r="P34" s="88" t="s">
        <v>499</v>
      </c>
      <c r="Q34" s="88" t="b">
        <v>1</v>
      </c>
      <c r="R34" s="86"/>
    </row>
    <row r="35" spans="1:18" x14ac:dyDescent="0.3">
      <c r="A35" s="93"/>
      <c r="B35" s="89" t="s">
        <v>81</v>
      </c>
      <c r="C35" s="89"/>
      <c r="D35" s="89" t="s">
        <v>351</v>
      </c>
      <c r="E35" s="96" t="s">
        <v>24</v>
      </c>
      <c r="F35" s="89" t="s">
        <v>390</v>
      </c>
      <c r="G35" s="89" t="str">
        <f t="shared" si="0"/>
        <v>d-dtg-cdmlap01-disk01</v>
      </c>
      <c r="H35" s="89" t="s">
        <v>472</v>
      </c>
      <c r="I35" s="89">
        <v>64</v>
      </c>
      <c r="J35" s="89" t="str">
        <f t="shared" si="1"/>
        <v>d-dtg-cdmlap01-disk02</v>
      </c>
      <c r="K35" s="89" t="s">
        <v>472</v>
      </c>
      <c r="L35" s="89">
        <v>64</v>
      </c>
      <c r="M35" s="89">
        <v>1</v>
      </c>
      <c r="N35" s="89" t="s">
        <v>502</v>
      </c>
      <c r="O35" s="89" t="s">
        <v>173</v>
      </c>
      <c r="P35" s="89" t="s">
        <v>499</v>
      </c>
      <c r="Q35" s="89" t="b">
        <v>1</v>
      </c>
      <c r="R35" s="56"/>
    </row>
    <row r="36" spans="1:18" x14ac:dyDescent="0.3">
      <c r="A36" s="93"/>
      <c r="B36" s="88" t="s">
        <v>81</v>
      </c>
      <c r="C36" s="88"/>
      <c r="D36" s="88" t="s">
        <v>351</v>
      </c>
      <c r="E36" s="94" t="s">
        <v>24</v>
      </c>
      <c r="F36" s="88" t="s">
        <v>392</v>
      </c>
      <c r="G36" s="88" t="str">
        <f t="shared" si="0"/>
        <v>d-dtg-cdstap01-disk01</v>
      </c>
      <c r="H36" s="88" t="s">
        <v>472</v>
      </c>
      <c r="I36" s="88">
        <v>64</v>
      </c>
      <c r="J36" s="88" t="str">
        <f t="shared" si="1"/>
        <v>d-dtg-cdstap01-disk02</v>
      </c>
      <c r="K36" s="88" t="s">
        <v>472</v>
      </c>
      <c r="L36" s="88">
        <v>64</v>
      </c>
      <c r="M36" s="88">
        <v>1</v>
      </c>
      <c r="N36" s="88" t="s">
        <v>502</v>
      </c>
      <c r="O36" s="88" t="s">
        <v>173</v>
      </c>
      <c r="P36" s="88" t="s">
        <v>499</v>
      </c>
      <c r="Q36" s="88" t="b">
        <v>1</v>
      </c>
      <c r="R36" s="86"/>
    </row>
    <row r="37" spans="1:18" x14ac:dyDescent="0.3">
      <c r="A37" s="102"/>
      <c r="B37" s="89" t="s">
        <v>81</v>
      </c>
      <c r="C37" s="89" t="str" cm="1">
        <f t="array" ref="C37">UPPER(INDEX(_xlfn.TEXTSPLIT($D37, "-"), 3))</f>
        <v>DTG</v>
      </c>
      <c r="D37" s="89" t="s">
        <v>351</v>
      </c>
      <c r="E37" s="96" t="s">
        <v>24</v>
      </c>
      <c r="F37" s="89" t="s">
        <v>510</v>
      </c>
      <c r="G37" s="89" t="str">
        <f t="shared" si="0"/>
        <v>d-dtg-cdsvadm01-disk01</v>
      </c>
      <c r="H37" s="89" t="s">
        <v>472</v>
      </c>
      <c r="I37" s="89">
        <v>64</v>
      </c>
      <c r="J37" s="89" t="str">
        <f t="shared" si="1"/>
        <v>d-dtg-cdsvadm01-disk02</v>
      </c>
      <c r="K37" s="89" t="s">
        <v>472</v>
      </c>
      <c r="L37" s="89">
        <v>64</v>
      </c>
      <c r="M37" s="89">
        <v>1</v>
      </c>
      <c r="N37" s="89" t="s">
        <v>502</v>
      </c>
      <c r="O37" s="89" t="s">
        <v>173</v>
      </c>
      <c r="P37" s="89" t="s">
        <v>499</v>
      </c>
      <c r="Q37" s="89" t="b">
        <v>1</v>
      </c>
      <c r="R37" s="56"/>
    </row>
    <row r="38" spans="1:18" x14ac:dyDescent="0.3">
      <c r="A38" s="93"/>
      <c r="B38" s="88" t="s">
        <v>81</v>
      </c>
      <c r="C38" s="88"/>
      <c r="D38" s="88" t="s">
        <v>351</v>
      </c>
      <c r="E38" s="94" t="s">
        <v>24</v>
      </c>
      <c r="F38" s="88" t="s">
        <v>395</v>
      </c>
      <c r="G38" s="88" t="str">
        <f t="shared" si="0"/>
        <v>d-dtg-diosap01-disk01</v>
      </c>
      <c r="H38" s="88" t="s">
        <v>472</v>
      </c>
      <c r="I38" s="88">
        <v>64</v>
      </c>
      <c r="J38" s="88" t="str">
        <f t="shared" si="1"/>
        <v>d-dtg-diosap01-disk02</v>
      </c>
      <c r="K38" s="88" t="s">
        <v>472</v>
      </c>
      <c r="L38" s="88">
        <v>64</v>
      </c>
      <c r="M38" s="88">
        <v>1</v>
      </c>
      <c r="N38" s="88" t="s">
        <v>502</v>
      </c>
      <c r="O38" s="88" t="s">
        <v>173</v>
      </c>
      <c r="P38" s="88" t="s">
        <v>499</v>
      </c>
      <c r="Q38" s="88" t="b">
        <v>1</v>
      </c>
      <c r="R38" s="86"/>
    </row>
    <row r="39" spans="1:18" x14ac:dyDescent="0.3">
      <c r="A39" s="102"/>
      <c r="B39" s="89" t="s">
        <v>81</v>
      </c>
      <c r="C39" s="89" t="str" cm="1">
        <f t="array" ref="C39">UPPER(INDEX(_xlfn.TEXTSPLIT($D39, "-"), 3))</f>
        <v>DTG</v>
      </c>
      <c r="D39" s="89" t="s">
        <v>351</v>
      </c>
      <c r="E39" s="96" t="s">
        <v>24</v>
      </c>
      <c r="F39" s="89" t="s">
        <v>397</v>
      </c>
      <c r="G39" s="89" t="str">
        <f t="shared" si="0"/>
        <v>d-dtg-diosweb01-disk01</v>
      </c>
      <c r="H39" s="89" t="s">
        <v>472</v>
      </c>
      <c r="I39" s="89">
        <v>64</v>
      </c>
      <c r="J39" s="89" t="str">
        <f t="shared" si="1"/>
        <v>d-dtg-diosweb01-disk02</v>
      </c>
      <c r="K39" s="89" t="s">
        <v>472</v>
      </c>
      <c r="L39" s="89">
        <v>64</v>
      </c>
      <c r="M39" s="89">
        <v>1</v>
      </c>
      <c r="N39" s="89" t="s">
        <v>502</v>
      </c>
      <c r="O39" s="89" t="s">
        <v>173</v>
      </c>
      <c r="P39" s="89" t="s">
        <v>499</v>
      </c>
      <c r="Q39" s="89" t="b">
        <v>1</v>
      </c>
      <c r="R39" s="56"/>
    </row>
    <row r="40" spans="1:18" x14ac:dyDescent="0.3">
      <c r="A40" s="103"/>
      <c r="B40" s="88" t="s">
        <v>81</v>
      </c>
      <c r="C40" s="88" t="str" cm="1">
        <f t="array" ref="C40">UPPER(INDEX(_xlfn.TEXTSPLIT($D40, "-"), 3))</f>
        <v>DTG</v>
      </c>
      <c r="D40" s="88" t="s">
        <v>351</v>
      </c>
      <c r="E40" s="94" t="s">
        <v>24</v>
      </c>
      <c r="F40" s="88" t="s">
        <v>399</v>
      </c>
      <c r="G40" s="88" t="str">
        <f t="shared" si="0"/>
        <v>d-dtg-dprweb01-disk01</v>
      </c>
      <c r="H40" s="88" t="s">
        <v>472</v>
      </c>
      <c r="I40" s="88">
        <v>64</v>
      </c>
      <c r="J40" s="88" t="str">
        <f t="shared" si="1"/>
        <v>d-dtg-dprweb01-disk02</v>
      </c>
      <c r="K40" s="88" t="s">
        <v>472</v>
      </c>
      <c r="L40" s="88">
        <v>64</v>
      </c>
      <c r="M40" s="88">
        <v>1</v>
      </c>
      <c r="N40" s="88" t="s">
        <v>502</v>
      </c>
      <c r="O40" s="88" t="s">
        <v>173</v>
      </c>
      <c r="P40" s="88" t="s">
        <v>499</v>
      </c>
      <c r="Q40" s="88" t="b">
        <v>1</v>
      </c>
      <c r="R40" s="86"/>
    </row>
    <row r="41" spans="1:18" x14ac:dyDescent="0.3">
      <c r="A41" s="95"/>
      <c r="B41" s="89" t="s">
        <v>81</v>
      </c>
      <c r="C41" s="89"/>
      <c r="D41" s="89" t="s">
        <v>351</v>
      </c>
      <c r="E41" s="96" t="s">
        <v>24</v>
      </c>
      <c r="F41" s="89" t="s">
        <v>401</v>
      </c>
      <c r="G41" s="89" t="str">
        <f t="shared" si="0"/>
        <v>d-dtg-dprap01-disk01</v>
      </c>
      <c r="H41" s="89" t="s">
        <v>472</v>
      </c>
      <c r="I41" s="89">
        <v>64</v>
      </c>
      <c r="J41" s="89" t="str">
        <f t="shared" si="1"/>
        <v>d-dtg-dprap01-disk02</v>
      </c>
      <c r="K41" s="89" t="s">
        <v>472</v>
      </c>
      <c r="L41" s="89">
        <v>64</v>
      </c>
      <c r="M41" s="89">
        <v>1</v>
      </c>
      <c r="N41" s="89" t="s">
        <v>502</v>
      </c>
      <c r="O41" s="89" t="s">
        <v>173</v>
      </c>
      <c r="P41" s="89" t="s">
        <v>499</v>
      </c>
      <c r="Q41" s="89" t="b">
        <v>1</v>
      </c>
      <c r="R41" s="56"/>
    </row>
    <row r="42" spans="1:18" x14ac:dyDescent="0.3">
      <c r="A42" s="103"/>
      <c r="B42" s="88" t="s">
        <v>81</v>
      </c>
      <c r="C42" s="88" t="str" cm="1">
        <f t="array" ref="C42">UPPER(INDEX(_xlfn.TEXTSPLIT($D42, "-"), 3))</f>
        <v>BDP</v>
      </c>
      <c r="D42" s="88" t="s">
        <v>403</v>
      </c>
      <c r="E42" s="94" t="s">
        <v>24</v>
      </c>
      <c r="F42" s="88" t="s">
        <v>404</v>
      </c>
      <c r="G42" s="88" t="str">
        <f t="shared" si="0"/>
        <v>d-bdp-airfw01-disk01</v>
      </c>
      <c r="H42" s="88" t="s">
        <v>472</v>
      </c>
      <c r="I42" s="88">
        <v>64</v>
      </c>
      <c r="J42" s="88" t="str">
        <f t="shared" si="1"/>
        <v>d-bdp-airfw01-disk02</v>
      </c>
      <c r="K42" s="88" t="s">
        <v>472</v>
      </c>
      <c r="L42" s="88">
        <v>64</v>
      </c>
      <c r="M42" s="88">
        <v>1</v>
      </c>
      <c r="N42" s="88" t="s">
        <v>502</v>
      </c>
      <c r="O42" s="88" t="s">
        <v>173</v>
      </c>
      <c r="P42" s="88" t="s">
        <v>499</v>
      </c>
      <c r="Q42" s="88" t="b">
        <v>1</v>
      </c>
      <c r="R42" s="86"/>
    </row>
    <row r="43" spans="1:18" x14ac:dyDescent="0.3">
      <c r="A43" s="102"/>
      <c r="B43" s="89" t="s">
        <v>81</v>
      </c>
      <c r="C43" s="89" t="str" cm="1">
        <f t="array" ref="C43">UPPER(INDEX(_xlfn.TEXTSPLIT($D43, "-"), 3))</f>
        <v>BDP</v>
      </c>
      <c r="D43" s="89" t="s">
        <v>403</v>
      </c>
      <c r="E43" s="96" t="s">
        <v>24</v>
      </c>
      <c r="F43" s="89" t="s">
        <v>407</v>
      </c>
      <c r="G43" s="89" t="str">
        <f t="shared" si="0"/>
        <v>d-bdp-kepler01-disk01</v>
      </c>
      <c r="H43" s="89" t="s">
        <v>472</v>
      </c>
      <c r="I43" s="89">
        <v>64</v>
      </c>
      <c r="J43" s="89" t="str">
        <f t="shared" si="1"/>
        <v>d-bdp-kepler01-disk02</v>
      </c>
      <c r="K43" s="89" t="s">
        <v>472</v>
      </c>
      <c r="L43" s="89">
        <v>64</v>
      </c>
      <c r="M43" s="89">
        <v>1</v>
      </c>
      <c r="N43" s="89" t="s">
        <v>502</v>
      </c>
      <c r="O43" s="89" t="s">
        <v>173</v>
      </c>
      <c r="P43" s="89" t="s">
        <v>499</v>
      </c>
      <c r="Q43" s="89" t="b">
        <v>1</v>
      </c>
      <c r="R43" s="56"/>
    </row>
    <row r="44" spans="1:18" x14ac:dyDescent="0.3">
      <c r="A44" s="103"/>
      <c r="B44" s="88" t="s">
        <v>81</v>
      </c>
      <c r="C44" s="88" t="str" cm="1">
        <f t="array" ref="C44">UPPER(INDEX(_xlfn.TEXTSPLIT($D44, "-"), 3))</f>
        <v>BDP</v>
      </c>
      <c r="D44" s="88" t="s">
        <v>403</v>
      </c>
      <c r="E44" s="94" t="s">
        <v>24</v>
      </c>
      <c r="F44" s="88" t="s">
        <v>511</v>
      </c>
      <c r="G44" s="88" t="str">
        <f t="shared" si="0"/>
        <v>d-bdp-cxmadm01-disk01</v>
      </c>
      <c r="H44" s="88" t="s">
        <v>472</v>
      </c>
      <c r="I44" s="88">
        <v>64</v>
      </c>
      <c r="J44" s="88" t="str">
        <f t="shared" si="1"/>
        <v>d-bdp-cxmadm01-disk02</v>
      </c>
      <c r="K44" s="88" t="s">
        <v>472</v>
      </c>
      <c r="L44" s="88">
        <v>64</v>
      </c>
      <c r="M44" s="88">
        <v>1</v>
      </c>
      <c r="N44" s="88" t="s">
        <v>502</v>
      </c>
      <c r="O44" s="88" t="s">
        <v>173</v>
      </c>
      <c r="P44" s="88" t="s">
        <v>499</v>
      </c>
      <c r="Q44" s="88" t="b">
        <v>1</v>
      </c>
      <c r="R44" s="86"/>
    </row>
    <row r="45" spans="1:18" x14ac:dyDescent="0.3">
      <c r="A45" s="103"/>
      <c r="B45" s="89" t="s">
        <v>81</v>
      </c>
      <c r="C45" s="89" t="str" cm="1">
        <f t="array" ref="C45">UPPER(INDEX(_xlfn.TEXTSPLIT($D45, "-"), 3))</f>
        <v>BDP</v>
      </c>
      <c r="D45" s="89" t="s">
        <v>403</v>
      </c>
      <c r="E45" s="96" t="s">
        <v>24</v>
      </c>
      <c r="F45" s="89" t="s">
        <v>410</v>
      </c>
      <c r="G45" s="89" t="str">
        <f t="shared" si="0"/>
        <v>d-bdp-slap01-disk01</v>
      </c>
      <c r="H45" s="89" t="s">
        <v>472</v>
      </c>
      <c r="I45" s="89">
        <v>64</v>
      </c>
      <c r="J45" s="89" t="str">
        <f t="shared" si="1"/>
        <v>d-bdp-slap01-disk02</v>
      </c>
      <c r="K45" s="89" t="s">
        <v>472</v>
      </c>
      <c r="L45" s="89">
        <v>64</v>
      </c>
      <c r="M45" s="89">
        <v>1</v>
      </c>
      <c r="N45" s="89" t="s">
        <v>502</v>
      </c>
      <c r="O45" s="89" t="s">
        <v>173</v>
      </c>
      <c r="P45" s="89" t="s">
        <v>499</v>
      </c>
      <c r="Q45" s="89" t="b">
        <v>1</v>
      </c>
      <c r="R45" s="56"/>
    </row>
    <row r="46" spans="1:18" x14ac:dyDescent="0.3">
      <c r="A46" s="102"/>
      <c r="B46" s="88" t="s">
        <v>81</v>
      </c>
      <c r="C46" s="88" t="str" cm="1">
        <f t="array" ref="C46">UPPER(INDEX(_xlfn.TEXTSPLIT($D46, "-"), 3))</f>
        <v>DIP</v>
      </c>
      <c r="D46" s="88" t="s">
        <v>473</v>
      </c>
      <c r="E46" s="94" t="s">
        <v>24</v>
      </c>
      <c r="F46" s="88" t="s">
        <v>412</v>
      </c>
      <c r="G46" s="88" t="str">
        <f t="shared" si="0"/>
        <v>d-dip-adm01-disk01</v>
      </c>
      <c r="H46" s="88" t="s">
        <v>472</v>
      </c>
      <c r="I46" s="88">
        <v>64</v>
      </c>
      <c r="J46" s="88" t="str">
        <f t="shared" si="1"/>
        <v>d-dip-adm01-disk02</v>
      </c>
      <c r="K46" s="88" t="s">
        <v>472</v>
      </c>
      <c r="L46" s="88">
        <v>64</v>
      </c>
      <c r="M46" s="88">
        <v>1</v>
      </c>
      <c r="N46" s="88" t="s">
        <v>502</v>
      </c>
      <c r="O46" s="88" t="s">
        <v>173</v>
      </c>
      <c r="P46" s="88" t="s">
        <v>499</v>
      </c>
      <c r="Q46" s="88" t="b">
        <v>1</v>
      </c>
      <c r="R46" s="86"/>
    </row>
    <row r="47" spans="1:18" x14ac:dyDescent="0.3">
      <c r="A47" s="103"/>
      <c r="B47" s="89" t="s">
        <v>81</v>
      </c>
      <c r="C47" s="89" t="str" cm="1">
        <f t="array" ref="C47">UPPER(INDEX(_xlfn.TEXTSPLIT($D47, "-"), 3))</f>
        <v>DIP</v>
      </c>
      <c r="D47" s="89" t="s">
        <v>473</v>
      </c>
      <c r="E47" s="96" t="s">
        <v>24</v>
      </c>
      <c r="F47" s="89" t="s">
        <v>415</v>
      </c>
      <c r="G47" s="89" t="str">
        <f t="shared" si="0"/>
        <v>d-dip-ap01-disk01</v>
      </c>
      <c r="H47" s="89" t="s">
        <v>472</v>
      </c>
      <c r="I47" s="89">
        <v>64</v>
      </c>
      <c r="J47" s="89" t="str">
        <f t="shared" si="1"/>
        <v>d-dip-ap01-disk02</v>
      </c>
      <c r="K47" s="89" t="s">
        <v>472</v>
      </c>
      <c r="L47" s="89">
        <v>64</v>
      </c>
      <c r="M47" s="89">
        <v>1</v>
      </c>
      <c r="N47" s="89" t="s">
        <v>502</v>
      </c>
      <c r="O47" s="89" t="s">
        <v>173</v>
      </c>
      <c r="P47" s="89" t="s">
        <v>499</v>
      </c>
      <c r="Q47" s="89" t="b">
        <v>1</v>
      </c>
      <c r="R47" s="56"/>
    </row>
    <row r="48" spans="1:18" x14ac:dyDescent="0.3">
      <c r="A48" s="95"/>
      <c r="B48" s="88" t="s">
        <v>81</v>
      </c>
      <c r="C48" s="88"/>
      <c r="D48" s="88" t="s">
        <v>473</v>
      </c>
      <c r="E48" s="94" t="s">
        <v>24</v>
      </c>
      <c r="F48" s="88" t="s">
        <v>417</v>
      </c>
      <c r="G48" s="88" t="str">
        <f t="shared" si="0"/>
        <v>d-dip-flk01-disk01</v>
      </c>
      <c r="H48" s="88" t="s">
        <v>472</v>
      </c>
      <c r="I48" s="88">
        <v>64</v>
      </c>
      <c r="J48" s="88" t="str">
        <f t="shared" si="1"/>
        <v>d-dip-flk01-disk02</v>
      </c>
      <c r="K48" s="88" t="s">
        <v>472</v>
      </c>
      <c r="L48" s="88">
        <v>64</v>
      </c>
      <c r="M48" s="88">
        <v>1</v>
      </c>
      <c r="N48" s="88" t="s">
        <v>502</v>
      </c>
      <c r="O48" s="88" t="s">
        <v>173</v>
      </c>
      <c r="P48" s="88" t="s">
        <v>499</v>
      </c>
      <c r="Q48" s="88" t="b">
        <v>1</v>
      </c>
      <c r="R48" s="86"/>
    </row>
    <row r="49" spans="1:18" x14ac:dyDescent="0.3">
      <c r="A49" s="93"/>
      <c r="B49" s="89" t="s">
        <v>81</v>
      </c>
      <c r="C49" s="89"/>
      <c r="D49" s="89" t="s">
        <v>473</v>
      </c>
      <c r="E49" s="96" t="s">
        <v>24</v>
      </c>
      <c r="F49" s="89" t="s">
        <v>419</v>
      </c>
      <c r="G49" s="89" t="str">
        <f t="shared" si="0"/>
        <v>d-dip-flk02-disk01</v>
      </c>
      <c r="H49" s="89" t="s">
        <v>472</v>
      </c>
      <c r="I49" s="89">
        <v>64</v>
      </c>
      <c r="J49" s="89" t="str">
        <f t="shared" si="1"/>
        <v>d-dip-flk02-disk02</v>
      </c>
      <c r="K49" s="89" t="s">
        <v>472</v>
      </c>
      <c r="L49" s="89">
        <v>64</v>
      </c>
      <c r="M49" s="89">
        <v>1</v>
      </c>
      <c r="N49" s="89" t="s">
        <v>502</v>
      </c>
      <c r="O49" s="89" t="s">
        <v>173</v>
      </c>
      <c r="P49" s="89" t="s">
        <v>499</v>
      </c>
      <c r="Q49" s="89" t="b">
        <v>1</v>
      </c>
      <c r="R49" s="56"/>
    </row>
    <row r="50" spans="1:18" x14ac:dyDescent="0.3">
      <c r="A50" s="95"/>
      <c r="B50" s="88" t="s">
        <v>81</v>
      </c>
      <c r="C50" s="88"/>
      <c r="D50" s="88" t="s">
        <v>473</v>
      </c>
      <c r="E50" s="94" t="s">
        <v>24</v>
      </c>
      <c r="F50" s="88" t="s">
        <v>421</v>
      </c>
      <c r="G50" s="88" t="str">
        <f t="shared" si="0"/>
        <v>d-dip-flk03-disk01</v>
      </c>
      <c r="H50" s="88" t="s">
        <v>472</v>
      </c>
      <c r="I50" s="88">
        <v>64</v>
      </c>
      <c r="J50" s="88" t="str">
        <f t="shared" si="1"/>
        <v>d-dip-flk03-disk02</v>
      </c>
      <c r="K50" s="88" t="s">
        <v>472</v>
      </c>
      <c r="L50" s="88">
        <v>64</v>
      </c>
      <c r="M50" s="88">
        <v>1</v>
      </c>
      <c r="N50" s="88" t="s">
        <v>502</v>
      </c>
      <c r="O50" s="88" t="s">
        <v>173</v>
      </c>
      <c r="P50" s="88" t="s">
        <v>499</v>
      </c>
      <c r="Q50" s="88" t="b">
        <v>1</v>
      </c>
      <c r="R50" s="86"/>
    </row>
    <row r="51" spans="1:18" x14ac:dyDescent="0.3">
      <c r="A51" s="93"/>
      <c r="B51" s="89" t="s">
        <v>81</v>
      </c>
      <c r="C51" s="89"/>
      <c r="D51" s="89" t="s">
        <v>473</v>
      </c>
      <c r="E51" s="96" t="s">
        <v>24</v>
      </c>
      <c r="F51" s="89" t="s">
        <v>423</v>
      </c>
      <c r="G51" s="89" t="str">
        <f t="shared" si="0"/>
        <v>d-dip-geoap01-disk01</v>
      </c>
      <c r="H51" s="89" t="s">
        <v>472</v>
      </c>
      <c r="I51" s="89">
        <v>64</v>
      </c>
      <c r="J51" s="89" t="str">
        <f t="shared" si="1"/>
        <v>d-dip-geoap01-disk02</v>
      </c>
      <c r="K51" s="89" t="s">
        <v>472</v>
      </c>
      <c r="L51" s="89">
        <v>64</v>
      </c>
      <c r="M51" s="89">
        <v>1</v>
      </c>
      <c r="N51" s="89" t="s">
        <v>502</v>
      </c>
      <c r="O51" s="89" t="s">
        <v>173</v>
      </c>
      <c r="P51" s="89" t="s">
        <v>499</v>
      </c>
      <c r="Q51" s="89" t="b">
        <v>1</v>
      </c>
      <c r="R51" s="56"/>
    </row>
    <row r="52" spans="1:18" x14ac:dyDescent="0.3">
      <c r="A52" s="95"/>
      <c r="B52" s="88" t="s">
        <v>81</v>
      </c>
      <c r="C52" s="88"/>
      <c r="D52" s="88" t="s">
        <v>473</v>
      </c>
      <c r="E52" s="94" t="s">
        <v>24</v>
      </c>
      <c r="F52" s="88" t="s">
        <v>425</v>
      </c>
      <c r="G52" s="88" t="str">
        <f t="shared" si="0"/>
        <v>d-dip-kfk01-disk01</v>
      </c>
      <c r="H52" s="88" t="s">
        <v>472</v>
      </c>
      <c r="I52" s="88">
        <v>64</v>
      </c>
      <c r="J52" s="88" t="str">
        <f t="shared" si="1"/>
        <v>d-dip-kfk01-disk02</v>
      </c>
      <c r="K52" s="88" t="s">
        <v>472</v>
      </c>
      <c r="L52" s="88">
        <v>64</v>
      </c>
      <c r="M52" s="88">
        <v>1</v>
      </c>
      <c r="N52" s="88" t="s">
        <v>502</v>
      </c>
      <c r="O52" s="88" t="s">
        <v>173</v>
      </c>
      <c r="P52" s="88" t="s">
        <v>499</v>
      </c>
      <c r="Q52" s="88" t="b">
        <v>1</v>
      </c>
      <c r="R52" s="86"/>
    </row>
    <row r="53" spans="1:18" x14ac:dyDescent="0.3">
      <c r="A53" s="93"/>
      <c r="B53" s="89" t="s">
        <v>81</v>
      </c>
      <c r="C53" s="89"/>
      <c r="D53" s="89" t="s">
        <v>473</v>
      </c>
      <c r="E53" s="96" t="s">
        <v>24</v>
      </c>
      <c r="F53" s="89" t="s">
        <v>474</v>
      </c>
      <c r="G53" s="89" t="str">
        <f t="shared" si="0"/>
        <v>d-dip-kfk02-disk01</v>
      </c>
      <c r="H53" s="89" t="s">
        <v>472</v>
      </c>
      <c r="I53" s="89">
        <v>64</v>
      </c>
      <c r="J53" s="89" t="str">
        <f t="shared" si="1"/>
        <v>d-dip-kfk02-disk02</v>
      </c>
      <c r="K53" s="89" t="s">
        <v>472</v>
      </c>
      <c r="L53" s="89">
        <v>64</v>
      </c>
      <c r="M53" s="89">
        <v>1</v>
      </c>
      <c r="N53" s="89" t="s">
        <v>502</v>
      </c>
      <c r="O53" s="89" t="s">
        <v>173</v>
      </c>
      <c r="P53" s="89" t="s">
        <v>499</v>
      </c>
      <c r="Q53" s="89" t="b">
        <v>1</v>
      </c>
      <c r="R53" s="56"/>
    </row>
    <row r="54" spans="1:18" x14ac:dyDescent="0.3">
      <c r="A54" s="93"/>
      <c r="B54" s="88" t="s">
        <v>81</v>
      </c>
      <c r="C54" s="88"/>
      <c r="D54" s="88" t="s">
        <v>473</v>
      </c>
      <c r="E54" s="94" t="s">
        <v>24</v>
      </c>
      <c r="F54" s="88" t="s">
        <v>475</v>
      </c>
      <c r="G54" s="88" t="str">
        <f t="shared" si="0"/>
        <v>d-dip-kfk03-disk01</v>
      </c>
      <c r="H54" s="88" t="s">
        <v>472</v>
      </c>
      <c r="I54" s="88">
        <v>64</v>
      </c>
      <c r="J54" s="88" t="str">
        <f t="shared" si="1"/>
        <v>d-dip-kfk03-disk02</v>
      </c>
      <c r="K54" s="88" t="s">
        <v>472</v>
      </c>
      <c r="L54" s="88">
        <v>64</v>
      </c>
      <c r="M54" s="88">
        <v>1</v>
      </c>
      <c r="N54" s="88" t="s">
        <v>502</v>
      </c>
      <c r="O54" s="88" t="s">
        <v>173</v>
      </c>
      <c r="P54" s="88" t="s">
        <v>499</v>
      </c>
      <c r="Q54" s="88" t="b">
        <v>1</v>
      </c>
      <c r="R54" s="86"/>
    </row>
    <row r="55" spans="1:18" x14ac:dyDescent="0.3">
      <c r="A55" s="95"/>
      <c r="B55" s="89" t="s">
        <v>81</v>
      </c>
      <c r="C55" s="89"/>
      <c r="D55" s="89" t="s">
        <v>473</v>
      </c>
      <c r="E55" s="96" t="s">
        <v>24</v>
      </c>
      <c r="F55" s="89" t="s">
        <v>429</v>
      </c>
      <c r="G55" s="89" t="str">
        <f t="shared" si="0"/>
        <v>d-dip-mqap01-disk01</v>
      </c>
      <c r="H55" s="89" t="s">
        <v>472</v>
      </c>
      <c r="I55" s="89">
        <v>64</v>
      </c>
      <c r="J55" s="89" t="str">
        <f t="shared" si="1"/>
        <v>d-dip-mqap01-disk02</v>
      </c>
      <c r="K55" s="89" t="s">
        <v>472</v>
      </c>
      <c r="L55" s="89">
        <v>64</v>
      </c>
      <c r="M55" s="89">
        <v>1</v>
      </c>
      <c r="N55" s="89" t="s">
        <v>502</v>
      </c>
      <c r="O55" s="89" t="s">
        <v>173</v>
      </c>
      <c r="P55" s="89" t="s">
        <v>499</v>
      </c>
      <c r="Q55" s="89" t="b">
        <v>1</v>
      </c>
      <c r="R55" s="56"/>
    </row>
    <row r="56" spans="1:18" x14ac:dyDescent="0.3">
      <c r="A56" s="103"/>
      <c r="B56" s="88" t="s">
        <v>81</v>
      </c>
      <c r="C56" s="88" t="str" cm="1">
        <f t="array" ref="C56">UPPER(INDEX(_xlfn.TEXTSPLIT($D56, "-"), 3))</f>
        <v>DIP</v>
      </c>
      <c r="D56" s="88" t="s">
        <v>473</v>
      </c>
      <c r="E56" s="94" t="s">
        <v>24</v>
      </c>
      <c r="F56" s="88" t="s">
        <v>431</v>
      </c>
      <c r="G56" s="88" t="str">
        <f t="shared" si="0"/>
        <v>d-dip-mqweb01-disk01</v>
      </c>
      <c r="H56" s="88" t="s">
        <v>472</v>
      </c>
      <c r="I56" s="88">
        <v>64</v>
      </c>
      <c r="J56" s="88" t="str">
        <f t="shared" si="1"/>
        <v>d-dip-mqweb01-disk02</v>
      </c>
      <c r="K56" s="88" t="s">
        <v>472</v>
      </c>
      <c r="L56" s="88">
        <v>64</v>
      </c>
      <c r="M56" s="88">
        <v>1</v>
      </c>
      <c r="N56" s="88" t="s">
        <v>502</v>
      </c>
      <c r="O56" s="88" t="s">
        <v>173</v>
      </c>
      <c r="P56" s="88" t="s">
        <v>499</v>
      </c>
      <c r="Q56" s="88" t="b">
        <v>1</v>
      </c>
      <c r="R56" s="86"/>
    </row>
    <row r="57" spans="1:18" x14ac:dyDescent="0.3">
      <c r="A57" s="102"/>
      <c r="B57" s="89" t="s">
        <v>81</v>
      </c>
      <c r="C57" s="89" t="str" cm="1">
        <f t="array" ref="C57">UPPER(INDEX(_xlfn.TEXTSPLIT($D57, "-"), 3))</f>
        <v>DIP</v>
      </c>
      <c r="D57" s="89" t="s">
        <v>473</v>
      </c>
      <c r="E57" s="96" t="s">
        <v>24</v>
      </c>
      <c r="F57" s="89" t="s">
        <v>433</v>
      </c>
      <c r="G57" s="89" t="str">
        <f t="shared" si="0"/>
        <v>d-dip-oms01-disk01</v>
      </c>
      <c r="H57" s="89" t="s">
        <v>472</v>
      </c>
      <c r="I57" s="89">
        <v>64</v>
      </c>
      <c r="J57" s="89" t="str">
        <f t="shared" si="1"/>
        <v>d-dip-oms01-disk02</v>
      </c>
      <c r="K57" s="89" t="s">
        <v>472</v>
      </c>
      <c r="L57" s="89">
        <v>64</v>
      </c>
      <c r="M57" s="89">
        <v>1</v>
      </c>
      <c r="N57" s="89" t="s">
        <v>502</v>
      </c>
      <c r="O57" s="89" t="s">
        <v>173</v>
      </c>
      <c r="P57" s="89" t="s">
        <v>499</v>
      </c>
      <c r="Q57" s="89" t="b">
        <v>1</v>
      </c>
      <c r="R57" s="56"/>
    </row>
    <row r="58" spans="1:18" x14ac:dyDescent="0.3">
      <c r="A58" s="103"/>
      <c r="B58" s="88" t="s">
        <v>81</v>
      </c>
      <c r="C58" s="88" t="str" cm="1">
        <f t="array" ref="C58">UPPER(INDEX(_xlfn.TEXTSPLIT($D58, "-"), 3))</f>
        <v>DIP</v>
      </c>
      <c r="D58" s="88" t="s">
        <v>473</v>
      </c>
      <c r="E58" s="94" t="s">
        <v>24</v>
      </c>
      <c r="F58" s="88" t="s">
        <v>435</v>
      </c>
      <c r="G58" s="88" t="str">
        <f t="shared" si="0"/>
        <v>d-dip-web01-disk01</v>
      </c>
      <c r="H58" s="88" t="s">
        <v>472</v>
      </c>
      <c r="I58" s="88">
        <v>64</v>
      </c>
      <c r="J58" s="88" t="str">
        <f t="shared" si="1"/>
        <v>d-dip-web01-disk02</v>
      </c>
      <c r="K58" s="88" t="s">
        <v>472</v>
      </c>
      <c r="L58" s="88">
        <v>64</v>
      </c>
      <c r="M58" s="88">
        <v>1</v>
      </c>
      <c r="N58" s="88" t="s">
        <v>502</v>
      </c>
      <c r="O58" s="88" t="s">
        <v>173</v>
      </c>
      <c r="P58" s="88" t="s">
        <v>499</v>
      </c>
      <c r="Q58" s="88" t="b">
        <v>1</v>
      </c>
      <c r="R58" s="86"/>
    </row>
    <row r="59" spans="1:18" x14ac:dyDescent="0.3">
      <c r="A59" s="102"/>
      <c r="B59" s="89" t="s">
        <v>81</v>
      </c>
      <c r="C59" s="89" t="str" cm="1">
        <f t="array" ref="C59">UPPER(INDEX(_xlfn.TEXTSPLIT($D59, "-"), 3))</f>
        <v>COM</v>
      </c>
      <c r="D59" s="89" t="s">
        <v>437</v>
      </c>
      <c r="E59" s="96" t="s">
        <v>24</v>
      </c>
      <c r="F59" s="89" t="s">
        <v>438</v>
      </c>
      <c r="G59" s="89" t="str">
        <f t="shared" si="0"/>
        <v>d-com-auth01-disk01</v>
      </c>
      <c r="H59" s="89" t="s">
        <v>472</v>
      </c>
      <c r="I59" s="89">
        <v>64</v>
      </c>
      <c r="J59" s="89" t="str">
        <f t="shared" si="1"/>
        <v>d-com-auth01-disk02</v>
      </c>
      <c r="K59" s="89" t="s">
        <v>472</v>
      </c>
      <c r="L59" s="89">
        <v>64</v>
      </c>
      <c r="M59" s="89">
        <v>1</v>
      </c>
      <c r="N59" s="89" t="s">
        <v>502</v>
      </c>
      <c r="O59" s="89" t="s">
        <v>173</v>
      </c>
      <c r="P59" s="89" t="s">
        <v>499</v>
      </c>
      <c r="Q59" s="89" t="b">
        <v>1</v>
      </c>
      <c r="R59" s="56"/>
    </row>
    <row r="60" spans="1:18" x14ac:dyDescent="0.3">
      <c r="A60" s="103"/>
      <c r="B60" s="88" t="s">
        <v>81</v>
      </c>
      <c r="C60" s="88" t="str" cm="1">
        <f t="array" ref="C60">UPPER(INDEX(_xlfn.TEXTSPLIT($D60, "-"), 3))</f>
        <v>COM</v>
      </c>
      <c r="D60" s="88" t="s">
        <v>437</v>
      </c>
      <c r="E60" s="94" t="s">
        <v>24</v>
      </c>
      <c r="F60" s="88" t="s">
        <v>441</v>
      </c>
      <c r="G60" s="88" t="str">
        <f t="shared" si="0"/>
        <v>d-com-proxy01-disk01</v>
      </c>
      <c r="H60" s="88" t="s">
        <v>472</v>
      </c>
      <c r="I60" s="88">
        <v>64</v>
      </c>
      <c r="J60" s="88" t="str">
        <f t="shared" si="1"/>
        <v>d-com-proxy01-disk02</v>
      </c>
      <c r="K60" s="88" t="s">
        <v>472</v>
      </c>
      <c r="L60" s="88">
        <v>64</v>
      </c>
      <c r="M60" s="88">
        <v>1</v>
      </c>
      <c r="N60" s="88" t="s">
        <v>502</v>
      </c>
      <c r="O60" s="88" t="s">
        <v>173</v>
      </c>
      <c r="P60" s="88" t="s">
        <v>499</v>
      </c>
      <c r="Q60" s="88" t="b">
        <v>1</v>
      </c>
      <c r="R60" s="86"/>
    </row>
    <row r="61" spans="1:18" x14ac:dyDescent="0.3">
      <c r="A61" s="95"/>
      <c r="B61" s="89" t="s">
        <v>81</v>
      </c>
      <c r="C61" s="89"/>
      <c r="D61" s="89" t="s">
        <v>444</v>
      </c>
      <c r="E61" s="96" t="s">
        <v>24</v>
      </c>
      <c r="F61" s="89" t="s">
        <v>445</v>
      </c>
      <c r="G61" s="89" t="str">
        <f t="shared" si="0"/>
        <v>d-if-gramon01-disk01</v>
      </c>
      <c r="H61" s="89" t="s">
        <v>472</v>
      </c>
      <c r="I61" s="89">
        <v>64</v>
      </c>
      <c r="J61" s="89" t="str">
        <f t="shared" si="1"/>
        <v>d-if-gramon01-disk02</v>
      </c>
      <c r="K61" s="89" t="s">
        <v>472</v>
      </c>
      <c r="L61" s="89">
        <v>64</v>
      </c>
      <c r="M61" s="89">
        <v>1</v>
      </c>
      <c r="N61" s="89" t="s">
        <v>502</v>
      </c>
      <c r="O61" s="89" t="s">
        <v>173</v>
      </c>
      <c r="P61" s="89" t="s">
        <v>499</v>
      </c>
      <c r="Q61" s="89" t="b">
        <v>1</v>
      </c>
      <c r="R61" s="56"/>
    </row>
    <row r="62" spans="1:18" x14ac:dyDescent="0.3">
      <c r="A62" s="98"/>
      <c r="B62" s="88" t="s">
        <v>81</v>
      </c>
      <c r="C62" s="88"/>
      <c r="D62" s="88" t="s">
        <v>175</v>
      </c>
      <c r="E62" s="94" t="s">
        <v>24</v>
      </c>
      <c r="F62" s="88" t="s">
        <v>448</v>
      </c>
      <c r="G62" s="88" t="str">
        <f t="shared" si="0"/>
        <v>d-cs-chtap01-disk01</v>
      </c>
      <c r="H62" s="88" t="s">
        <v>472</v>
      </c>
      <c r="I62" s="88">
        <v>64</v>
      </c>
      <c r="J62" s="88" t="str">
        <f t="shared" si="1"/>
        <v>d-cs-chtap01-disk02</v>
      </c>
      <c r="K62" s="88" t="s">
        <v>472</v>
      </c>
      <c r="L62" s="88">
        <v>64</v>
      </c>
      <c r="M62" s="88">
        <v>1</v>
      </c>
      <c r="N62" s="88" t="s">
        <v>502</v>
      </c>
      <c r="O62" s="88" t="s">
        <v>173</v>
      </c>
      <c r="P62" s="88" t="s">
        <v>499</v>
      </c>
      <c r="Q62" s="88" t="b">
        <v>1</v>
      </c>
      <c r="R62" s="86"/>
    </row>
    <row r="63" spans="1:18" x14ac:dyDescent="0.3">
      <c r="A63" s="98"/>
      <c r="B63" s="89" t="s">
        <v>81</v>
      </c>
      <c r="C63" s="89"/>
      <c r="D63" s="89" t="s">
        <v>451</v>
      </c>
      <c r="E63" s="96" t="s">
        <v>24</v>
      </c>
      <c r="F63" s="89" t="s">
        <v>452</v>
      </c>
      <c r="G63" s="89" t="str">
        <f t="shared" si="0"/>
        <v>d-cs-chtweb01-disk01</v>
      </c>
      <c r="H63" s="89" t="s">
        <v>472</v>
      </c>
      <c r="I63" s="89">
        <v>64</v>
      </c>
      <c r="J63" s="89" t="str">
        <f t="shared" si="1"/>
        <v>d-cs-chtweb01-disk02</v>
      </c>
      <c r="K63" s="89" t="s">
        <v>472</v>
      </c>
      <c r="L63" s="89">
        <v>64</v>
      </c>
      <c r="M63" s="89">
        <v>1</v>
      </c>
      <c r="N63" s="89" t="s">
        <v>502</v>
      </c>
      <c r="O63" s="89" t="s">
        <v>173</v>
      </c>
      <c r="P63" s="89" t="s">
        <v>499</v>
      </c>
      <c r="Q63" s="89" t="b">
        <v>1</v>
      </c>
      <c r="R63" s="56"/>
    </row>
    <row r="64" spans="1:18" x14ac:dyDescent="0.3">
      <c r="A64" s="99"/>
      <c r="B64" s="88" t="s">
        <v>81</v>
      </c>
      <c r="C64" s="88"/>
      <c r="D64" s="88" t="s">
        <v>451</v>
      </c>
      <c r="E64" s="94" t="s">
        <v>24</v>
      </c>
      <c r="F64" s="88" t="s">
        <v>455</v>
      </c>
      <c r="G64" s="88" t="str">
        <f t="shared" si="0"/>
        <v>d-cs-chtintweb01-disk01</v>
      </c>
      <c r="H64" s="88" t="s">
        <v>472</v>
      </c>
      <c r="I64" s="88">
        <v>64</v>
      </c>
      <c r="J64" s="88" t="str">
        <f t="shared" si="1"/>
        <v>d-cs-chtintweb01-disk02</v>
      </c>
      <c r="K64" s="88" t="s">
        <v>472</v>
      </c>
      <c r="L64" s="88">
        <v>64</v>
      </c>
      <c r="M64" s="88">
        <v>1</v>
      </c>
      <c r="N64" s="88" t="s">
        <v>502</v>
      </c>
      <c r="O64" s="88" t="s">
        <v>173</v>
      </c>
      <c r="P64" s="88" t="s">
        <v>499</v>
      </c>
      <c r="Q64" s="88" t="b">
        <v>1</v>
      </c>
      <c r="R64" s="86"/>
    </row>
    <row r="65" spans="1:18" x14ac:dyDescent="0.3">
      <c r="A65" s="93"/>
      <c r="B65" s="89" t="s">
        <v>81</v>
      </c>
      <c r="C65" s="89"/>
      <c r="D65" s="89" t="s">
        <v>457</v>
      </c>
      <c r="E65" s="96" t="s">
        <v>24</v>
      </c>
      <c r="F65" s="89" t="s">
        <v>458</v>
      </c>
      <c r="G65" s="89" t="str">
        <f t="shared" si="0"/>
        <v>d-doip-web01-disk01</v>
      </c>
      <c r="H65" s="89" t="s">
        <v>472</v>
      </c>
      <c r="I65" s="89">
        <v>64</v>
      </c>
      <c r="J65" s="89" t="str">
        <f t="shared" si="1"/>
        <v>d-doip-web01-disk02</v>
      </c>
      <c r="K65" s="89" t="s">
        <v>472</v>
      </c>
      <c r="L65" s="89">
        <v>64</v>
      </c>
      <c r="M65" s="89">
        <v>1</v>
      </c>
      <c r="N65" s="89" t="s">
        <v>502</v>
      </c>
      <c r="O65" s="89" t="s">
        <v>173</v>
      </c>
      <c r="P65" s="89" t="s">
        <v>499</v>
      </c>
      <c r="Q65" s="89" t="b">
        <v>1</v>
      </c>
      <c r="R65" s="56"/>
    </row>
    <row r="66" spans="1:18" x14ac:dyDescent="0.3">
      <c r="A66" s="95"/>
      <c r="B66" s="88" t="s">
        <v>81</v>
      </c>
      <c r="C66" s="88"/>
      <c r="D66" s="88" t="s">
        <v>457</v>
      </c>
      <c r="E66" s="94" t="s">
        <v>24</v>
      </c>
      <c r="F66" s="88" t="s">
        <v>461</v>
      </c>
      <c r="G66" s="88" t="str">
        <f t="shared" si="0"/>
        <v>d-doip-ap01-disk01</v>
      </c>
      <c r="H66" s="88" t="s">
        <v>472</v>
      </c>
      <c r="I66" s="88">
        <v>64</v>
      </c>
      <c r="J66" s="88" t="str">
        <f t="shared" si="1"/>
        <v>d-doip-ap01-disk02</v>
      </c>
      <c r="K66" s="88" t="s">
        <v>472</v>
      </c>
      <c r="L66" s="88">
        <v>64</v>
      </c>
      <c r="M66" s="88">
        <v>1</v>
      </c>
      <c r="N66" s="88" t="s">
        <v>502</v>
      </c>
      <c r="O66" s="88" t="s">
        <v>173</v>
      </c>
      <c r="P66" s="88" t="s">
        <v>499</v>
      </c>
      <c r="Q66" s="88" t="b">
        <v>1</v>
      </c>
      <c r="R66" s="86"/>
    </row>
    <row r="67" spans="1:18" x14ac:dyDescent="0.3">
      <c r="A67" s="93"/>
      <c r="B67" s="89" t="s">
        <v>81</v>
      </c>
      <c r="C67" s="89"/>
      <c r="D67" s="89" t="s">
        <v>457</v>
      </c>
      <c r="E67" s="96" t="s">
        <v>24</v>
      </c>
      <c r="F67" s="89" t="s">
        <v>463</v>
      </c>
      <c r="G67" s="89" t="str">
        <f>SUBSTITUTE($F67,"hazr-","")&amp;"-disk01"</f>
        <v>d-doip-adm01-disk01</v>
      </c>
      <c r="H67" s="89" t="s">
        <v>472</v>
      </c>
      <c r="I67" s="89">
        <v>64</v>
      </c>
      <c r="J67" s="89" t="str">
        <f>SUBSTITUTE($F67,"hazr-","")&amp;"-disk02"</f>
        <v>d-doip-adm01-disk02</v>
      </c>
      <c r="K67" s="89" t="s">
        <v>472</v>
      </c>
      <c r="L67" s="89">
        <v>64</v>
      </c>
      <c r="M67" s="89">
        <v>1</v>
      </c>
      <c r="N67" s="89" t="s">
        <v>502</v>
      </c>
      <c r="O67" s="89" t="s">
        <v>173</v>
      </c>
      <c r="P67" s="89" t="s">
        <v>499</v>
      </c>
      <c r="Q67" s="89" t="b">
        <v>1</v>
      </c>
      <c r="R67" s="56"/>
    </row>
    <row r="68" spans="1:18" x14ac:dyDescent="0.3">
      <c r="A68" s="102"/>
      <c r="B68" s="88" t="s">
        <v>81</v>
      </c>
      <c r="C68" s="88" t="str" cm="1">
        <f t="array" ref="C68">UPPER(INDEX(_xlfn.TEXTSPLIT($D68, "-"), 3))</f>
        <v>BDP</v>
      </c>
      <c r="D68" s="88" t="s">
        <v>403</v>
      </c>
      <c r="E68" s="94" t="s">
        <v>24</v>
      </c>
      <c r="F68" s="88" t="s">
        <v>465</v>
      </c>
      <c r="G68" s="88" t="str">
        <f>SUBSTITUTE($F68,"hazr-","")&amp;"-disk01"</f>
        <v>d-bdp-crkweb01-disk01</v>
      </c>
      <c r="H68" s="88" t="s">
        <v>472</v>
      </c>
      <c r="I68" s="88">
        <v>64</v>
      </c>
      <c r="J68" s="88" t="str">
        <f>SUBSTITUTE($F68,"hazr-","")&amp;"-disk02"</f>
        <v>d-bdp-crkweb01-disk02</v>
      </c>
      <c r="K68" s="88" t="s">
        <v>472</v>
      </c>
      <c r="L68" s="88">
        <v>64</v>
      </c>
      <c r="M68" s="88">
        <v>1</v>
      </c>
      <c r="N68" s="88" t="s">
        <v>502</v>
      </c>
      <c r="O68" s="88" t="s">
        <v>173</v>
      </c>
      <c r="P68" s="88" t="s">
        <v>499</v>
      </c>
      <c r="Q68" s="88" t="b">
        <v>1</v>
      </c>
      <c r="R68" s="86"/>
    </row>
    <row r="69" spans="1:18" x14ac:dyDescent="0.3">
      <c r="A69" s="93"/>
      <c r="B69" s="89" t="s">
        <v>81</v>
      </c>
      <c r="C69" s="89"/>
      <c r="D69" s="89" t="s">
        <v>403</v>
      </c>
      <c r="E69" s="96" t="s">
        <v>24</v>
      </c>
      <c r="F69" s="89" t="s">
        <v>507</v>
      </c>
      <c r="G69" s="89" t="str">
        <f>SUBSTITUTE($F69,"hazr-","")&amp;"-disk01"</f>
        <v>d-bdp-crkap01-disk01</v>
      </c>
      <c r="H69" s="89" t="s">
        <v>472</v>
      </c>
      <c r="I69" s="89">
        <v>64</v>
      </c>
      <c r="J69" s="89" t="str">
        <f>SUBSTITUTE($F69,"hazr-","")&amp;"-disk02"</f>
        <v>d-bdp-crkap01-disk02</v>
      </c>
      <c r="K69" s="89" t="s">
        <v>472</v>
      </c>
      <c r="L69" s="89">
        <v>64</v>
      </c>
      <c r="M69" s="89">
        <v>1</v>
      </c>
      <c r="N69" s="89" t="s">
        <v>502</v>
      </c>
      <c r="O69" s="89" t="s">
        <v>173</v>
      </c>
      <c r="P69" s="89" t="s">
        <v>499</v>
      </c>
      <c r="Q69" s="89" t="b">
        <v>1</v>
      </c>
      <c r="R69" s="56"/>
    </row>
    <row r="70" spans="1:18" x14ac:dyDescent="0.3">
      <c r="A70" s="95"/>
      <c r="B70" s="88" t="s">
        <v>81</v>
      </c>
      <c r="C70" s="88"/>
      <c r="D70" s="88" t="s">
        <v>403</v>
      </c>
      <c r="E70" s="94" t="s">
        <v>24</v>
      </c>
      <c r="F70" s="88" t="s">
        <v>470</v>
      </c>
      <c r="G70" s="88" t="str">
        <f>SUBSTITUTE($F70,"hazr-","")&amp;"-disk01"</f>
        <v>d-bdp-crkml01-disk01</v>
      </c>
      <c r="H70" s="88" t="s">
        <v>472</v>
      </c>
      <c r="I70" s="88">
        <v>64</v>
      </c>
      <c r="J70" s="88" t="str">
        <f>SUBSTITUTE($F70,"hazr-","")&amp;"-disk02"</f>
        <v>d-bdp-crkml01-disk02</v>
      </c>
      <c r="K70" s="88" t="s">
        <v>472</v>
      </c>
      <c r="L70" s="88">
        <v>64</v>
      </c>
      <c r="M70" s="88">
        <v>1</v>
      </c>
      <c r="N70" s="88" t="s">
        <v>502</v>
      </c>
      <c r="O70" s="88" t="s">
        <v>173</v>
      </c>
      <c r="P70" s="88" t="s">
        <v>499</v>
      </c>
      <c r="Q70" s="88" t="b">
        <v>1</v>
      </c>
      <c r="R70" s="86"/>
    </row>
    <row r="71" spans="1:18" x14ac:dyDescent="0.3">
      <c r="A71" s="93"/>
      <c r="B71" s="89" t="s">
        <v>81</v>
      </c>
      <c r="C71" s="89"/>
      <c r="D71" s="89" t="s">
        <v>310</v>
      </c>
      <c r="E71" s="96" t="s">
        <v>24</v>
      </c>
      <c r="F71" s="89" t="s">
        <v>477</v>
      </c>
      <c r="G71" s="89" t="s">
        <v>506</v>
      </c>
      <c r="H71" s="89" t="s">
        <v>506</v>
      </c>
      <c r="I71" s="89" t="s">
        <v>506</v>
      </c>
      <c r="J71" s="89" t="s">
        <v>506</v>
      </c>
      <c r="K71" s="89" t="s">
        <v>506</v>
      </c>
      <c r="L71" s="89" t="s">
        <v>506</v>
      </c>
      <c r="M71" s="89" t="s">
        <v>506</v>
      </c>
      <c r="N71" s="89" t="s">
        <v>506</v>
      </c>
      <c r="O71" s="89" t="s">
        <v>173</v>
      </c>
      <c r="P71" s="89" t="s">
        <v>506</v>
      </c>
      <c r="Q71" s="89" t="s">
        <v>506</v>
      </c>
      <c r="R71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G13" sqref="G13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485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2026-04-24T00:58:02Z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