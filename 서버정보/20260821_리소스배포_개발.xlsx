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D51B2C5F-CFC6-4684-8B1F-A897CD6BFE71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2" l="1"/>
  <c r="K75" i="2"/>
  <c r="G54" i="14"/>
  <c r="J54" i="14"/>
  <c r="C58" i="1" l="1" a="1"/>
  <c r="C58" i="1" s="1"/>
  <c r="O58" i="1"/>
  <c r="U58" i="1"/>
  <c r="K71" i="2"/>
  <c r="K72" i="2"/>
  <c r="K73" i="2"/>
  <c r="K74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<sst xmlns="http://schemas.openxmlformats.org/spreadsheetml/2006/main" count="2208" uniqueCount="416">
  <si>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</si>
  <si>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</si>
  <si>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</si>
  <si>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</si>
  <si>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</si>
  <si>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</si>
  <si>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</si>
  <si>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</si>
  <si>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</si>
  <si>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</si>
  <si>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</si>
  <si>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</si>
  <si>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</si>
  <si>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</si>
  <si>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</si>
  <si>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</si>
  <si>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</si>
  <si>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</si>
  <si>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</si>
  <si>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</si>
  <si>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</si>
  <si>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</si>
  <si>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</si>
  <si>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</si>
  <si>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</si>
  <si>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</si>
  <si>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</si>
  <si>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</si>
  <si>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</si>
  <si>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</si>
  <si>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</si>
  <si>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</si>
  <si>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</si>
  <si>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</si>
  <si>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</si>
  <si>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</si>
  <si>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</si>
  <si>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</si>
  <si>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</si>
  <si>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</si>
  <si>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</si>
  <si>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</si>
  <si>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</si>
  <si>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</si>
  <si>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</si>
  <si>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</si>
  <si>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</si>
  <si>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</si>
  <si>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</si>
  <si>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</si>
  <si>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</si>
  <si>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</si>
  <si>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</si>
  <si>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</si>
  <si>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</si>
  <si>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</si>
  <si>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</si>
  <si>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</si>
  <si>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</si>
  <si>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</si>
  <si>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</si>
  <si>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</si>
  <si>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</si>
  <si>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</si>
  <si>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</si>
  <si>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</si>
  <si>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</si>
  <si>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</si>
  <si>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</si>
  <si>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</si>
  <si>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</si>
  <si>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</si>
  <si>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</si>
  <si>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</si>
  <si>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</si>
  <si>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</si>
  <si>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</si>
  <si>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</si>
  <si>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</si>
  <si>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</si>
  <si>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</si>
  <si>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</si>
  <si>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</si>
  <si>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</si>
  <si>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</si>
  <si>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</si>
  <si>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</si>
  <si>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</si>
  <si>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</si>
  <si>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</si>
  <si>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</si>
  <si>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</si>
  <si>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</si>
  <si>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</si>
  <si>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</si>
  <si>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</si>
  <si>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</si>
  <si>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</si>
  <si>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</si>
  <si>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</si>
  <si>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</si>
  <si>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</si>
  <si>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</si>
  <si>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</si>
  <si>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</si>
  <si>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</si>
  <si>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</si>
  <si>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</si>
  <si>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</si>
  <si>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</si>
  <si>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</si>
  <si>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</si>
  <si>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</si>
  <si>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</si>
  <si>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</si>
  <si>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</si>
  <si>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</si>
  <si>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</si>
  <si>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</si>
  <si>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</si>
  <si>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</si>
  <si>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</si>
  <si>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</si>
  <si>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</si>
  <si>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</si>
  <si>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</si>
  <si>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</si>
  <si>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</si>
  <si>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</si>
  <si>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</si>
  <si>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</si>
  <si>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</si>
  <si>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</si>
  <si>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</si>
  <si>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</si>
  <si>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</si>
  <si>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</si>
  <si>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</si>
  <si>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</si>
  <si>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</si>
  <si>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</si>
  <si>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</si>
  <si>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</si>
  <si>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</si>
  <si>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</si>
  <si>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</si>
  <si>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</si>
  <si>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</si>
  <si>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</si>
  <si>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</si>
  <si>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</si>
  <si>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</si>
  <si>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</si>
  <si>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</si>
  <si>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</si>
  <si>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</si>
  <si>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</si>
  <si>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</si>
  <si>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</si>
  <si>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</si>
  <si>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</si>
  <si>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</si>
  <si>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</si>
  <si>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</si>
  <si>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</si>
  <si>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</si>
  <si>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</si>
  <si>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</si>
  <si>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</si>
  <si>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</si>
  <si>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</si>
  <si>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</si>
  <si>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</si>
  <si>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</si>
  <si>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</si>
  <si>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</si>
  <si>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</si>
  <si>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</si>
  <si>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</si>
  <si>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</si>
  <si>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</si>
  <si>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</si>
  <si>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</si>
  <si>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</si>
  <si>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</si>
  <si>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</si>
  <si>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</si>
  <si>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</si>
  <si>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</si>
  <si>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</si>
  <si>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</si>
  <si>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</si>
  <si>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</si>
  <si>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</si>
  <si>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</si>
  <si>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</si>
  <si>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</si>
  <si>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</si>
  <si>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</si>
  <si>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</si>
  <si>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</si>
  <si>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</si>
  <si>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</si>
  <si>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</si>
  <si>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</si>
  <si>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</si>
  <si>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</si>
  <si>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</si>
  <si>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</si>
  <si>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</si>
  <si>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</si>
  <si>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</si>
  <si>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</si>
  <si>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</si>
  <si>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</si>
  <si>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</si>
  <si>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</si>
  <si>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</si>
  <si>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</si>
  <si>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</si>
  <si>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</si>
  <si>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</si>
  <si>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</si>
  <si>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</si>
  <si>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</si>
  <si>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</si>
  <si>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</si>
  <si>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</si>
  <si>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</si>
  <si>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</si>
  <si>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</si>
  <si>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</si>
  <si>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</si>
  <si>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</si>
  <si>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</si>
  <si>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</si>
  <si>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</si>
  <si>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</si>
  <si>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</si>
  <si>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</si>
  <si>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</si>
  <si>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</si>
  <si>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</si>
  <si>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</si>
  <si>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</si>
  <si>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</si>
  <si>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</si>
  <si>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</si>
  <si>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</si>
  <si>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</si>
  <si>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</si>
  <si>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</si>
  <si>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</si>
  <si>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</si>
  <si>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</si>
  <si>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</si>
  <si>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</si>
  <si>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</si>
  <si>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</si>
  <si>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</si>
  <si>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</si>
  <si>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</si>
  <si>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</si>
  <si>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</si>
  <si>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</si>
  <si>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</si>
  <si>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</si>
  <si>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</si>
  <si>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</si>
  <si>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</si>
  <si>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</si>
  <si>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</si>
  <si>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</si>
  <si>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</si>
  <si>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</si>
  <si>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</si>
  <si>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</si>
  <si>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</si>
  <si>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</si>
  <si>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</si>
  <si>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</si>
  <si>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</si>
  <si>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</si>
  <si>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</si>
  <si>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</si>
  <si>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</si>
  <si>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</si>
  <si>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</si>
  <si>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</si>
  <si>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</si>
  <si>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</si>
  <si>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</si>
  <si>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</si>
  <si>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</si>
  <si>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</si>
  <si>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</si>
  <si>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</si>
  <si>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</si>
  <si>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</si>
  <si>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</si>
  <si>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</si>
  <si>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</si>
  <si>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</si>
  <si>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</si>
  <si>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</si>
  <si>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</si>
  <si>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</si>
  <si>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</si>
  <si>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</si>
  <si>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</si>
  <si>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</si>
  <si>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</si>
  <si>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</si>
  <si>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</si>
  <si>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</si>
  <si>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</si>
  <si>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</si>
  <si>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</si>
  <si>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</si>
  <si>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</si>
  <si>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</si>
  <si>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</si>
  <si>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</si>
  <si>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</si>
  <si>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</si>
  <si>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</si>
  <si>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</si>
  <si>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</si>
  <si>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</si>
  <si>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</si>
  <si>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</si>
  <si>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</si>
  <si>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</si>
  <si>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</si>
  <si>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</si>
  <si>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</si>
  <si>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</si>
  <si>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</si>
  <si>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</si>
  <si>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</si>
  <si>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</si>
  <si>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</si>
  <si>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</si>
  <si>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</si>
  <si>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</si>
  <si>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</si>
  <si>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</si>
  <si>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</si>
  <si>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</si>
  <si>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</si>
  <si>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</si>
  <si>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</si>
  <si>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</si>
  <si>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</si>
  <si>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</si>
  <si>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</si>
  <si>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</si>
  <si>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</si>
  <si>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</si>
  <si>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</si>
  <si>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</si>
  <si>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</si>
  <si>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</si>
  <si>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</si>
  <si>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</si>
  <si>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</si>
  <si>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</si>
  <si>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</si>
  <si>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</si>
  <si>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</si>
  <si>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</si>
  <si>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</si>
  <si>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</si>
  <si>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</si>
  <si>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</si>
  <si>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</si>
  <si>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</si>
  <si>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</si>
  <si>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</si>
  <si>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</si>
  <si>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</si>
  <si>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</si>
  <si>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</si>
  <si>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</si>
  <si>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</si>
  <si>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</si>
  <si>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</si>
  <si>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</si>
  <si>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</si>
  <si>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</si>
  <si>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</si>
  <si>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</si>
  <si>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</si>
  <si>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</si>
  <si>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</si>
  <si>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</si>
  <si>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</si>
  <si>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</si>
  <si>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</si>
  <si>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</si>
  <si>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</si>
  <si>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</si>
  <si>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</si>
  <si>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d-puls-ap-sbn</t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</si>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</sst>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8" totalsRowShown="0" headerRowDxfId="33" dataDxfId="32">
  <autoFilter ref="B1:AF58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8"/>
  <sheetViews>
    <sheetView tabSelected="1" topLeftCell="A36" zoomScaleNormal="100" zoomScaleSheetLayoutView="100" workbookViewId="0">
      <selection activeCell="E42" sqref="E42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392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393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27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393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A54" s="43"/>
      <c r="B54" s="1" t="s">
        <v>31</v>
      </c>
      <c r="C54" s="1" t="s">
        <v>394</v>
      </c>
      <c r="D54" s="1" t="s">
        <v>301</v>
      </c>
      <c r="E54" s="1" t="s">
        <v>23</v>
      </c>
      <c r="F54" s="1" t="s">
        <v>395</v>
      </c>
      <c r="G54" s="1" t="s">
        <v>399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377</v>
      </c>
      <c r="N54" s="1" t="s">
        <v>404</v>
      </c>
      <c r="O54" s="1" t="str">
        <f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A55" s="43"/>
      <c r="B55" s="1" t="s">
        <v>31</v>
      </c>
      <c r="C55" s="1" t="s">
        <v>394</v>
      </c>
      <c r="D55" s="1" t="s">
        <v>301</v>
      </c>
      <c r="E55" s="1" t="s">
        <v>23</v>
      </c>
      <c r="F55" s="1" t="s">
        <v>396</v>
      </c>
      <c r="G55" s="1" t="s">
        <v>400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377</v>
      </c>
      <c r="N55" s="1" t="s">
        <v>404</v>
      </c>
      <c r="O55" s="1" t="str">
        <f>SUBSTITUTE(F55,"hazr-","")&amp;"-osdisk"</f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>SUBSTITUTE(F55,"hazr-","")&amp;"-nic"</f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403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A56" s="43"/>
      <c r="B56" s="1" t="s">
        <v>31</v>
      </c>
      <c r="C56" s="1" t="s">
        <v>394</v>
      </c>
      <c r="D56" s="1" t="s">
        <v>301</v>
      </c>
      <c r="E56" s="1" t="s">
        <v>23</v>
      </c>
      <c r="F56" s="1" t="s">
        <v>397</v>
      </c>
      <c r="G56" s="1" t="s">
        <v>401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377</v>
      </c>
      <c r="N56" s="1" t="s">
        <v>404</v>
      </c>
      <c r="O56" s="1" t="str">
        <f>SUBSTITUTE(F56,"hazr-","")&amp;"-osdisk"</f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>SUBSTITUTE(F56,"hazr-","")&amp;"-nic"</f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403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A57" s="43"/>
      <c r="B57" s="1" t="s">
        <v>31</v>
      </c>
      <c r="C57" s="1" t="s">
        <v>394</v>
      </c>
      <c r="D57" s="1" t="s">
        <v>301</v>
      </c>
      <c r="E57" s="1" t="s">
        <v>23</v>
      </c>
      <c r="F57" s="1" t="s">
        <v>398</v>
      </c>
      <c r="G57" s="1" t="s">
        <v>402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377</v>
      </c>
      <c r="N57" s="1" t="s">
        <v>404</v>
      </c>
      <c r="O57" s="1" t="str">
        <f>SUBSTITUTE(F57,"hazr-","")&amp;"-osdisk"</f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>SUBSTITUTE(F57,"hazr-","")&amp;"-nic"</f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  <row r="58" spans="1:32" x14ac:dyDescent="0.3">
      <c r="A58" s="43"/>
      <c r="B58" s="1" t="s">
        <v>405</v>
      </c>
      <c r="C58" s="1" t="str" cm="1">
        <f t="array" ref="C58">UPPER(INDEX(_xlfn.TEXTSPLIT($D58, "-"), 3))</f>
        <v>IF</v>
      </c>
      <c r="D58" s="1" t="s">
        <v>55</v>
      </c>
      <c r="E58" s="1" t="s">
        <v>23</v>
      </c>
      <c r="F58" s="1" t="s">
        <v>406</v>
      </c>
      <c r="G58" s="1" t="s">
        <v>407</v>
      </c>
      <c r="H58" s="10" t="s">
        <v>390</v>
      </c>
      <c r="I58" s="1">
        <v>4</v>
      </c>
      <c r="J58" s="1">
        <v>16</v>
      </c>
      <c r="K58" s="1" t="s">
        <v>302</v>
      </c>
      <c r="L58" s="9" t="s">
        <v>182</v>
      </c>
      <c r="M58" s="9" t="s">
        <v>408</v>
      </c>
      <c r="N58" s="1" t="s">
        <v>409</v>
      </c>
      <c r="O58" s="1" t="str">
        <f>SUBSTITUTE(F58,"hazr-","")&amp;"-osdisk"</f>
        <v>d-if-edmsstr01-osdisk</v>
      </c>
      <c r="P58" s="1">
        <v>64</v>
      </c>
      <c r="Q58" s="1" t="s">
        <v>290</v>
      </c>
      <c r="R58" s="1"/>
      <c r="S58" s="1"/>
      <c r="T58" s="1"/>
      <c r="U58" s="1" t="str">
        <f>SUBSTITUTE(F58,"hazr-","")&amp;"-nic"</f>
        <v>d-if-edmsstr01-nic</v>
      </c>
      <c r="V58" s="1" t="b">
        <v>1</v>
      </c>
      <c r="W58" s="1" t="b">
        <v>1</v>
      </c>
      <c r="X58" s="1" t="s">
        <v>49</v>
      </c>
      <c r="Y58" s="1" t="s">
        <v>410</v>
      </c>
      <c r="Z58" s="1" t="s">
        <v>411</v>
      </c>
      <c r="AA58" s="1" t="b">
        <v>1</v>
      </c>
      <c r="AB58" s="1" t="s">
        <v>49</v>
      </c>
      <c r="AC58" s="1" t="s">
        <v>311</v>
      </c>
      <c r="AD58" s="1">
        <v>1</v>
      </c>
      <c r="AE58" s="1"/>
      <c r="AF58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4"/>
  <sheetViews>
    <sheetView topLeftCell="A31" workbookViewId="0">
      <selection activeCell="A54" sqref="A54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54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54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392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1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3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  <row r="54" spans="1:18" x14ac:dyDescent="0.3">
      <c r="A54" s="43"/>
      <c r="B54" s="16" t="s">
        <v>31</v>
      </c>
      <c r="C54" s="16" t="s">
        <v>298</v>
      </c>
      <c r="D54" s="16" t="s">
        <v>55</v>
      </c>
      <c r="E54" s="16" t="s">
        <v>23</v>
      </c>
      <c r="F54" s="16" t="s">
        <v>412</v>
      </c>
      <c r="G54" s="16" t="str">
        <f t="shared" si="2"/>
        <v>d-if-edmsstr01-disk01</v>
      </c>
      <c r="H54" s="16" t="s">
        <v>290</v>
      </c>
      <c r="I54" s="16">
        <v>64</v>
      </c>
      <c r="J54" s="16" t="str">
        <f t="shared" si="3"/>
        <v>d-if-edmsstr01-disk02</v>
      </c>
      <c r="K54" s="16" t="s">
        <v>290</v>
      </c>
      <c r="L54" s="16">
        <v>64</v>
      </c>
      <c r="M54" s="16">
        <v>1</v>
      </c>
      <c r="N54" s="16" t="s">
        <v>314</v>
      </c>
      <c r="O54" s="16" t="s">
        <v>49</v>
      </c>
      <c r="P54" s="16" t="s">
        <v>311</v>
      </c>
      <c r="Q54" s="16" t="b">
        <v>1</v>
      </c>
      <c r="R54" s="1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5"/>
  <sheetViews>
    <sheetView topLeftCell="A50" zoomScaleNormal="100" workbookViewId="0">
      <selection activeCell="F69" sqref="F69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37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22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37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24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37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22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37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24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37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22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37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22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37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24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37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24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37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22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37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24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37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22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37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24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37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22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37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24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37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22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37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24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37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22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37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24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37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22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37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24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37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22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37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24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37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22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37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24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37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22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37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24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37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22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37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24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37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22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37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24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37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22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37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24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37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22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37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24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37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22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37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24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37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22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37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24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37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22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37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24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37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22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37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24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37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22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37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22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37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22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37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24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37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22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37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37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37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37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37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37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37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37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37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37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37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37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37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37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37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37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37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75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75" si="5">SUBSTITUTE($I65,"hazr-","")&amp;"-nic"</f>
        <v>d-com-esnweb01-nic</v>
      </c>
      <c r="L65" s="33" t="s">
        <v>341</v>
      </c>
    </row>
    <row r="66" spans="1:12" x14ac:dyDescent="0.3">
      <c r="A66" s="37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392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37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37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37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37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A71" s="37"/>
      <c r="B71" s="35" t="s">
        <v>31</v>
      </c>
      <c r="C71" s="35" t="s">
        <v>394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22" t="s">
        <v>395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A72" s="37"/>
      <c r="B72" s="34" t="s">
        <v>31</v>
      </c>
      <c r="C72" s="34" t="s">
        <v>394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24" t="s">
        <v>396</v>
      </c>
      <c r="J72" s="17" t="s">
        <v>301</v>
      </c>
      <c r="K72" s="34" t="str">
        <f t="shared" si="5"/>
        <v>az-d-int-host2-nic</v>
      </c>
      <c r="L72" s="36" t="s">
        <v>341</v>
      </c>
    </row>
    <row r="73" spans="1:12" x14ac:dyDescent="0.3">
      <c r="A73" s="37"/>
      <c r="B73" s="35" t="s">
        <v>31</v>
      </c>
      <c r="C73" s="35" t="s">
        <v>394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22" t="s">
        <v>397</v>
      </c>
      <c r="J73" s="16" t="s">
        <v>301</v>
      </c>
      <c r="K73" s="32" t="str">
        <f t="shared" si="5"/>
        <v>az-d-int-host3-nic</v>
      </c>
      <c r="L73" s="33" t="s">
        <v>341</v>
      </c>
    </row>
    <row r="74" spans="1:12" x14ac:dyDescent="0.3">
      <c r="A74" s="37"/>
      <c r="B74" s="34" t="s">
        <v>31</v>
      </c>
      <c r="C74" s="34" t="s">
        <v>394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24" t="s">
        <v>398</v>
      </c>
      <c r="J74" s="17" t="s">
        <v>301</v>
      </c>
      <c r="K74" s="34" t="str">
        <f t="shared" si="5"/>
        <v>az-d-int-host4-nic</v>
      </c>
      <c r="L74" s="36" t="s">
        <v>341</v>
      </c>
    </row>
    <row r="75" spans="1:12" x14ac:dyDescent="0.3">
      <c r="A75" s="37"/>
      <c r="B75" s="42" t="s">
        <v>405</v>
      </c>
      <c r="C75" s="42" t="s">
        <v>415</v>
      </c>
      <c r="D75" s="39" t="s">
        <v>49</v>
      </c>
      <c r="E75" s="39" t="str">
        <f t="shared" si="4"/>
        <v>d-if-edmsstr01-nsg</v>
      </c>
      <c r="F75" s="39" t="s">
        <v>49</v>
      </c>
      <c r="G75" s="39" t="s">
        <v>57</v>
      </c>
      <c r="H75" s="39" t="s">
        <v>166</v>
      </c>
      <c r="I75" s="38" t="s">
        <v>406</v>
      </c>
      <c r="J75" s="41" t="s">
        <v>414</v>
      </c>
      <c r="K75" s="39" t="str">
        <f t="shared" si="5"/>
        <v>d-if-edmsstr01-nic</v>
      </c>
      <c r="L75" s="40" t="s">
        <v>413</v>
      </c>
    </row>
  </sheetData>
  <phoneticPr fontId="1" type="noConversion"/>
  <conditionalFormatting sqref="E2:E75">
    <cfRule type="duplicateValues" dxfId="0" priority="7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2026-08-21T01:55:08Z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