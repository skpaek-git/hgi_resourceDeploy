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리소스 배포\서버정보\"/>
    </mc:Choice>
  </mc:AlternateContent>
  <xr:revisionPtr revIDLastSave="0" documentId="13_ncr:1_{9E106CEF-E7F6-4E64-9C42-9E1D8F02FA96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VNET" sheetId="4" r:id="rId1"/>
    <sheet name="RG" sheetId="5" r:id="rId2"/>
    <sheet name="VM" sheetId="1" r:id="rId3"/>
    <sheet name="VM_Datadisk" sheetId="14" r:id="rId4"/>
    <sheet name="NSG" sheetId="2" r:id="rId5"/>
    <sheet name="NSG_Rule" sheetId="3" state="hidden" r:id="rId6"/>
    <sheet name="UDR" sheetId="15" r:id="rId7"/>
    <sheet name="LB" sheetId="6" r:id="rId8"/>
    <sheet name="LB_Probe" sheetId="10" r:id="rId9"/>
    <sheet name="LB_Rule" sheetId="11" r:id="rId10"/>
  </sheets>
  <definedNames>
    <definedName name="_xlnm._FilterDatabase" localSheetId="7" hidden="1">LB!$B$1:$Q$42</definedName>
    <definedName name="_xlnm._FilterDatabase" localSheetId="8" hidden="1">LB_Probe!$B$1:$K$62</definedName>
    <definedName name="_xlnm._FilterDatabase" localSheetId="9" hidden="1">LB_Rule!$B$1:$S$62</definedName>
    <definedName name="_xlnm._FilterDatabase" localSheetId="4" hidden="1">NSG!$B$1:$M$161</definedName>
    <definedName name="_xlnm._FilterDatabase" localSheetId="3" hidden="1">VM_Datadisk!$B$1:$R$156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2" i="14" l="1" a="1"/>
  <c r="C152" i="14" s="1"/>
  <c r="C153" i="14" a="1"/>
  <c r="C153" i="14" s="1"/>
  <c r="C154" i="14" a="1"/>
  <c r="C154" i="14" s="1"/>
  <c r="C8" i="14" a="1"/>
  <c r="C8" i="14" s="1"/>
  <c r="C9" i="14" a="1"/>
  <c r="C9" i="14" s="1"/>
  <c r="C10" i="14" a="1"/>
  <c r="C10" i="14" s="1"/>
  <c r="C11" i="14" a="1"/>
  <c r="C11" i="14"/>
  <c r="C12" i="14" a="1"/>
  <c r="C12" i="14" s="1"/>
  <c r="C13" i="14" a="1"/>
  <c r="C13" i="14" s="1"/>
  <c r="C14" i="14" a="1"/>
  <c r="C14" i="14" s="1"/>
  <c r="C15" i="14" a="1"/>
  <c r="C15" i="14" s="1"/>
  <c r="C16" i="14" a="1"/>
  <c r="C16" i="14" s="1"/>
  <c r="C17" i="14" a="1"/>
  <c r="C17" i="14" s="1"/>
  <c r="C18" i="14" a="1"/>
  <c r="C18" i="14" s="1"/>
  <c r="C19" i="14" a="1"/>
  <c r="C19" i="14" s="1"/>
  <c r="C20" i="14" a="1"/>
  <c r="C20" i="14" s="1"/>
  <c r="C21" i="14" a="1"/>
  <c r="C21" i="14" s="1"/>
  <c r="C22" i="14" a="1"/>
  <c r="C22" i="14" s="1"/>
  <c r="C23" i="14" a="1"/>
  <c r="C23" i="14" s="1"/>
  <c r="C24" i="14" a="1"/>
  <c r="C24" i="14" s="1"/>
  <c r="C25" i="14" a="1"/>
  <c r="C25" i="14" s="1"/>
  <c r="C26" i="14" a="1"/>
  <c r="C26" i="14" s="1"/>
  <c r="C27" i="14" a="1"/>
  <c r="C27" i="14" s="1"/>
  <c r="C28" i="14" a="1"/>
  <c r="C28" i="14" s="1"/>
  <c r="C29" i="14" a="1"/>
  <c r="C29" i="14" s="1"/>
  <c r="C30" i="14" a="1"/>
  <c r="C30" i="14" s="1"/>
  <c r="C31" i="14" a="1"/>
  <c r="C31" i="14" s="1"/>
  <c r="C32" i="14" a="1"/>
  <c r="C32" i="14" s="1"/>
  <c r="C33" i="14" a="1"/>
  <c r="C33" i="14" s="1"/>
  <c r="C34" i="14" a="1"/>
  <c r="C34" i="14" s="1"/>
  <c r="C35" i="14" a="1"/>
  <c r="C35" i="14" s="1"/>
  <c r="C36" i="14" a="1"/>
  <c r="C36" i="14" s="1"/>
  <c r="C37" i="14" a="1"/>
  <c r="C37" i="14" s="1"/>
  <c r="C38" i="14" a="1"/>
  <c r="C38" i="14" s="1"/>
  <c r="C39" i="14" a="1"/>
  <c r="C39" i="14" s="1"/>
  <c r="C40" i="14" a="1"/>
  <c r="C40" i="14" s="1"/>
  <c r="C41" i="14" a="1"/>
  <c r="C41" i="14" s="1"/>
  <c r="C42" i="14" a="1"/>
  <c r="C42" i="14" s="1"/>
  <c r="C43" i="14" a="1"/>
  <c r="C43" i="14" s="1"/>
  <c r="C44" i="14" a="1"/>
  <c r="C44" i="14" s="1"/>
  <c r="C45" i="14" a="1"/>
  <c r="C45" i="14" s="1"/>
  <c r="C46" i="14" a="1"/>
  <c r="C46" i="14" s="1"/>
  <c r="C47" i="14" a="1"/>
  <c r="C47" i="14" s="1"/>
  <c r="C48" i="14" a="1"/>
  <c r="C48" i="14" s="1"/>
  <c r="C49" i="14" a="1"/>
  <c r="C49" i="14" s="1"/>
  <c r="C50" i="14" a="1"/>
  <c r="C50" i="14" s="1"/>
  <c r="C51" i="14" a="1"/>
  <c r="C51" i="14" s="1"/>
  <c r="C52" i="14" a="1"/>
  <c r="C52" i="14" s="1"/>
  <c r="C53" i="14" a="1"/>
  <c r="C53" i="14" s="1"/>
  <c r="C54" i="14" a="1"/>
  <c r="C54" i="14" s="1"/>
  <c r="C55" i="14" a="1"/>
  <c r="C55" i="14" s="1"/>
  <c r="C56" i="14" a="1"/>
  <c r="C56" i="14" s="1"/>
  <c r="C57" i="14" a="1"/>
  <c r="C57" i="14" s="1"/>
  <c r="C58" i="14" a="1"/>
  <c r="C58" i="14" s="1"/>
  <c r="C59" i="14" a="1"/>
  <c r="C59" i="14" s="1"/>
  <c r="C60" i="14" a="1"/>
  <c r="C60" i="14" s="1"/>
  <c r="C61" i="14" a="1"/>
  <c r="C61" i="14" s="1"/>
  <c r="C62" i="14" a="1"/>
  <c r="C62" i="14" s="1"/>
  <c r="C63" i="14" a="1"/>
  <c r="C63" i="14" s="1"/>
  <c r="C64" i="14" a="1"/>
  <c r="C64" i="14" s="1"/>
  <c r="C65" i="14" a="1"/>
  <c r="C65" i="14" s="1"/>
  <c r="C66" i="14" a="1"/>
  <c r="C66" i="14" s="1"/>
  <c r="C67" i="14" a="1"/>
  <c r="C67" i="14" s="1"/>
  <c r="C68" i="14" a="1"/>
  <c r="C68" i="14" s="1"/>
  <c r="C69" i="14" a="1"/>
  <c r="C69" i="14" s="1"/>
  <c r="C70" i="14" a="1"/>
  <c r="C70" i="14" s="1"/>
  <c r="C71" i="14" a="1"/>
  <c r="C71" i="14" s="1"/>
  <c r="C72" i="14" a="1"/>
  <c r="C72" i="14" s="1"/>
  <c r="C73" i="14" a="1"/>
  <c r="C73" i="14" s="1"/>
  <c r="C74" i="14" a="1"/>
  <c r="C74" i="14" s="1"/>
  <c r="C75" i="14" a="1"/>
  <c r="C75" i="14"/>
  <c r="C76" i="14" a="1"/>
  <c r="C76" i="14" s="1"/>
  <c r="C77" i="14" a="1"/>
  <c r="C77" i="14" s="1"/>
  <c r="C78" i="14" a="1"/>
  <c r="C78" i="14" s="1"/>
  <c r="C79" i="14" a="1"/>
  <c r="C79" i="14" s="1"/>
  <c r="C80" i="14" a="1"/>
  <c r="C80" i="14" s="1"/>
  <c r="C81" i="14" a="1"/>
  <c r="C81" i="14" s="1"/>
  <c r="C82" i="14" a="1"/>
  <c r="C82" i="14" s="1"/>
  <c r="C83" i="14" a="1"/>
  <c r="C83" i="14" s="1"/>
  <c r="C84" i="14" a="1"/>
  <c r="C84" i="14" s="1"/>
  <c r="C85" i="14" a="1"/>
  <c r="C85" i="14" s="1"/>
  <c r="C86" i="14" a="1"/>
  <c r="C86" i="14" s="1"/>
  <c r="C87" i="14" a="1"/>
  <c r="C87" i="14" s="1"/>
  <c r="C88" i="14" a="1"/>
  <c r="C88" i="14" s="1"/>
  <c r="C89" i="14" a="1"/>
  <c r="C89" i="14" s="1"/>
  <c r="C90" i="14" a="1"/>
  <c r="C90" i="14" s="1"/>
  <c r="C91" i="14" a="1"/>
  <c r="C91" i="14" s="1"/>
  <c r="C92" i="14" a="1"/>
  <c r="C92" i="14" s="1"/>
  <c r="C93" i="14" a="1"/>
  <c r="C93" i="14" s="1"/>
  <c r="C94" i="14" a="1"/>
  <c r="C94" i="14" s="1"/>
  <c r="C95" i="14" a="1"/>
  <c r="C95" i="14" s="1"/>
  <c r="C96" i="14" a="1"/>
  <c r="C96" i="14" s="1"/>
  <c r="C97" i="14" a="1"/>
  <c r="C97" i="14" s="1"/>
  <c r="C98" i="14" a="1"/>
  <c r="C98" i="14" s="1"/>
  <c r="C99" i="14" a="1"/>
  <c r="C99" i="14" s="1"/>
  <c r="C100" i="14" a="1"/>
  <c r="C100" i="14" s="1"/>
  <c r="C101" i="14" a="1"/>
  <c r="C101" i="14" s="1"/>
  <c r="C102" i="14" a="1"/>
  <c r="C102" i="14" s="1"/>
  <c r="C103" i="14" a="1"/>
  <c r="C103" i="14" s="1"/>
  <c r="C104" i="14" a="1"/>
  <c r="C104" i="14" s="1"/>
  <c r="C105" i="14" a="1"/>
  <c r="C105" i="14" s="1"/>
  <c r="C106" i="14" a="1"/>
  <c r="C106" i="14" s="1"/>
  <c r="C107" i="14" a="1"/>
  <c r="C107" i="14"/>
  <c r="C108" i="14" a="1"/>
  <c r="C108" i="14" s="1"/>
  <c r="C109" i="14" a="1"/>
  <c r="C109" i="14" s="1"/>
  <c r="C110" i="14" a="1"/>
  <c r="C110" i="14" s="1"/>
  <c r="C111" i="14" a="1"/>
  <c r="C111" i="14" s="1"/>
  <c r="C112" i="14" a="1"/>
  <c r="C112" i="14" s="1"/>
  <c r="C113" i="14" a="1"/>
  <c r="C113" i="14" s="1"/>
  <c r="C114" i="14" a="1"/>
  <c r="C114" i="14" s="1"/>
  <c r="C115" i="14" a="1"/>
  <c r="C115" i="14" s="1"/>
  <c r="C116" i="14" a="1"/>
  <c r="C116" i="14" s="1"/>
  <c r="C117" i="14" a="1"/>
  <c r="C117" i="14" s="1"/>
  <c r="C118" i="14" a="1"/>
  <c r="C118" i="14" s="1"/>
  <c r="C119" i="14" a="1"/>
  <c r="C119" i="14" s="1"/>
  <c r="C120" i="14" a="1"/>
  <c r="C120" i="14" s="1"/>
  <c r="C121" i="14" a="1"/>
  <c r="C121" i="14" s="1"/>
  <c r="C122" i="14" a="1"/>
  <c r="C122" i="14" s="1"/>
  <c r="C123" i="14" a="1"/>
  <c r="C123" i="14" s="1"/>
  <c r="C124" i="14" a="1"/>
  <c r="C124" i="14" s="1"/>
  <c r="C125" i="14" a="1"/>
  <c r="C125" i="14" s="1"/>
  <c r="C126" i="14" a="1"/>
  <c r="C126" i="14" s="1"/>
  <c r="C127" i="14" a="1"/>
  <c r="C127" i="14" s="1"/>
  <c r="C128" i="14" a="1"/>
  <c r="C128" i="14" s="1"/>
  <c r="C129" i="14" a="1"/>
  <c r="C129" i="14" s="1"/>
  <c r="C130" i="14" a="1"/>
  <c r="C130" i="14" s="1"/>
  <c r="C131" i="14" a="1"/>
  <c r="C131" i="14"/>
  <c r="C132" i="14" a="1"/>
  <c r="C132" i="14" s="1"/>
  <c r="C133" i="14" a="1"/>
  <c r="C133" i="14" s="1"/>
  <c r="C134" i="14" a="1"/>
  <c r="C134" i="14" s="1"/>
  <c r="C135" i="14" a="1"/>
  <c r="C135" i="14" s="1"/>
  <c r="C136" i="14" a="1"/>
  <c r="C136" i="14" s="1"/>
  <c r="C137" i="14" a="1"/>
  <c r="C137" i="14" s="1"/>
  <c r="C138" i="14" a="1"/>
  <c r="C138" i="14" s="1"/>
  <c r="C139" i="14" a="1"/>
  <c r="C139" i="14"/>
  <c r="C140" i="14" a="1"/>
  <c r="C140" i="14" s="1"/>
  <c r="C141" i="14" a="1"/>
  <c r="C141" i="14" s="1"/>
  <c r="C142" i="14" a="1"/>
  <c r="C142" i="14" s="1"/>
  <c r="C143" i="14" a="1"/>
  <c r="C143" i="14" s="1"/>
  <c r="C144" i="14" a="1"/>
  <c r="C144" i="14" s="1"/>
  <c r="C145" i="14" a="1"/>
  <c r="C145" i="14" s="1"/>
  <c r="C146" i="14" a="1"/>
  <c r="C146" i="14" s="1"/>
  <c r="C147" i="14" a="1"/>
  <c r="C147" i="14" s="1"/>
  <c r="C148" i="14" a="1"/>
  <c r="C148" i="14" s="1"/>
  <c r="C149" i="14" a="1"/>
  <c r="C149" i="14" s="1"/>
  <c r="C150" i="14" a="1"/>
  <c r="C150" i="14" s="1"/>
  <c r="C151" i="14" a="1"/>
  <c r="C151" i="14" s="1"/>
  <c r="C155" i="14" a="1"/>
  <c r="C155" i="14" s="1"/>
  <c r="C156" i="14" a="1"/>
  <c r="C156" i="14" s="1"/>
  <c r="C2" i="1" a="1"/>
  <c r="C2" i="1" s="1"/>
  <c r="C3" i="1" a="1"/>
  <c r="C3" i="1" s="1"/>
  <c r="C4" i="1" a="1"/>
  <c r="C4" i="1" s="1"/>
  <c r="C5" i="1" a="1"/>
  <c r="C5" i="1"/>
  <c r="C6" i="1" a="1"/>
  <c r="C6" i="1" s="1"/>
  <c r="C7" i="1" a="1"/>
  <c r="C7" i="1" s="1"/>
  <c r="C8" i="1" a="1"/>
  <c r="C8" i="1" s="1"/>
  <c r="C9" i="1" a="1"/>
  <c r="C9" i="1"/>
  <c r="C10" i="1" a="1"/>
  <c r="C10" i="1" s="1"/>
  <c r="C11" i="1" a="1"/>
  <c r="C11" i="1" s="1"/>
  <c r="C12" i="1" a="1"/>
  <c r="C12" i="1" s="1"/>
  <c r="C13" i="1" a="1"/>
  <c r="C13" i="1"/>
  <c r="C14" i="1" a="1"/>
  <c r="C14" i="1" s="1"/>
  <c r="C15" i="1" a="1"/>
  <c r="C15" i="1" s="1"/>
  <c r="C16" i="1" a="1"/>
  <c r="C16" i="1" s="1"/>
  <c r="C17" i="1" a="1"/>
  <c r="C17" i="1"/>
  <c r="C18" i="1" a="1"/>
  <c r="C18" i="1" s="1"/>
  <c r="C19" i="1" a="1"/>
  <c r="C19" i="1" s="1"/>
  <c r="C20" i="1" a="1"/>
  <c r="C20" i="1" s="1"/>
  <c r="C21" i="1" a="1"/>
  <c r="C21" i="1"/>
  <c r="C22" i="1" a="1"/>
  <c r="C22" i="1" s="1"/>
  <c r="C23" i="1" a="1"/>
  <c r="C23" i="1" s="1"/>
  <c r="C24" i="1" a="1"/>
  <c r="C24" i="1" s="1"/>
  <c r="C25" i="1" a="1"/>
  <c r="C25" i="1"/>
  <c r="C26" i="1" a="1"/>
  <c r="C26" i="1" s="1"/>
  <c r="C27" i="1" a="1"/>
  <c r="C27" i="1" s="1"/>
  <c r="C28" i="1" a="1"/>
  <c r="C28" i="1" s="1"/>
  <c r="C29" i="1" a="1"/>
  <c r="C29" i="1"/>
  <c r="C30" i="1" a="1"/>
  <c r="C30" i="1" s="1"/>
  <c r="C31" i="1" a="1"/>
  <c r="C31" i="1" s="1"/>
  <c r="C32" i="1" a="1"/>
  <c r="C32" i="1" s="1"/>
  <c r="C33" i="1" a="1"/>
  <c r="C33" i="1"/>
  <c r="C34" i="1" a="1"/>
  <c r="C34" i="1" s="1"/>
  <c r="C35" i="1" a="1"/>
  <c r="C35" i="1" s="1"/>
  <c r="C36" i="1" a="1"/>
  <c r="C36" i="1" s="1"/>
  <c r="C37" i="1" a="1"/>
  <c r="C37" i="1"/>
  <c r="C38" i="1" a="1"/>
  <c r="C38" i="1" s="1"/>
  <c r="C39" i="1" a="1"/>
  <c r="C39" i="1" s="1"/>
  <c r="C40" i="1" a="1"/>
  <c r="C40" i="1" s="1"/>
  <c r="C41" i="1" a="1"/>
  <c r="C41" i="1"/>
  <c r="C42" i="1" a="1"/>
  <c r="C42" i="1" s="1"/>
  <c r="C43" i="1" a="1"/>
  <c r="C43" i="1" s="1"/>
  <c r="C44" i="1" a="1"/>
  <c r="C44" i="1" s="1"/>
  <c r="C45" i="1" a="1"/>
  <c r="C45" i="1"/>
  <c r="C46" i="1" a="1"/>
  <c r="C46" i="1" s="1"/>
  <c r="C47" i="1" a="1"/>
  <c r="C47" i="1" s="1"/>
  <c r="C48" i="1" a="1"/>
  <c r="C48" i="1" s="1"/>
  <c r="C49" i="1" a="1"/>
  <c r="C49" i="1"/>
  <c r="C50" i="1" a="1"/>
  <c r="C50" i="1" s="1"/>
  <c r="C51" i="1" a="1"/>
  <c r="C51" i="1" s="1"/>
  <c r="C52" i="1" a="1"/>
  <c r="C52" i="1" s="1"/>
  <c r="C53" i="1" a="1"/>
  <c r="C53" i="1"/>
  <c r="C54" i="1" a="1"/>
  <c r="C54" i="1" s="1"/>
  <c r="C55" i="1" a="1"/>
  <c r="C55" i="1" s="1"/>
  <c r="C56" i="1" a="1"/>
  <c r="C56" i="1" s="1"/>
  <c r="C57" i="1" a="1"/>
  <c r="C57" i="1"/>
  <c r="C58" i="1" a="1"/>
  <c r="C58" i="1" s="1"/>
  <c r="C59" i="1" a="1"/>
  <c r="C59" i="1" s="1"/>
  <c r="C60" i="1" a="1"/>
  <c r="C60" i="1" s="1"/>
  <c r="C61" i="1" a="1"/>
  <c r="C61" i="1"/>
  <c r="C62" i="1" a="1"/>
  <c r="C62" i="1" s="1"/>
  <c r="C63" i="1" a="1"/>
  <c r="C63" i="1" s="1"/>
  <c r="C64" i="1" a="1"/>
  <c r="C64" i="1" s="1"/>
  <c r="C65" i="1" a="1"/>
  <c r="C65" i="1"/>
  <c r="C66" i="1" a="1"/>
  <c r="C66" i="1" s="1"/>
  <c r="C67" i="1" a="1"/>
  <c r="C67" i="1" s="1"/>
  <c r="C68" i="1" a="1"/>
  <c r="C68" i="1" s="1"/>
  <c r="C69" i="1" a="1"/>
  <c r="C69" i="1"/>
  <c r="C70" i="1" a="1"/>
  <c r="C70" i="1" s="1"/>
  <c r="C71" i="1" a="1"/>
  <c r="C71" i="1" s="1"/>
  <c r="C72" i="1" a="1"/>
  <c r="C72" i="1" s="1"/>
  <c r="C73" i="1" a="1"/>
  <c r="C73" i="1"/>
  <c r="C74" i="1" a="1"/>
  <c r="C74" i="1" s="1"/>
  <c r="C75" i="1" a="1"/>
  <c r="C75" i="1" s="1"/>
  <c r="C76" i="1" a="1"/>
  <c r="C76" i="1" s="1"/>
  <c r="C77" i="1" a="1"/>
  <c r="C77" i="1"/>
  <c r="C78" i="1" a="1"/>
  <c r="C78" i="1" s="1"/>
  <c r="C79" i="1" a="1"/>
  <c r="C79" i="1" s="1"/>
  <c r="C80" i="1" a="1"/>
  <c r="C80" i="1" s="1"/>
  <c r="C81" i="1" a="1"/>
  <c r="C81" i="1"/>
  <c r="C82" i="1" a="1"/>
  <c r="C82" i="1" s="1"/>
  <c r="C83" i="1" a="1"/>
  <c r="C83" i="1" s="1"/>
  <c r="C84" i="1" a="1"/>
  <c r="C84" i="1" s="1"/>
  <c r="C85" i="1" a="1"/>
  <c r="C85" i="1"/>
  <c r="C86" i="1" a="1"/>
  <c r="C86" i="1" s="1"/>
  <c r="C87" i="1" a="1"/>
  <c r="C87" i="1" s="1"/>
  <c r="C88" i="1" a="1"/>
  <c r="C88" i="1" s="1"/>
  <c r="C89" i="1" a="1"/>
  <c r="C89" i="1"/>
  <c r="C90" i="1" a="1"/>
  <c r="C90" i="1" s="1"/>
  <c r="C91" i="1" a="1"/>
  <c r="C91" i="1" s="1"/>
  <c r="C92" i="1" a="1"/>
  <c r="C92" i="1" s="1"/>
  <c r="C93" i="1" a="1"/>
  <c r="C93" i="1"/>
  <c r="C94" i="1" a="1"/>
  <c r="C94" i="1" s="1"/>
  <c r="C95" i="1" a="1"/>
  <c r="C95" i="1" s="1"/>
  <c r="C96" i="1" a="1"/>
  <c r="C96" i="1" s="1"/>
  <c r="C97" i="1" a="1"/>
  <c r="C97" i="1"/>
  <c r="C98" i="1" a="1"/>
  <c r="C98" i="1" s="1"/>
  <c r="C99" i="1" a="1"/>
  <c r="C99" i="1" s="1"/>
  <c r="C100" i="1" a="1"/>
  <c r="C100" i="1" s="1"/>
  <c r="C101" i="1" a="1"/>
  <c r="C101" i="1"/>
  <c r="C102" i="1" a="1"/>
  <c r="C102" i="1" s="1"/>
  <c r="C103" i="1" a="1"/>
  <c r="C103" i="1" s="1"/>
  <c r="C104" i="1" a="1"/>
  <c r="C104" i="1" s="1"/>
  <c r="C105" i="1" a="1"/>
  <c r="C105" i="1"/>
  <c r="C106" i="1" a="1"/>
  <c r="C106" i="1" s="1"/>
  <c r="C107" i="1" a="1"/>
  <c r="C107" i="1" s="1"/>
  <c r="C108" i="1" a="1"/>
  <c r="C108" i="1" s="1"/>
  <c r="C109" i="1" a="1"/>
  <c r="C109" i="1"/>
  <c r="C110" i="1" a="1"/>
  <c r="C110" i="1" s="1"/>
  <c r="C111" i="1" a="1"/>
  <c r="C111" i="1" s="1"/>
  <c r="C112" i="1" a="1"/>
  <c r="C112" i="1" s="1"/>
  <c r="C113" i="1" a="1"/>
  <c r="C113" i="1"/>
  <c r="C114" i="1" a="1"/>
  <c r="C114" i="1" s="1"/>
  <c r="C115" i="1" a="1"/>
  <c r="C115" i="1" s="1"/>
  <c r="C116" i="1" a="1"/>
  <c r="C116" i="1" s="1"/>
  <c r="C117" i="1" a="1"/>
  <c r="C117" i="1"/>
  <c r="C118" i="1" a="1"/>
  <c r="C118" i="1" s="1"/>
  <c r="C119" i="1" a="1"/>
  <c r="C119" i="1" s="1"/>
  <c r="C120" i="1" a="1"/>
  <c r="C120" i="1" s="1"/>
  <c r="C121" i="1" a="1"/>
  <c r="C121" i="1"/>
  <c r="C122" i="1" a="1"/>
  <c r="C122" i="1" s="1"/>
  <c r="C123" i="1" a="1"/>
  <c r="C123" i="1" s="1"/>
  <c r="C124" i="1" a="1"/>
  <c r="C124" i="1" s="1"/>
  <c r="C125" i="1" a="1"/>
  <c r="C125" i="1"/>
  <c r="C126" i="1" a="1"/>
  <c r="C126" i="1" s="1"/>
  <c r="C127" i="1" a="1"/>
  <c r="C127" i="1" s="1"/>
  <c r="C128" i="1" a="1"/>
  <c r="C128" i="1" s="1"/>
  <c r="C129" i="1" a="1"/>
  <c r="C129" i="1"/>
  <c r="C130" i="1" a="1"/>
  <c r="C130" i="1" s="1"/>
  <c r="C131" i="1" a="1"/>
  <c r="C131" i="1" s="1"/>
  <c r="C132" i="1" a="1"/>
  <c r="C132" i="1" s="1"/>
  <c r="C133" i="1" a="1"/>
  <c r="C133" i="1"/>
  <c r="C134" i="1" a="1"/>
  <c r="C134" i="1" s="1"/>
  <c r="C135" i="1" a="1"/>
  <c r="C135" i="1" s="1"/>
  <c r="C136" i="1" a="1"/>
  <c r="C136" i="1" s="1"/>
  <c r="C137" i="1" a="1"/>
  <c r="C137" i="1"/>
  <c r="C138" i="1" a="1"/>
  <c r="C138" i="1" s="1"/>
  <c r="C139" i="1" a="1"/>
  <c r="C139" i="1" s="1"/>
  <c r="C140" i="1" a="1"/>
  <c r="C140" i="1" s="1"/>
  <c r="C141" i="1" a="1"/>
  <c r="C141" i="1"/>
  <c r="C143" i="1" a="1"/>
  <c r="C143" i="1" s="1"/>
  <c r="C142" i="1" a="1"/>
  <c r="C142" i="1" s="1"/>
  <c r="K161" i="2"/>
  <c r="E161" i="2"/>
  <c r="C161" i="2" s="1" a="1"/>
  <c r="C161" i="2" s="1"/>
  <c r="U143" i="1"/>
  <c r="O143" i="1"/>
  <c r="K160" i="2"/>
  <c r="K159" i="2"/>
  <c r="E160" i="2"/>
  <c r="C160" i="2" s="1" a="1"/>
  <c r="C160" i="2" s="1"/>
  <c r="E159" i="2"/>
  <c r="C159" i="2" s="1" a="1"/>
  <c r="C159" i="2" s="1"/>
  <c r="O142" i="1"/>
  <c r="U142" i="1"/>
  <c r="O141" i="1"/>
  <c r="U141" i="1"/>
  <c r="C31" i="11" a="1"/>
  <c r="C31" i="11" s="1"/>
  <c r="C32" i="11" a="1"/>
  <c r="C32" i="11" s="1"/>
  <c r="C33" i="11" a="1"/>
  <c r="C33" i="11" s="1"/>
  <c r="C34" i="11" a="1"/>
  <c r="C34" i="11" s="1"/>
  <c r="C35" i="11" a="1"/>
  <c r="C35" i="11" s="1"/>
  <c r="C36" i="11" a="1"/>
  <c r="C36" i="11" s="1"/>
  <c r="C37" i="11" a="1"/>
  <c r="C37" i="11" s="1"/>
  <c r="C38" i="11" a="1"/>
  <c r="C38" i="11" s="1"/>
  <c r="C39" i="11" a="1"/>
  <c r="C39" i="11" s="1"/>
  <c r="C40" i="11" a="1"/>
  <c r="C40" i="11" s="1"/>
  <c r="C41" i="11" a="1"/>
  <c r="C41" i="11"/>
  <c r="C42" i="11" a="1"/>
  <c r="C42" i="11" s="1"/>
  <c r="C43" i="11" a="1"/>
  <c r="C43" i="11" s="1"/>
  <c r="C44" i="11" a="1"/>
  <c r="C44" i="11" s="1"/>
  <c r="C45" i="11" a="1"/>
  <c r="C45" i="11" s="1"/>
  <c r="C46" i="11" a="1"/>
  <c r="C46" i="11" s="1"/>
  <c r="C47" i="11" a="1"/>
  <c r="C47" i="11" s="1"/>
  <c r="C48" i="11" a="1"/>
  <c r="C48" i="11" s="1"/>
  <c r="C49" i="11" a="1"/>
  <c r="C49" i="11" s="1"/>
  <c r="C50" i="11" a="1"/>
  <c r="C50" i="11" s="1"/>
  <c r="C51" i="11" a="1"/>
  <c r="C51" i="11" s="1"/>
  <c r="C52" i="11" a="1"/>
  <c r="C52" i="11" s="1"/>
  <c r="C59" i="11" a="1"/>
  <c r="C59" i="11" s="1"/>
  <c r="C60" i="11" a="1"/>
  <c r="C60" i="11" s="1"/>
  <c r="C61" i="11" a="1"/>
  <c r="C61" i="11" s="1"/>
  <c r="C62" i="11" a="1"/>
  <c r="C62" i="11" s="1"/>
  <c r="C2" i="11" a="1"/>
  <c r="C2" i="11" s="1"/>
  <c r="C3" i="11" a="1"/>
  <c r="C3" i="11" s="1"/>
  <c r="C4" i="11" a="1"/>
  <c r="C4" i="11" s="1"/>
  <c r="C5" i="11" a="1"/>
  <c r="C5" i="11" s="1"/>
  <c r="C6" i="11" a="1"/>
  <c r="C6" i="11" s="1"/>
  <c r="C7" i="11" a="1"/>
  <c r="C7" i="11" s="1"/>
  <c r="C8" i="11" a="1"/>
  <c r="C8" i="11" s="1"/>
  <c r="C9" i="11" a="1"/>
  <c r="C9" i="11" s="1"/>
  <c r="C10" i="11" a="1"/>
  <c r="C10" i="11" s="1"/>
  <c r="C11" i="11" a="1"/>
  <c r="C11" i="11" s="1"/>
  <c r="C12" i="11" a="1"/>
  <c r="C12" i="11" s="1"/>
  <c r="C13" i="11" a="1"/>
  <c r="C13" i="11" s="1"/>
  <c r="C14" i="11" a="1"/>
  <c r="C14" i="11" s="1"/>
  <c r="C15" i="11" a="1"/>
  <c r="C15" i="11" s="1"/>
  <c r="C16" i="11" a="1"/>
  <c r="C16" i="11" s="1"/>
  <c r="C17" i="11" a="1"/>
  <c r="C17" i="11" s="1"/>
  <c r="C18" i="11" a="1"/>
  <c r="C18" i="11" s="1"/>
  <c r="C19" i="11" a="1"/>
  <c r="C19" i="11" s="1"/>
  <c r="C20" i="11" a="1"/>
  <c r="C20" i="11" s="1"/>
  <c r="C21" i="11" a="1"/>
  <c r="C21" i="11" s="1"/>
  <c r="C22" i="11" a="1"/>
  <c r="C22" i="11" s="1"/>
  <c r="C23" i="11" a="1"/>
  <c r="C23" i="11" s="1"/>
  <c r="C24" i="11" a="1"/>
  <c r="C24" i="11" s="1"/>
  <c r="C2" i="10" a="1"/>
  <c r="C2" i="10" s="1"/>
  <c r="C3" i="10" a="1"/>
  <c r="C3" i="10" s="1"/>
  <c r="C4" i="10" a="1"/>
  <c r="C4" i="10" s="1"/>
  <c r="C5" i="10" a="1"/>
  <c r="C5" i="10" s="1"/>
  <c r="C6" i="10" a="1"/>
  <c r="C6" i="10" s="1"/>
  <c r="C7" i="10" a="1"/>
  <c r="C7" i="10" s="1"/>
  <c r="C8" i="10" a="1"/>
  <c r="C8" i="10"/>
  <c r="C9" i="10" a="1"/>
  <c r="C9" i="10" s="1"/>
  <c r="C10" i="10" a="1"/>
  <c r="C10" i="10" s="1"/>
  <c r="C11" i="10" a="1"/>
  <c r="C11" i="10" s="1"/>
  <c r="C12" i="10" a="1"/>
  <c r="C12" i="10" s="1"/>
  <c r="C13" i="10" a="1"/>
  <c r="C13" i="10" s="1"/>
  <c r="C14" i="10" a="1"/>
  <c r="C14" i="10" s="1"/>
  <c r="C15" i="10" a="1"/>
  <c r="C15" i="10" s="1"/>
  <c r="C16" i="10" a="1"/>
  <c r="C16" i="10" s="1"/>
  <c r="C17" i="10" a="1"/>
  <c r="C17" i="10" s="1"/>
  <c r="C18" i="10" a="1"/>
  <c r="C18" i="10" s="1"/>
  <c r="C19" i="10" a="1"/>
  <c r="C19" i="10" s="1"/>
  <c r="C20" i="10" a="1"/>
  <c r="C20" i="10" s="1"/>
  <c r="C21" i="10" a="1"/>
  <c r="C21" i="10" s="1"/>
  <c r="C22" i="10" a="1"/>
  <c r="C22" i="10" s="1"/>
  <c r="C23" i="10" a="1"/>
  <c r="C23" i="10" s="1"/>
  <c r="C24" i="10" a="1"/>
  <c r="C24" i="10" s="1"/>
  <c r="C31" i="10" a="1"/>
  <c r="C31" i="10" s="1"/>
  <c r="C32" i="10" a="1"/>
  <c r="C32" i="10" s="1"/>
  <c r="C33" i="10" a="1"/>
  <c r="C33" i="10" s="1"/>
  <c r="C34" i="10" a="1"/>
  <c r="C34" i="10" s="1"/>
  <c r="C35" i="10" a="1"/>
  <c r="C35" i="10" s="1"/>
  <c r="C36" i="10" a="1"/>
  <c r="C36" i="10" s="1"/>
  <c r="C37" i="10" a="1"/>
  <c r="C37" i="10" s="1"/>
  <c r="C38" i="10" a="1"/>
  <c r="C38" i="10" s="1"/>
  <c r="C39" i="10" a="1"/>
  <c r="C39" i="10" s="1"/>
  <c r="C40" i="10" a="1"/>
  <c r="C40" i="10" s="1"/>
  <c r="C41" i="10" a="1"/>
  <c r="C41" i="10" s="1"/>
  <c r="C42" i="10" a="1"/>
  <c r="C42" i="10"/>
  <c r="C43" i="10" a="1"/>
  <c r="C43" i="10" s="1"/>
  <c r="C44" i="10" a="1"/>
  <c r="C44" i="10" s="1"/>
  <c r="C45" i="10" a="1"/>
  <c r="C45" i="10" s="1"/>
  <c r="C46" i="10" a="1"/>
  <c r="C46" i="10" s="1"/>
  <c r="C47" i="10" a="1"/>
  <c r="C47" i="10" s="1"/>
  <c r="C48" i="10" a="1"/>
  <c r="C48" i="10" s="1"/>
  <c r="C49" i="10" a="1"/>
  <c r="C49" i="10" s="1"/>
  <c r="C50" i="10" a="1"/>
  <c r="C50" i="10" s="1"/>
  <c r="C51" i="10" a="1"/>
  <c r="C51" i="10" s="1"/>
  <c r="C52" i="10" a="1"/>
  <c r="C52" i="10" s="1"/>
  <c r="C59" i="10" a="1"/>
  <c r="C59" i="10" s="1"/>
  <c r="C60" i="10" a="1"/>
  <c r="C60" i="10" s="1"/>
  <c r="C61" i="10" a="1"/>
  <c r="C61" i="10" s="1"/>
  <c r="C62" i="10" a="1"/>
  <c r="C62" i="10" s="1"/>
  <c r="C2" i="6" a="1"/>
  <c r="C2" i="6" s="1"/>
  <c r="C3" i="6" a="1"/>
  <c r="C3" i="6" s="1"/>
  <c r="C4" i="6" a="1"/>
  <c r="C4" i="6" s="1"/>
  <c r="C5" i="6" a="1"/>
  <c r="C5" i="6" s="1"/>
  <c r="C6" i="6" a="1"/>
  <c r="C6" i="6" s="1"/>
  <c r="C7" i="6" a="1"/>
  <c r="C7" i="6" s="1"/>
  <c r="C8" i="6" a="1"/>
  <c r="C8" i="6" s="1"/>
  <c r="C9" i="6" a="1"/>
  <c r="C9" i="6" s="1"/>
  <c r="C10" i="6" a="1"/>
  <c r="C10" i="6" s="1"/>
  <c r="C11" i="6" a="1"/>
  <c r="C11" i="6" s="1"/>
  <c r="C12" i="6" a="1"/>
  <c r="C12" i="6" s="1"/>
  <c r="C13" i="6" a="1"/>
  <c r="C13" i="6" s="1"/>
  <c r="C14" i="6" a="1"/>
  <c r="C14" i="6" s="1"/>
  <c r="C15" i="6" a="1"/>
  <c r="C15" i="6" s="1"/>
  <c r="C16" i="6" a="1"/>
  <c r="C16" i="6" s="1"/>
  <c r="C17" i="6" a="1"/>
  <c r="C17" i="6" s="1"/>
  <c r="C21" i="6" a="1"/>
  <c r="C21" i="6" s="1"/>
  <c r="C22" i="6" a="1"/>
  <c r="C22" i="6" s="1"/>
  <c r="C23" i="6" a="1"/>
  <c r="C23" i="6" s="1"/>
  <c r="C24" i="6" a="1"/>
  <c r="C24" i="6" s="1"/>
  <c r="C25" i="6" a="1"/>
  <c r="C25" i="6" s="1"/>
  <c r="C26" i="6" a="1"/>
  <c r="C26" i="6" s="1"/>
  <c r="C27" i="6" a="1"/>
  <c r="C27" i="6" s="1"/>
  <c r="C28" i="6" a="1"/>
  <c r="C28" i="6" s="1"/>
  <c r="C29" i="6" a="1"/>
  <c r="C29" i="6" s="1"/>
  <c r="C30" i="6" a="1"/>
  <c r="C30" i="6" s="1"/>
  <c r="C31" i="6" a="1"/>
  <c r="C31" i="6" s="1"/>
  <c r="C32" i="6" a="1"/>
  <c r="C32" i="6" s="1"/>
  <c r="C33" i="6" a="1"/>
  <c r="C33" i="6" s="1"/>
  <c r="C34" i="6" a="1"/>
  <c r="C34" i="6" s="1"/>
  <c r="C35" i="6" a="1"/>
  <c r="C35" i="6" s="1"/>
  <c r="C36" i="6" a="1"/>
  <c r="C36" i="6" s="1"/>
  <c r="C37" i="6" a="1"/>
  <c r="C37" i="6" s="1"/>
  <c r="C38" i="6" a="1"/>
  <c r="C38" i="6" s="1"/>
  <c r="C39" i="6" a="1"/>
  <c r="C39" i="6" s="1"/>
  <c r="C40" i="6" a="1"/>
  <c r="C40" i="6" s="1"/>
  <c r="C41" i="6" a="1"/>
  <c r="C41" i="6" s="1"/>
  <c r="C42" i="6" a="1"/>
  <c r="C42" i="6" s="1"/>
  <c r="M30" i="11"/>
  <c r="K30" i="11"/>
  <c r="G30" i="11"/>
  <c r="F30" i="11"/>
  <c r="C30" i="11" a="1"/>
  <c r="C30" i="11" s="1"/>
  <c r="M29" i="11"/>
  <c r="K29" i="11"/>
  <c r="G29" i="11"/>
  <c r="F29" i="11"/>
  <c r="C29" i="11" a="1"/>
  <c r="C29" i="11" s="1"/>
  <c r="M28" i="11"/>
  <c r="K28" i="11"/>
  <c r="G28" i="11"/>
  <c r="F28" i="11"/>
  <c r="C28" i="11" a="1"/>
  <c r="C28" i="11" s="1"/>
  <c r="M27" i="11"/>
  <c r="K27" i="11"/>
  <c r="G27" i="11"/>
  <c r="F27" i="11"/>
  <c r="C27" i="11" a="1"/>
  <c r="C27" i="11" s="1"/>
  <c r="F30" i="10"/>
  <c r="C30" i="10" a="1"/>
  <c r="C30" i="10" s="1"/>
  <c r="F29" i="10"/>
  <c r="C29" i="10" a="1"/>
  <c r="C29" i="10" s="1"/>
  <c r="F28" i="10"/>
  <c r="C28" i="10" a="1"/>
  <c r="C28" i="10" s="1"/>
  <c r="F27" i="10"/>
  <c r="C27" i="10" a="1"/>
  <c r="C27" i="10" s="1"/>
  <c r="C19" i="6" a="1"/>
  <c r="C19" i="6" s="1"/>
  <c r="K19" i="6"/>
  <c r="Q19" i="6"/>
  <c r="C20" i="6" a="1"/>
  <c r="C20" i="6" s="1"/>
  <c r="K20" i="6"/>
  <c r="Q20" i="6"/>
  <c r="M18" i="11" l="1"/>
  <c r="F18" i="11"/>
  <c r="M26" i="11"/>
  <c r="M31" i="11"/>
  <c r="M32" i="11"/>
  <c r="F26" i="11"/>
  <c r="F31" i="11"/>
  <c r="F32" i="11"/>
  <c r="F60" i="10"/>
  <c r="F51" i="10"/>
  <c r="F52" i="10"/>
  <c r="F40" i="10"/>
  <c r="F41" i="10"/>
  <c r="F42" i="10"/>
  <c r="F43" i="10"/>
  <c r="F38" i="10"/>
  <c r="F35" i="10"/>
  <c r="F33" i="10"/>
  <c r="C26" i="10" a="1"/>
  <c r="C26" i="10" s="1"/>
  <c r="F26" i="10"/>
  <c r="F24" i="10"/>
  <c r="F22" i="10"/>
  <c r="F20" i="10"/>
  <c r="F16" i="10"/>
  <c r="F6" i="10"/>
  <c r="F7" i="10"/>
  <c r="F12" i="10"/>
  <c r="C18" i="6" a="1"/>
  <c r="C18" i="6" s="1"/>
  <c r="C11" i="5" a="1"/>
  <c r="C11" i="5" s="1"/>
  <c r="E158" i="2"/>
  <c r="C158" i="2" s="1" a="1"/>
  <c r="C158" i="2" s="1"/>
  <c r="E157" i="2"/>
  <c r="C157" i="2" s="1" a="1"/>
  <c r="C157" i="2" s="1"/>
  <c r="E156" i="2"/>
  <c r="C156" i="2" s="1" a="1"/>
  <c r="C156" i="2" s="1"/>
  <c r="E155" i="2"/>
  <c r="C155" i="2" s="1" a="1"/>
  <c r="C155" i="2" s="1"/>
  <c r="E154" i="2"/>
  <c r="E153" i="2"/>
  <c r="E152" i="2"/>
  <c r="C152" i="2" s="1" a="1"/>
  <c r="C152" i="2" s="1"/>
  <c r="E151" i="2"/>
  <c r="C151" i="2" s="1" a="1"/>
  <c r="C151" i="2" s="1"/>
  <c r="E150" i="2"/>
  <c r="C150" i="2" s="1" a="1"/>
  <c r="C150" i="2" s="1"/>
  <c r="E149" i="2"/>
  <c r="C149" i="2" s="1" a="1"/>
  <c r="C149" i="2" s="1"/>
  <c r="E148" i="2"/>
  <c r="C148" i="2" s="1" a="1"/>
  <c r="C148" i="2" s="1"/>
  <c r="E147" i="2"/>
  <c r="C147" i="2" s="1" a="1"/>
  <c r="C147" i="2" s="1"/>
  <c r="E146" i="2"/>
  <c r="C146" i="2" s="1" a="1"/>
  <c r="C146" i="2" s="1"/>
  <c r="E145" i="2"/>
  <c r="C145" i="2" s="1" a="1"/>
  <c r="C145" i="2" s="1"/>
  <c r="E144" i="2"/>
  <c r="C144" i="2" s="1" a="1"/>
  <c r="C144" i="2" s="1"/>
  <c r="E143" i="2"/>
  <c r="C143" i="2" s="1" a="1"/>
  <c r="C143" i="2" s="1"/>
  <c r="E142" i="2"/>
  <c r="C142" i="2" s="1" a="1"/>
  <c r="C142" i="2" s="1"/>
  <c r="E141" i="2"/>
  <c r="C141" i="2" s="1" a="1"/>
  <c r="C141" i="2" s="1"/>
  <c r="E88" i="2" l="1"/>
  <c r="C88" i="2" s="1" a="1"/>
  <c r="C88" i="2" s="1"/>
  <c r="E89" i="2"/>
  <c r="C89" i="2" s="1" a="1"/>
  <c r="C89" i="2" s="1"/>
  <c r="E90" i="2"/>
  <c r="C90" i="2" s="1" a="1"/>
  <c r="C90" i="2" s="1"/>
  <c r="E91" i="2"/>
  <c r="C91" i="2" s="1" a="1"/>
  <c r="C91" i="2" s="1"/>
  <c r="E92" i="2"/>
  <c r="C92" i="2" s="1" a="1"/>
  <c r="C92" i="2" s="1"/>
  <c r="E93" i="2"/>
  <c r="C93" i="2" s="1" a="1"/>
  <c r="C93" i="2" s="1"/>
  <c r="E94" i="2"/>
  <c r="C94" i="2" s="1" a="1"/>
  <c r="C94" i="2" s="1"/>
  <c r="E95" i="2"/>
  <c r="C95" i="2" s="1" a="1"/>
  <c r="C95" i="2" s="1"/>
  <c r="E96" i="2"/>
  <c r="C96" i="2" s="1" a="1"/>
  <c r="C96" i="2" s="1"/>
  <c r="E97" i="2"/>
  <c r="C97" i="2" s="1" a="1"/>
  <c r="C97" i="2" s="1"/>
  <c r="E98" i="2"/>
  <c r="C98" i="2" s="1" a="1"/>
  <c r="C98" i="2" s="1"/>
  <c r="E99" i="2"/>
  <c r="C99" i="2" s="1" a="1"/>
  <c r="C99" i="2" s="1"/>
  <c r="E100" i="2"/>
  <c r="C100" i="2" s="1" a="1"/>
  <c r="C100" i="2" s="1"/>
  <c r="E101" i="2"/>
  <c r="C101" i="2" s="1" a="1"/>
  <c r="C101" i="2" s="1"/>
  <c r="E102" i="2"/>
  <c r="C102" i="2" s="1" a="1"/>
  <c r="C102" i="2" s="1"/>
  <c r="E103" i="2"/>
  <c r="C103" i="2" s="1" a="1"/>
  <c r="C103" i="2" s="1"/>
  <c r="E104" i="2"/>
  <c r="C104" i="2" s="1" a="1"/>
  <c r="C104" i="2" s="1"/>
  <c r="E105" i="2"/>
  <c r="C105" i="2" s="1" a="1"/>
  <c r="C105" i="2" s="1"/>
  <c r="E106" i="2"/>
  <c r="C106" i="2" s="1" a="1"/>
  <c r="C106" i="2" s="1"/>
  <c r="E107" i="2"/>
  <c r="C107" i="2" s="1" a="1"/>
  <c r="C107" i="2" s="1"/>
  <c r="E108" i="2"/>
  <c r="C108" i="2" s="1" a="1"/>
  <c r="C108" i="2" s="1"/>
  <c r="E109" i="2"/>
  <c r="C109" i="2" s="1" a="1"/>
  <c r="C109" i="2" s="1"/>
  <c r="E110" i="2"/>
  <c r="C110" i="2" s="1" a="1"/>
  <c r="C110" i="2" s="1"/>
  <c r="E111" i="2"/>
  <c r="C111" i="2" s="1" a="1"/>
  <c r="C111" i="2" s="1"/>
  <c r="E112" i="2"/>
  <c r="C112" i="2" s="1" a="1"/>
  <c r="C112" i="2" s="1"/>
  <c r="E113" i="2"/>
  <c r="C113" i="2" s="1" a="1"/>
  <c r="C113" i="2" s="1"/>
  <c r="E114" i="2"/>
  <c r="C114" i="2" s="1" a="1"/>
  <c r="C114" i="2" s="1"/>
  <c r="E115" i="2"/>
  <c r="C115" i="2" s="1" a="1"/>
  <c r="C115" i="2" s="1"/>
  <c r="E116" i="2"/>
  <c r="C116" i="2" s="1" a="1"/>
  <c r="C116" i="2" s="1"/>
  <c r="E117" i="2"/>
  <c r="C117" i="2" s="1" a="1"/>
  <c r="C117" i="2" s="1"/>
  <c r="E118" i="2"/>
  <c r="C118" i="2" s="1" a="1"/>
  <c r="C118" i="2" s="1"/>
  <c r="E119" i="2"/>
  <c r="C119" i="2" s="1" a="1"/>
  <c r="C119" i="2" s="1"/>
  <c r="E120" i="2"/>
  <c r="C120" i="2" s="1" a="1"/>
  <c r="C120" i="2" s="1"/>
  <c r="E121" i="2"/>
  <c r="C121" i="2" s="1" a="1"/>
  <c r="C121" i="2" s="1"/>
  <c r="E122" i="2"/>
  <c r="C122" i="2" s="1" a="1"/>
  <c r="C122" i="2" s="1"/>
  <c r="E123" i="2"/>
  <c r="C123" i="2" s="1" a="1"/>
  <c r="C123" i="2" s="1"/>
  <c r="E124" i="2"/>
  <c r="C124" i="2" s="1" a="1"/>
  <c r="C124" i="2" s="1"/>
  <c r="E125" i="2"/>
  <c r="C125" i="2" s="1" a="1"/>
  <c r="C125" i="2" s="1"/>
  <c r="E126" i="2"/>
  <c r="C126" i="2" s="1" a="1"/>
  <c r="C126" i="2" s="1"/>
  <c r="E127" i="2"/>
  <c r="C127" i="2" s="1" a="1"/>
  <c r="C127" i="2" s="1"/>
  <c r="E128" i="2"/>
  <c r="C128" i="2" s="1" a="1"/>
  <c r="C128" i="2" s="1"/>
  <c r="E129" i="2"/>
  <c r="C129" i="2" s="1" a="1"/>
  <c r="C129" i="2" s="1"/>
  <c r="E130" i="2"/>
  <c r="C130" i="2" s="1" a="1"/>
  <c r="C130" i="2" s="1"/>
  <c r="E131" i="2"/>
  <c r="C131" i="2" s="1" a="1"/>
  <c r="C131" i="2" s="1"/>
  <c r="E132" i="2"/>
  <c r="C132" i="2" s="1" a="1"/>
  <c r="C132" i="2" s="1"/>
  <c r="E133" i="2"/>
  <c r="C133" i="2" s="1" a="1"/>
  <c r="C133" i="2" s="1"/>
  <c r="E134" i="2"/>
  <c r="C134" i="2" s="1" a="1"/>
  <c r="C134" i="2" s="1"/>
  <c r="E135" i="2"/>
  <c r="C135" i="2" s="1" a="1"/>
  <c r="C135" i="2" s="1"/>
  <c r="E136" i="2"/>
  <c r="C136" i="2" s="1" a="1"/>
  <c r="C136" i="2" s="1"/>
  <c r="E137" i="2"/>
  <c r="C137" i="2" s="1" a="1"/>
  <c r="C137" i="2" s="1"/>
  <c r="E138" i="2"/>
  <c r="C138" i="2" s="1" a="1"/>
  <c r="C138" i="2" s="1"/>
  <c r="E139" i="2"/>
  <c r="C139" i="2" s="1" a="1"/>
  <c r="C139" i="2" s="1"/>
  <c r="E140" i="2"/>
  <c r="C140" i="2" s="1" a="1"/>
  <c r="C140" i="2" s="1"/>
  <c r="E4" i="2"/>
  <c r="C4" i="2" s="1" a="1"/>
  <c r="C4" i="2" s="1"/>
  <c r="E5" i="2"/>
  <c r="C5" i="2" s="1" a="1"/>
  <c r="C5" i="2" s="1"/>
  <c r="E6" i="2"/>
  <c r="C6" i="2" s="1" a="1"/>
  <c r="C6" i="2" s="1"/>
  <c r="E7" i="2"/>
  <c r="C7" i="2" s="1" a="1"/>
  <c r="C7" i="2" s="1"/>
  <c r="E8" i="2"/>
  <c r="C8" i="2" s="1" a="1"/>
  <c r="C8" i="2" s="1"/>
  <c r="E9" i="2"/>
  <c r="C9" i="2" s="1" a="1"/>
  <c r="C9" i="2" s="1"/>
  <c r="E10" i="2"/>
  <c r="C10" i="2" s="1" a="1"/>
  <c r="C10" i="2" s="1"/>
  <c r="E11" i="2"/>
  <c r="C11" i="2" s="1" a="1"/>
  <c r="C11" i="2" s="1"/>
  <c r="E12" i="2"/>
  <c r="C12" i="2" s="1" a="1"/>
  <c r="C12" i="2" s="1"/>
  <c r="E13" i="2"/>
  <c r="C13" i="2" s="1" a="1"/>
  <c r="C13" i="2" s="1"/>
  <c r="E14" i="2"/>
  <c r="C14" i="2" s="1" a="1"/>
  <c r="C14" i="2" s="1"/>
  <c r="E15" i="2"/>
  <c r="C15" i="2" s="1" a="1"/>
  <c r="C15" i="2" s="1"/>
  <c r="E16" i="2"/>
  <c r="C16" i="2" s="1" a="1"/>
  <c r="C16" i="2" s="1"/>
  <c r="E17" i="2"/>
  <c r="C17" i="2" s="1" a="1"/>
  <c r="C17" i="2" s="1"/>
  <c r="E18" i="2"/>
  <c r="C18" i="2" s="1" a="1"/>
  <c r="C18" i="2" s="1"/>
  <c r="E19" i="2"/>
  <c r="C19" i="2" s="1" a="1"/>
  <c r="C19" i="2" s="1"/>
  <c r="E20" i="2"/>
  <c r="C20" i="2" s="1" a="1"/>
  <c r="C20" i="2" s="1"/>
  <c r="E21" i="2"/>
  <c r="C21" i="2" s="1" a="1"/>
  <c r="C21" i="2" s="1"/>
  <c r="E22" i="2"/>
  <c r="C22" i="2" s="1" a="1"/>
  <c r="C22" i="2" s="1"/>
  <c r="E23" i="2"/>
  <c r="C23" i="2" s="1" a="1"/>
  <c r="C23" i="2" s="1"/>
  <c r="E24" i="2"/>
  <c r="C24" i="2" s="1" a="1"/>
  <c r="C24" i="2" s="1"/>
  <c r="E25" i="2"/>
  <c r="C25" i="2" s="1" a="1"/>
  <c r="C25" i="2" s="1"/>
  <c r="E26" i="2"/>
  <c r="C26" i="2" s="1" a="1"/>
  <c r="C26" i="2" s="1"/>
  <c r="E27" i="2"/>
  <c r="C27" i="2" s="1" a="1"/>
  <c r="C27" i="2" s="1"/>
  <c r="E28" i="2"/>
  <c r="C28" i="2" s="1" a="1"/>
  <c r="C28" i="2" s="1"/>
  <c r="E29" i="2"/>
  <c r="C29" i="2" s="1" a="1"/>
  <c r="C29" i="2" s="1"/>
  <c r="E30" i="2"/>
  <c r="C30" i="2" s="1" a="1"/>
  <c r="C30" i="2" s="1"/>
  <c r="E31" i="2"/>
  <c r="C31" i="2" s="1" a="1"/>
  <c r="C31" i="2" s="1"/>
  <c r="E32" i="2"/>
  <c r="C32" i="2" s="1" a="1"/>
  <c r="C32" i="2" s="1"/>
  <c r="E33" i="2"/>
  <c r="C33" i="2" s="1" a="1"/>
  <c r="C33" i="2" s="1"/>
  <c r="E34" i="2"/>
  <c r="C34" i="2" s="1" a="1"/>
  <c r="C34" i="2" s="1"/>
  <c r="E35" i="2"/>
  <c r="C35" i="2" s="1" a="1"/>
  <c r="C35" i="2" s="1"/>
  <c r="E36" i="2"/>
  <c r="C36" i="2" s="1" a="1"/>
  <c r="C36" i="2" s="1"/>
  <c r="E37" i="2"/>
  <c r="C37" i="2" s="1" a="1"/>
  <c r="C37" i="2" s="1"/>
  <c r="E38" i="2"/>
  <c r="C38" i="2" s="1" a="1"/>
  <c r="C38" i="2" s="1"/>
  <c r="E39" i="2"/>
  <c r="C39" i="2" s="1" a="1"/>
  <c r="C39" i="2" s="1"/>
  <c r="E40" i="2"/>
  <c r="C40" i="2" s="1" a="1"/>
  <c r="C40" i="2" s="1"/>
  <c r="E41" i="2"/>
  <c r="C41" i="2" s="1" a="1"/>
  <c r="C41" i="2" s="1"/>
  <c r="E42" i="2"/>
  <c r="C42" i="2" s="1" a="1"/>
  <c r="C42" i="2" s="1"/>
  <c r="E43" i="2"/>
  <c r="C43" i="2" s="1" a="1"/>
  <c r="C43" i="2" s="1"/>
  <c r="E44" i="2"/>
  <c r="C44" i="2" s="1" a="1"/>
  <c r="C44" i="2" s="1"/>
  <c r="E45" i="2"/>
  <c r="C45" i="2" s="1" a="1"/>
  <c r="C45" i="2" s="1"/>
  <c r="E46" i="2"/>
  <c r="C46" i="2" s="1" a="1"/>
  <c r="C46" i="2" s="1"/>
  <c r="E47" i="2"/>
  <c r="C47" i="2" s="1" a="1"/>
  <c r="C47" i="2" s="1"/>
  <c r="E48" i="2"/>
  <c r="C48" i="2" s="1" a="1"/>
  <c r="C48" i="2" s="1"/>
  <c r="E49" i="2"/>
  <c r="C49" i="2" s="1" a="1"/>
  <c r="C49" i="2" s="1"/>
  <c r="E50" i="2"/>
  <c r="C50" i="2" s="1" a="1"/>
  <c r="C50" i="2" s="1"/>
  <c r="E51" i="2"/>
  <c r="C51" i="2" s="1" a="1"/>
  <c r="C51" i="2" s="1"/>
  <c r="E52" i="2"/>
  <c r="C52" i="2" s="1" a="1"/>
  <c r="C52" i="2" s="1"/>
  <c r="E53" i="2"/>
  <c r="C53" i="2" s="1" a="1"/>
  <c r="C53" i="2" s="1"/>
  <c r="E54" i="2"/>
  <c r="C54" i="2" s="1" a="1"/>
  <c r="C54" i="2" s="1"/>
  <c r="E55" i="2"/>
  <c r="C55" i="2" s="1" a="1"/>
  <c r="C55" i="2" s="1"/>
  <c r="E56" i="2"/>
  <c r="C56" i="2" s="1" a="1"/>
  <c r="C56" i="2" s="1"/>
  <c r="E57" i="2"/>
  <c r="C57" i="2" s="1" a="1"/>
  <c r="C57" i="2" s="1"/>
  <c r="E58" i="2"/>
  <c r="C58" i="2" s="1" a="1"/>
  <c r="C58" i="2" s="1"/>
  <c r="E59" i="2"/>
  <c r="C59" i="2" s="1" a="1"/>
  <c r="C59" i="2" s="1"/>
  <c r="E60" i="2"/>
  <c r="C60" i="2" s="1" a="1"/>
  <c r="C60" i="2" s="1"/>
  <c r="E61" i="2"/>
  <c r="C61" i="2" s="1" a="1"/>
  <c r="C61" i="2" s="1"/>
  <c r="E62" i="2"/>
  <c r="C62" i="2" s="1" a="1"/>
  <c r="C62" i="2" s="1"/>
  <c r="E63" i="2"/>
  <c r="C63" i="2" s="1" a="1"/>
  <c r="C63" i="2" s="1"/>
  <c r="E64" i="2"/>
  <c r="C64" i="2" s="1" a="1"/>
  <c r="C64" i="2" s="1"/>
  <c r="E65" i="2"/>
  <c r="C65" i="2" s="1" a="1"/>
  <c r="C65" i="2" s="1"/>
  <c r="E66" i="2"/>
  <c r="C66" i="2" s="1" a="1"/>
  <c r="C66" i="2" s="1"/>
  <c r="E67" i="2"/>
  <c r="C67" i="2" s="1" a="1"/>
  <c r="C67" i="2" s="1"/>
  <c r="E68" i="2"/>
  <c r="C68" i="2" s="1" a="1"/>
  <c r="C68" i="2" s="1"/>
  <c r="E69" i="2"/>
  <c r="C69" i="2" s="1" a="1"/>
  <c r="C69" i="2" s="1"/>
  <c r="E70" i="2"/>
  <c r="C70" i="2" s="1" a="1"/>
  <c r="C70" i="2" s="1"/>
  <c r="E71" i="2"/>
  <c r="C71" i="2" s="1" a="1"/>
  <c r="C71" i="2" s="1"/>
  <c r="E72" i="2"/>
  <c r="C72" i="2" s="1" a="1"/>
  <c r="C72" i="2" s="1"/>
  <c r="E73" i="2"/>
  <c r="C73" i="2" s="1" a="1"/>
  <c r="C73" i="2" s="1"/>
  <c r="E74" i="2"/>
  <c r="C74" i="2" s="1" a="1"/>
  <c r="C74" i="2" s="1"/>
  <c r="E75" i="2"/>
  <c r="C75" i="2" s="1" a="1"/>
  <c r="C75" i="2" s="1"/>
  <c r="E76" i="2"/>
  <c r="C76" i="2" s="1" a="1"/>
  <c r="C76" i="2" s="1"/>
  <c r="E77" i="2"/>
  <c r="C77" i="2" s="1" a="1"/>
  <c r="C77" i="2" s="1"/>
  <c r="E78" i="2"/>
  <c r="C78" i="2" s="1" a="1"/>
  <c r="C78" i="2" s="1"/>
  <c r="E79" i="2"/>
  <c r="C79" i="2" s="1" a="1"/>
  <c r="C79" i="2" s="1"/>
  <c r="E80" i="2"/>
  <c r="C80" i="2" s="1" a="1"/>
  <c r="C80" i="2" s="1"/>
  <c r="E81" i="2"/>
  <c r="C81" i="2" s="1" a="1"/>
  <c r="C81" i="2" s="1"/>
  <c r="E82" i="2"/>
  <c r="C82" i="2" s="1" a="1"/>
  <c r="C82" i="2" s="1"/>
  <c r="E83" i="2"/>
  <c r="C83" i="2" s="1" a="1"/>
  <c r="C83" i="2" s="1"/>
  <c r="E84" i="2"/>
  <c r="C84" i="2" s="1" a="1"/>
  <c r="C84" i="2" s="1"/>
  <c r="E85" i="2"/>
  <c r="C85" i="2" s="1" a="1"/>
  <c r="C85" i="2" s="1"/>
  <c r="E86" i="2"/>
  <c r="C86" i="2" s="1" a="1"/>
  <c r="C86" i="2" s="1"/>
  <c r="E87" i="2"/>
  <c r="C87" i="2" s="1" a="1"/>
  <c r="C87" i="2" s="1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U67" i="1" l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9" i="11"/>
  <c r="F20" i="11"/>
  <c r="F21" i="11"/>
  <c r="F22" i="11"/>
  <c r="F23" i="11"/>
  <c r="F24" i="11"/>
  <c r="F25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9" i="11"/>
  <c r="M20" i="11"/>
  <c r="M21" i="11"/>
  <c r="M22" i="11"/>
  <c r="M23" i="11"/>
  <c r="M24" i="11"/>
  <c r="M25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2" i="11"/>
  <c r="G53" i="11"/>
  <c r="G54" i="11"/>
  <c r="G55" i="11"/>
  <c r="G56" i="11"/>
  <c r="G57" i="11"/>
  <c r="G58" i="11"/>
  <c r="G59" i="11"/>
  <c r="G60" i="11"/>
  <c r="G61" i="11"/>
  <c r="G62" i="11"/>
  <c r="K53" i="11"/>
  <c r="K54" i="11"/>
  <c r="K55" i="11"/>
  <c r="K56" i="11"/>
  <c r="K57" i="11"/>
  <c r="K58" i="11"/>
  <c r="K59" i="11"/>
  <c r="K60" i="11"/>
  <c r="K61" i="11"/>
  <c r="K62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G2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F18" i="10"/>
  <c r="F19" i="10"/>
  <c r="F21" i="10"/>
  <c r="F23" i="10"/>
  <c r="F32" i="10"/>
  <c r="F3" i="10"/>
  <c r="F44" i="10"/>
  <c r="F5" i="10"/>
  <c r="F9" i="10"/>
  <c r="F10" i="10"/>
  <c r="F36" i="10"/>
  <c r="F56" i="10"/>
  <c r="F49" i="10"/>
  <c r="F39" i="10"/>
  <c r="F37" i="10"/>
  <c r="F34" i="10"/>
  <c r="F13" i="10"/>
  <c r="F14" i="10"/>
  <c r="F15" i="10"/>
  <c r="F17" i="10"/>
  <c r="F25" i="10"/>
  <c r="F31" i="10"/>
  <c r="F8" i="10"/>
  <c r="F47" i="10"/>
  <c r="F46" i="10"/>
  <c r="F45" i="10"/>
  <c r="F53" i="10"/>
  <c r="F54" i="10"/>
  <c r="F62" i="10"/>
  <c r="F59" i="10"/>
  <c r="F57" i="10"/>
  <c r="F58" i="10"/>
  <c r="F11" i="10"/>
  <c r="F2" i="10"/>
  <c r="F4" i="10"/>
  <c r="F55" i="10"/>
  <c r="F48" i="10"/>
  <c r="F50" i="10"/>
  <c r="F61" i="10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2" i="1"/>
  <c r="E2" i="2"/>
  <c r="C2" i="2" s="1" a="1"/>
  <c r="C2" i="2" s="1"/>
  <c r="K3" i="2"/>
  <c r="K2" i="2"/>
  <c r="E3" i="2"/>
  <c r="C3" i="2" s="1" a="1"/>
  <c r="C3" i="2" s="1"/>
  <c r="C7" i="14" l="1" a="1"/>
  <c r="C7" i="14" s="1"/>
  <c r="C6" i="14" a="1"/>
  <c r="C6" i="14" s="1"/>
  <c r="C5" i="14" a="1"/>
  <c r="C5" i="14" s="1"/>
  <c r="K2" i="11"/>
  <c r="K3" i="11"/>
  <c r="K4" i="11"/>
  <c r="K5" i="11"/>
  <c r="K6" i="11"/>
  <c r="G3" i="11"/>
  <c r="G4" i="11"/>
  <c r="G5" i="11"/>
  <c r="C26" i="11" a="1"/>
  <c r="C26" i="11" s="1"/>
  <c r="C25" i="11" a="1"/>
  <c r="C25" i="11" s="1"/>
  <c r="C25" i="10" a="1"/>
  <c r="C25" i="10" s="1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3" i="6"/>
  <c r="Q2" i="6"/>
  <c r="K26" i="6"/>
  <c r="K17" i="6"/>
  <c r="K16" i="6"/>
  <c r="K15" i="6"/>
  <c r="K14" i="6"/>
  <c r="K13" i="6"/>
  <c r="K25" i="6"/>
  <c r="K24" i="6"/>
  <c r="K23" i="6"/>
  <c r="K22" i="6"/>
  <c r="K21" i="6"/>
  <c r="K42" i="6"/>
  <c r="K18" i="6"/>
  <c r="K12" i="6"/>
  <c r="K11" i="6"/>
  <c r="K8" i="6"/>
  <c r="K7" i="6"/>
  <c r="K6" i="6"/>
  <c r="K5" i="6"/>
  <c r="K4" i="6"/>
  <c r="K40" i="6"/>
  <c r="K3" i="6"/>
  <c r="K39" i="6"/>
  <c r="K2" i="6"/>
  <c r="K29" i="6"/>
  <c r="K28" i="6"/>
  <c r="K27" i="6"/>
  <c r="K41" i="6"/>
  <c r="K10" i="6"/>
  <c r="K9" i="6"/>
  <c r="K34" i="6"/>
  <c r="K33" i="6"/>
  <c r="K32" i="6"/>
  <c r="K31" i="6"/>
  <c r="K30" i="6"/>
  <c r="K37" i="6"/>
  <c r="K36" i="6"/>
  <c r="K35" i="6"/>
  <c r="K38" i="6"/>
  <c r="C2" i="15" a="1"/>
  <c r="C2" i="15" s="1"/>
  <c r="C3" i="4" a="1"/>
  <c r="C3" i="4" s="1"/>
  <c r="C2" i="4" a="1"/>
  <c r="C2" i="4" s="1"/>
  <c r="C3" i="5" a="1"/>
  <c r="C3" i="5" s="1"/>
  <c r="C4" i="5" a="1"/>
  <c r="C4" i="5" s="1"/>
  <c r="C5" i="5" a="1"/>
  <c r="C5" i="5" s="1"/>
  <c r="C6" i="5" a="1"/>
  <c r="C6" i="5" s="1"/>
  <c r="C7" i="5" a="1"/>
  <c r="C7" i="5" s="1"/>
  <c r="C8" i="5" a="1"/>
  <c r="C8" i="5" s="1"/>
  <c r="C9" i="5" a="1"/>
  <c r="C9" i="5" s="1"/>
  <c r="C10" i="5" a="1"/>
  <c r="C10" i="5" s="1"/>
  <c r="C2" i="5" a="1"/>
  <c r="C2" i="5" s="1"/>
  <c r="C3" i="14" a="1"/>
  <c r="C3" i="14" s="1"/>
  <c r="C4" i="14" a="1"/>
  <c r="C4" i="14" s="1"/>
  <c r="C2" i="14" a="1"/>
  <c r="C2" i="14" s="1"/>
  <c r="C31" i="15" a="1"/>
  <c r="C31" i="15" s="1"/>
  <c r="C32" i="15" a="1"/>
  <c r="C32" i="15" s="1"/>
  <c r="C33" i="15" a="1"/>
  <c r="C33" i="15" s="1"/>
  <c r="C34" i="15" a="1"/>
  <c r="C34" i="15" s="1"/>
  <c r="C35" i="15" a="1"/>
  <c r="C35" i="15" s="1"/>
  <c r="C36" i="15" a="1"/>
  <c r="C36" i="15" s="1"/>
  <c r="C37" i="15" a="1"/>
  <c r="C37" i="15" s="1"/>
  <c r="C38" i="15" a="1"/>
  <c r="C38" i="15" s="1"/>
  <c r="C39" i="15" a="1"/>
  <c r="C39" i="15" s="1"/>
  <c r="C40" i="15" a="1"/>
  <c r="C40" i="15" s="1"/>
  <c r="C12" i="15" a="1"/>
  <c r="C12" i="15" s="1"/>
  <c r="C13" i="15" a="1"/>
  <c r="C13" i="15" s="1"/>
  <c r="C14" i="15" a="1"/>
  <c r="C14" i="15" s="1"/>
  <c r="C15" i="15" a="1"/>
  <c r="C15" i="15" s="1"/>
  <c r="C16" i="15" a="1"/>
  <c r="C16" i="15" s="1"/>
  <c r="C17" i="15" a="1"/>
  <c r="C17" i="15" s="1"/>
  <c r="C18" i="15" a="1"/>
  <c r="C18" i="15" s="1"/>
  <c r="C19" i="15" a="1"/>
  <c r="C19" i="15" s="1"/>
  <c r="C20" i="15" a="1"/>
  <c r="C20" i="15" s="1"/>
  <c r="C21" i="15" a="1"/>
  <c r="C21" i="15" s="1"/>
  <c r="C23" i="15" a="1"/>
  <c r="C23" i="15" s="1"/>
  <c r="C24" i="15" a="1"/>
  <c r="C24" i="15" s="1"/>
  <c r="C25" i="15" a="1"/>
  <c r="C25" i="15" s="1"/>
  <c r="C26" i="15" a="1"/>
  <c r="C26" i="15" s="1"/>
  <c r="C27" i="15" a="1"/>
  <c r="C27" i="15" s="1"/>
  <c r="C28" i="15" a="1"/>
  <c r="C28" i="15" s="1"/>
  <c r="C29" i="15" a="1"/>
  <c r="C29" i="15" s="1"/>
  <c r="C30" i="15" a="1"/>
  <c r="C30" i="15" s="1"/>
  <c r="C3" i="15" a="1"/>
  <c r="C3" i="15" s="1"/>
  <c r="C4" i="15" a="1"/>
  <c r="C4" i="15" s="1"/>
  <c r="C5" i="15" a="1"/>
  <c r="C5" i="15" s="1"/>
  <c r="C6" i="15" a="1"/>
  <c r="C6" i="15" s="1"/>
  <c r="C7" i="15" a="1"/>
  <c r="C7" i="15" s="1"/>
  <c r="C8" i="15" a="1"/>
  <c r="C8" i="15" s="1"/>
  <c r="C9" i="15" a="1"/>
  <c r="C9" i="15" s="1"/>
  <c r="C10" i="15" a="1"/>
  <c r="C10" i="15" s="1"/>
  <c r="C11" i="15" a="1"/>
  <c r="C11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L1" authorId="0" shapeId="0" xr:uid="{4E95A42A-EE05-46FF-9ADE-8C06C9CCADD3}">
      <text>
        <r>
          <rPr>
            <b/>
            <sz val="9"/>
            <color indexed="81"/>
            <rFont val="Tahoma"/>
            <family val="2"/>
          </rPr>
          <t>[I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>] NIC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O
</t>
        </r>
        <r>
          <rPr>
            <b/>
            <sz val="9"/>
            <color indexed="81"/>
            <rFont val="돋움"/>
            <family val="3"/>
            <charset val="129"/>
          </rPr>
          <t>서브넷에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비어둠</t>
        </r>
        <r>
          <rPr>
            <b/>
            <sz val="9"/>
            <color indexed="81"/>
            <rFont val="Tahoma"/>
            <family val="2"/>
          </rPr>
          <t xml:space="preserve"> or X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>D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 NSG</t>
        </r>
        <r>
          <rPr>
            <b/>
            <sz val="9"/>
            <color indexed="81"/>
            <rFont val="돋움"/>
            <family val="3"/>
            <charset val="129"/>
          </rPr>
          <t>명은</t>
        </r>
        <r>
          <rPr>
            <b/>
            <sz val="9"/>
            <color indexed="81"/>
            <rFont val="Tahoma"/>
            <family val="2"/>
          </rPr>
          <t xml:space="preserve"> IF</t>
        </r>
        <r>
          <rPr>
            <b/>
            <sz val="9"/>
            <color indexed="81"/>
            <rFont val="돋움"/>
            <family val="3"/>
            <charset val="129"/>
          </rPr>
          <t>함수를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통해
</t>
        </r>
        <r>
          <rPr>
            <b/>
            <sz val="9"/>
            <color indexed="81"/>
            <rFont val="Tahoma"/>
            <family val="2"/>
          </rPr>
          <t>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"O"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NIC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
H</t>
        </r>
        <r>
          <rPr>
            <b/>
            <sz val="9"/>
            <color indexed="81"/>
            <rFont val="돋움"/>
            <family val="3"/>
            <charset val="129"/>
          </rPr>
          <t>열이</t>
        </r>
        <r>
          <rPr>
            <b/>
            <sz val="9"/>
            <color indexed="81"/>
            <rFont val="Tahoma"/>
            <family val="2"/>
          </rPr>
          <t xml:space="preserve"> "X"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>, Subnet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>+"-NSG"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I1" authorId="0" shapeId="0" xr:uid="{853AB931-7CF3-4657-9C24-E670AAC7282B}">
      <text>
        <r>
          <rPr>
            <b/>
            <sz val="9"/>
            <color indexed="81"/>
            <rFont val="Tahoma"/>
            <family val="2"/>
          </rPr>
          <t xml:space="preserve">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>(I ~ L</t>
        </r>
        <r>
          <rPr>
            <b/>
            <sz val="9"/>
            <color indexed="81"/>
            <rFont val="돋움"/>
            <family val="3"/>
            <charset val="129"/>
          </rPr>
          <t>열</t>
        </r>
        <r>
          <rPr>
            <b/>
            <sz val="9"/>
            <color indexed="81"/>
            <rFont val="Tahoma"/>
            <family val="2"/>
          </rPr>
          <t xml:space="preserve">)
1. </t>
        </r>
        <r>
          <rPr>
            <b/>
            <sz val="9"/>
            <color indexed="81"/>
            <rFont val="돋움"/>
            <family val="3"/>
            <charset val="129"/>
          </rPr>
          <t>숫자가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형식은</t>
        </r>
        <r>
          <rPr>
            <b/>
            <sz val="9"/>
            <color indexed="81"/>
            <rFont val="Tahoma"/>
            <family val="2"/>
          </rPr>
          <t xml:space="preserve"> String
2. Protocol</t>
        </r>
        <r>
          <rPr>
            <b/>
            <sz val="9"/>
            <color indexed="81"/>
            <rFont val="돋움"/>
            <family val="3"/>
            <charset val="129"/>
          </rPr>
          <t>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다르게</t>
        </r>
        <r>
          <rPr>
            <b/>
            <sz val="9"/>
            <color indexed="81"/>
            <rFont val="Tahoma"/>
            <family val="2"/>
          </rPr>
          <t xml:space="preserve"> 'Any' </t>
        </r>
        <r>
          <rPr>
            <b/>
            <sz val="9"/>
            <color indexed="81"/>
            <rFont val="돋움"/>
            <family val="3"/>
            <charset val="129"/>
          </rPr>
          <t>사용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
→</t>
        </r>
        <r>
          <rPr>
            <b/>
            <sz val="9"/>
            <color indexed="81"/>
            <rFont val="Tahoma"/>
            <family val="2"/>
          </rPr>
          <t xml:space="preserve"> *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스크립트에서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빈값이거나</t>
        </r>
        <r>
          <rPr>
            <b/>
            <sz val="9"/>
            <color indexed="81"/>
            <rFont val="Tahoma"/>
            <family val="2"/>
          </rPr>
          <t xml:space="preserve"> Any</t>
        </r>
        <r>
          <rPr>
            <b/>
            <sz val="9"/>
            <color indexed="81"/>
            <rFont val="돋움"/>
            <family val="3"/>
            <charset val="129"/>
          </rPr>
          <t>이면</t>
        </r>
        <r>
          <rPr>
            <b/>
            <sz val="9"/>
            <color indexed="81"/>
            <rFont val="Tahoma"/>
            <family val="2"/>
          </rPr>
          <t xml:space="preserve"> * </t>
        </r>
        <r>
          <rPr>
            <b/>
            <sz val="9"/>
            <color indexed="81"/>
            <rFont val="돋움"/>
            <family val="3"/>
            <charset val="129"/>
          </rPr>
          <t>변환하는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로직은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추가하긴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3. </t>
        </r>
        <r>
          <rPr>
            <b/>
            <sz val="9"/>
            <color indexed="81"/>
            <rFont val="돋움"/>
            <family val="3"/>
            <charset val="129"/>
          </rPr>
          <t>복수의</t>
        </r>
        <r>
          <rPr>
            <b/>
            <sz val="9"/>
            <color indexed="81"/>
            <rFont val="Tahoma"/>
            <family val="2"/>
          </rPr>
          <t xml:space="preserve"> IP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Port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</t>
        </r>
        <r>
          <rPr>
            <b/>
            <sz val="9"/>
            <color indexed="81"/>
            <rFont val="Tahoma"/>
            <family val="2"/>
          </rPr>
          <t>(,)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사용함
다만</t>
        </r>
        <r>
          <rPr>
            <b/>
            <sz val="9"/>
            <color indexed="81"/>
            <rFont val="Tahoma"/>
            <family val="2"/>
          </rPr>
          <t>, PowerShell Script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콤마를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숫자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구분기호로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인식하기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때문에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에러가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발생
→</t>
        </r>
        <r>
          <rPr>
            <b/>
            <sz val="9"/>
            <color indexed="81"/>
            <rFont val="Tahoma"/>
            <family val="2"/>
          </rPr>
          <t xml:space="preserve"> I~L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서식으로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부분은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텍스트</t>
        </r>
        <r>
          <rPr>
            <b/>
            <sz val="9"/>
            <color indexed="81"/>
            <rFont val="Tahoma"/>
            <family val="2"/>
          </rPr>
          <t xml:space="preserve">(String) </t>
        </r>
        <r>
          <rPr>
            <b/>
            <sz val="9"/>
            <color indexed="81"/>
            <rFont val="돋움"/>
            <family val="3"/>
            <charset val="129"/>
          </rPr>
          <t>처리되도록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zenithn</author>
  </authors>
  <commentList>
    <comment ref="Q1" authorId="0" shapeId="0" xr:uid="{6D097393-523D-44A5-B559-F99AED6EE617}">
      <text>
        <r>
          <rPr>
            <b/>
            <sz val="9"/>
            <color indexed="81"/>
            <rFont val="Tahoma"/>
            <family val="2"/>
          </rPr>
          <t>LoadDistribution(</t>
        </r>
        <r>
          <rPr>
            <b/>
            <sz val="9"/>
            <color indexed="81"/>
            <rFont val="돋움"/>
            <family val="3"/>
            <charset val="129"/>
          </rPr>
          <t>세션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지속성</t>
        </r>
        <r>
          <rPr>
            <b/>
            <sz val="9"/>
            <color indexed="81"/>
            <rFont val="Tahoma"/>
            <family val="2"/>
          </rPr>
          <t>)
- Default = None (5-tuple hash)
- SourceIP = Client IP (2-tuple)
- SourceIPProtocol = Client IP and protocol (3-tuple)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<sst xmlns="http://schemas.openxmlformats.org/spreadsheetml/2006/main" count="7288" uniqueCount="1105">
  <si>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</si>
  <si>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</si>
  <si>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</si>
  <si>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</si>
  <si>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</si>
  <si>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</si>
  <si>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</si>
  <si>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</si>
  <si>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</si>
  <si>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</si>
  <si>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</si>
  <si>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</si>
  <si>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</si>
  <si>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</si>
  <si>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</si>
  <si>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</si>
  <si>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</si>
  <si>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NicName</t>
  </si>
  <si>
    <t>IsStatic</t>
  </si>
  <si>
    <t>VnetName</t>
  </si>
  <si>
    <t>SubnetName</t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</si>
  <si>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</si>
  <si>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</si>
  <si>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</si>
  <si>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</si>
  <si>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Zones</t>
    <phoneticPr fontId="1" type="noConversion"/>
  </si>
  <si>
    <t>10.10.10.81</t>
    <phoneticPr fontId="1" type="noConversion"/>
  </si>
  <si>
    <t>10.10.10.82</t>
    <phoneticPr fontId="1" type="noConversion"/>
  </si>
  <si>
    <t>ImageResourceId</t>
    <phoneticPr fontId="1" type="noConversion"/>
  </si>
  <si>
    <t>WEB1</t>
    <phoneticPr fontId="1" type="noConversion"/>
  </si>
  <si>
    <t>WEB2</t>
    <phoneticPr fontId="1" type="noConversion"/>
  </si>
  <si>
    <t>NIC</t>
    <phoneticPr fontId="1" type="noConversion"/>
  </si>
  <si>
    <t>WEB3</t>
    <phoneticPr fontId="1" type="noConversion"/>
  </si>
  <si>
    <t>RG</t>
    <phoneticPr fontId="1" type="noConversion"/>
  </si>
  <si>
    <t>NSGName</t>
    <phoneticPr fontId="1" type="noConversion"/>
  </si>
  <si>
    <t>VirtualNetwork</t>
    <phoneticPr fontId="1" type="noConversion"/>
  </si>
  <si>
    <t>UseNIC</t>
    <phoneticPr fontId="1" type="noConversion"/>
  </si>
  <si>
    <t>Priority</t>
    <phoneticPr fontId="1" type="noConversion"/>
  </si>
  <si>
    <t>Name</t>
    <phoneticPr fontId="1" type="noConversion"/>
  </si>
  <si>
    <t>Action</t>
    <phoneticPr fontId="1" type="noConversion"/>
  </si>
  <si>
    <t>Direction</t>
    <phoneticPr fontId="1" type="noConversion"/>
  </si>
  <si>
    <t>Inbound</t>
    <phoneticPr fontId="1" type="noConversion"/>
  </si>
  <si>
    <t>Outbound</t>
    <phoneticPr fontId="1" type="noConversion"/>
  </si>
  <si>
    <t>Deny</t>
    <phoneticPr fontId="1" type="noConversion"/>
  </si>
  <si>
    <t>Allow</t>
    <phoneticPr fontId="1" type="noConversion"/>
  </si>
  <si>
    <t>Allow_from_Any_for_HTTP</t>
    <phoneticPr fontId="1" type="noConversion"/>
  </si>
  <si>
    <t>Allow_Google</t>
    <phoneticPr fontId="1" type="noConversion"/>
  </si>
  <si>
    <t>Allow_from_Zenith_to_Linux-002_for_SSH</t>
    <phoneticPr fontId="1" type="noConversion"/>
  </si>
  <si>
    <t>AllowAzureLoadBalancerInBound</t>
    <phoneticPr fontId="1" type="noConversion"/>
  </si>
  <si>
    <t>Allow_HTTP_from_Any</t>
    <phoneticPr fontId="1" type="noConversion"/>
  </si>
  <si>
    <t>Allow_SSH_from_Zenith_to_Linux-001</t>
    <phoneticPr fontId="1" type="noConversion"/>
  </si>
  <si>
    <t>DenyVNetInbound</t>
    <phoneticPr fontId="1" type="noConversion"/>
  </si>
  <si>
    <t>Protocol</t>
    <phoneticPr fontId="1" type="noConversion"/>
  </si>
  <si>
    <t>Src Addr</t>
    <phoneticPr fontId="1" type="noConversion"/>
  </si>
  <si>
    <t>Src Port</t>
    <phoneticPr fontId="1" type="noConversion"/>
  </si>
  <si>
    <t>Dest Addr</t>
    <phoneticPr fontId="1" type="noConversion"/>
  </si>
  <si>
    <t>Dest Port</t>
    <phoneticPr fontId="1" type="noConversion"/>
  </si>
  <si>
    <t>TCP</t>
    <phoneticPr fontId="1" type="noConversion"/>
  </si>
  <si>
    <t>*</t>
    <phoneticPr fontId="1" type="noConversion"/>
  </si>
  <si>
    <t>Any</t>
    <phoneticPr fontId="1" type="noConversion"/>
  </si>
  <si>
    <t>AzureLoadBalancer</t>
    <phoneticPr fontId="1" type="noConversion"/>
  </si>
  <si>
    <t>123.141.145.0/24</t>
    <phoneticPr fontId="1" type="noConversion"/>
  </si>
  <si>
    <t>SSH 접속용</t>
    <phoneticPr fontId="1" type="noConversion"/>
  </si>
  <si>
    <t>대외 서비스용</t>
    <phoneticPr fontId="1" type="noConversion"/>
  </si>
  <si>
    <t>외부 인터넷 통신 차단</t>
    <phoneticPr fontId="1" type="noConversion"/>
  </si>
  <si>
    <t>VNet 내 인바운드 통신 차단</t>
    <phoneticPr fontId="1" type="noConversion"/>
  </si>
  <si>
    <t>Azure Load Balancer 통신</t>
    <phoneticPr fontId="1" type="noConversion"/>
  </si>
  <si>
    <t>8.8.8.8</t>
    <phoneticPr fontId="1" type="noConversion"/>
  </si>
  <si>
    <t>Internet</t>
    <phoneticPr fontId="1" type="noConversion"/>
  </si>
  <si>
    <t>Google과의 아웃바운드 통신</t>
    <phoneticPr fontId="1" type="noConversion"/>
  </si>
  <si>
    <t>10.10.10.40</t>
    <phoneticPr fontId="1" type="noConversion"/>
  </si>
  <si>
    <t>10.10.10.81,10.10.10.82</t>
    <phoneticPr fontId="1" type="noConversion"/>
  </si>
  <si>
    <t>DenyInternetOutbound</t>
    <phoneticPr fontId="1" type="noConversion"/>
  </si>
  <si>
    <t>123.141.145.22,123.141.145.23</t>
    <phoneticPr fontId="1" type="noConversion"/>
  </si>
  <si>
    <t>123,245</t>
    <phoneticPr fontId="1" type="noConversion"/>
  </si>
  <si>
    <t>80,443</t>
    <phoneticPr fontId="1" type="noConversion"/>
  </si>
  <si>
    <t>80,443,8080</t>
    <phoneticPr fontId="1" type="noConversion"/>
  </si>
  <si>
    <t>80,8080</t>
    <phoneticPr fontId="1" type="noConversion"/>
  </si>
  <si>
    <t>비고</t>
    <phoneticPr fontId="1" type="noConversion"/>
  </si>
  <si>
    <t>Subnet1 Name</t>
    <phoneticPr fontId="1" type="noConversion"/>
  </si>
  <si>
    <t>Subnet1 Address</t>
    <phoneticPr fontId="1" type="noConversion"/>
  </si>
  <si>
    <t>Subnet2 Name</t>
    <phoneticPr fontId="1" type="noConversion"/>
  </si>
  <si>
    <t>Subnet2 Address</t>
    <phoneticPr fontId="1" type="noConversion"/>
  </si>
  <si>
    <t>Subnet3 Name</t>
  </si>
  <si>
    <t>Subnet3 Address</t>
  </si>
  <si>
    <t>VnetRG</t>
    <phoneticPr fontId="1" type="noConversion"/>
  </si>
  <si>
    <t>OsType</t>
    <phoneticPr fontId="1" type="noConversion"/>
  </si>
  <si>
    <t>VNet1 Name</t>
    <phoneticPr fontId="1" type="noConversion"/>
  </si>
  <si>
    <t>VNet1 Address</t>
    <phoneticPr fontId="1" type="noConversion"/>
  </si>
  <si>
    <t>VNet2 Address</t>
    <phoneticPr fontId="1" type="noConversion"/>
  </si>
  <si>
    <t>VNet3 Address</t>
    <phoneticPr fontId="1" type="noConversion"/>
  </si>
  <si>
    <t>VNetRG</t>
    <phoneticPr fontId="1" type="noConversion"/>
  </si>
  <si>
    <t>VNetName</t>
    <phoneticPr fontId="1" type="noConversion"/>
  </si>
  <si>
    <t>SubnetName</t>
    <phoneticPr fontId="1" type="noConversion"/>
  </si>
  <si>
    <t>PRDWEB01-nic-NSG</t>
    <phoneticPr fontId="1" type="noConversion"/>
  </si>
  <si>
    <t>PRDWEB02-nic-NSG</t>
  </si>
  <si>
    <t>PRDWEB02-nic-NSG</t>
    <phoneticPr fontId="1" type="noConversion"/>
  </si>
  <si>
    <t>PRDWEBSubnet-NSG</t>
    <phoneticPr fontId="1" type="noConversion"/>
  </si>
  <si>
    <t>STGWEBSubnet-NSG</t>
    <phoneticPr fontId="1" type="noConversion"/>
  </si>
  <si>
    <t>LBName</t>
    <phoneticPr fontId="1" type="noConversion"/>
  </si>
  <si>
    <t>RGName</t>
    <phoneticPr fontId="1" type="noConversion"/>
  </si>
  <si>
    <t>SKU</t>
    <phoneticPr fontId="1" type="noConversion"/>
  </si>
  <si>
    <t>Internal</t>
    <phoneticPr fontId="1" type="noConversion"/>
  </si>
  <si>
    <t>FEType</t>
    <phoneticPr fontId="1" type="noConversion"/>
  </si>
  <si>
    <t>FEName</t>
    <phoneticPr fontId="1" type="noConversion"/>
  </si>
  <si>
    <t>FEVNetName</t>
    <phoneticPr fontId="1" type="noConversion"/>
  </si>
  <si>
    <t>FESubnetName</t>
    <phoneticPr fontId="1" type="noConversion"/>
  </si>
  <si>
    <t>PrivateIPAllocation</t>
    <phoneticPr fontId="1" type="noConversion"/>
  </si>
  <si>
    <t>Static</t>
    <phoneticPr fontId="1" type="noConversion"/>
  </si>
  <si>
    <t>PrivateIPAddress</t>
    <phoneticPr fontId="1" type="noConversion"/>
  </si>
  <si>
    <t>BEPoolName</t>
    <phoneticPr fontId="1" type="noConversion"/>
  </si>
  <si>
    <t>Standard</t>
    <phoneticPr fontId="1" type="noConversion"/>
  </si>
  <si>
    <t>ProbeName</t>
    <phoneticPr fontId="1" type="noConversion"/>
  </si>
  <si>
    <t>Port</t>
    <phoneticPr fontId="1" type="noConversion"/>
  </si>
  <si>
    <t>RequestPath</t>
    <phoneticPr fontId="1" type="noConversion"/>
  </si>
  <si>
    <t>IntervalInSeconds</t>
    <phoneticPr fontId="1" type="noConversion"/>
  </si>
  <si>
    <t>ProbeCount</t>
    <phoneticPr fontId="1" type="noConversion"/>
  </si>
  <si>
    <t>RuleName</t>
    <phoneticPr fontId="1" type="noConversion"/>
  </si>
  <si>
    <t>FEPort</t>
    <phoneticPr fontId="1" type="noConversion"/>
  </si>
  <si>
    <t>BEPort</t>
    <phoneticPr fontId="1" type="noConversion"/>
  </si>
  <si>
    <t>EnableFloatingIP</t>
    <phoneticPr fontId="1" type="noConversion"/>
  </si>
  <si>
    <t>IdleTimeouInMin</t>
    <phoneticPr fontId="1" type="noConversion"/>
  </si>
  <si>
    <t>LoadDistribution</t>
    <phoneticPr fontId="1" type="noConversion"/>
  </si>
  <si>
    <t>Default</t>
    <phoneticPr fontId="1" type="noConversion"/>
  </si>
  <si>
    <t>FEZone</t>
    <phoneticPr fontId="1" type="noConversion"/>
  </si>
  <si>
    <t>FEZoneMode</t>
    <phoneticPr fontId="1" type="noConversion"/>
  </si>
  <si>
    <t xml:space="preserve">EnableTcpReset </t>
    <phoneticPr fontId="1" type="noConversion"/>
  </si>
  <si>
    <t>EnableHAports</t>
    <phoneticPr fontId="1" type="noConversion"/>
  </si>
  <si>
    <t>FEVNetRG</t>
    <phoneticPr fontId="1" type="noConversion"/>
  </si>
  <si>
    <t>DESName</t>
    <phoneticPr fontId="1" type="noConversion"/>
  </si>
  <si>
    <t>Subnet4 Name</t>
  </si>
  <si>
    <t>Subnet4 Address</t>
  </si>
  <si>
    <t>Subnet5 Name</t>
  </si>
  <si>
    <t>Subnet5 Address</t>
  </si>
  <si>
    <t>Subnet6 Name</t>
  </si>
  <si>
    <t>Subnet6 Address</t>
  </si>
  <si>
    <t>Subnet7 Name</t>
  </si>
  <si>
    <t>Subnet7 Address</t>
  </si>
  <si>
    <t>Subnet8 Name</t>
  </si>
  <si>
    <t>Subnet8 Address</t>
  </si>
  <si>
    <t>Subnet9 Name</t>
  </si>
  <si>
    <t>Subnet9 Address</t>
  </si>
  <si>
    <t>Subnet10 Name</t>
  </si>
  <si>
    <t>Subnet10 Address</t>
  </si>
  <si>
    <t>Subnet11 Name</t>
  </si>
  <si>
    <t>Subnet11 Address</t>
  </si>
  <si>
    <t>Subnet12 Name</t>
  </si>
  <si>
    <t>Subnet12 Address</t>
  </si>
  <si>
    <t>Subnet13 Name</t>
  </si>
  <si>
    <t>Subnet13 Address</t>
  </si>
  <si>
    <t>Subnet14 Name</t>
  </si>
  <si>
    <t>Subnet14 Address</t>
  </si>
  <si>
    <t>Subnet15 Name</t>
  </si>
  <si>
    <t>Subnet15 Address</t>
  </si>
  <si>
    <t>Subnet16 Name</t>
  </si>
  <si>
    <t>Subnet16 Address</t>
  </si>
  <si>
    <t>Subnet17 Name</t>
  </si>
  <si>
    <t>Subnet17 Address</t>
  </si>
  <si>
    <t>Subnet18 Name</t>
  </si>
  <si>
    <t>Subnet18 Address</t>
  </si>
  <si>
    <t>Subnet19 Name</t>
  </si>
  <si>
    <t>Subnet19 Address</t>
  </si>
  <si>
    <t>Subnet20 Name</t>
  </si>
  <si>
    <t>Subnet20 Address</t>
  </si>
  <si>
    <t>Subnet21 Name</t>
  </si>
  <si>
    <t>Subnet21 Address</t>
  </si>
  <si>
    <t>Subnet22 Name</t>
  </si>
  <si>
    <t>Subnet22 Address</t>
  </si>
  <si>
    <t>Subnet23 Name</t>
  </si>
  <si>
    <t>Subnet23 Address</t>
  </si>
  <si>
    <t>Subnet24 Name</t>
  </si>
  <si>
    <t>Subnet24 Address</t>
  </si>
  <si>
    <t>Subnet25 Name</t>
  </si>
  <si>
    <t>Subnet25 Address</t>
  </si>
  <si>
    <t>Subnet26 Name</t>
  </si>
  <si>
    <t>Subnet26 Address</t>
  </si>
  <si>
    <t>Subnet27 Name</t>
  </si>
  <si>
    <t>Subnet27 Address</t>
  </si>
  <si>
    <t>Gksthschlrh!2#4</t>
    <phoneticPr fontId="1" type="noConversion"/>
  </si>
  <si>
    <t>StandardSSD_LRS</t>
    <phoneticPr fontId="1" type="noConversion"/>
  </si>
  <si>
    <t>hwgiifadmin</t>
    <phoneticPr fontId="1" type="noConversion"/>
  </si>
  <si>
    <t>VMName</t>
    <phoneticPr fontId="1" type="noConversion"/>
  </si>
  <si>
    <t>Zone</t>
    <phoneticPr fontId="1" type="noConversion"/>
  </si>
  <si>
    <t>Datadisk1Name</t>
    <phoneticPr fontId="1" type="noConversion"/>
  </si>
  <si>
    <t>Datadisk2Name</t>
    <phoneticPr fontId="1" type="noConversion"/>
  </si>
  <si>
    <t>DataDisk1Type</t>
    <phoneticPr fontId="1" type="noConversion"/>
  </si>
  <si>
    <t>Datadisk1Size</t>
    <phoneticPr fontId="1" type="noConversion"/>
  </si>
  <si>
    <t>DataDisk2Type</t>
    <phoneticPr fontId="1" type="noConversion"/>
  </si>
  <si>
    <t>Datadisk2Size</t>
    <phoneticPr fontId="1" type="noConversion"/>
  </si>
  <si>
    <t>DoubleEncryption</t>
    <phoneticPr fontId="1" type="noConversion"/>
  </si>
  <si>
    <t>HostCaching</t>
    <phoneticPr fontId="1" type="noConversion"/>
  </si>
  <si>
    <t>None</t>
    <phoneticPr fontId="1" type="noConversion"/>
  </si>
  <si>
    <t>DESRG</t>
    <phoneticPr fontId="1" type="noConversion"/>
  </si>
  <si>
    <t>EnableAcceleratedNetworking</t>
    <phoneticPr fontId="1" type="noConversion"/>
  </si>
  <si>
    <t xml:space="preserve">UseOsDiskDoubleEncryption </t>
    <phoneticPr fontId="1" type="noConversion"/>
  </si>
  <si>
    <t>RouteName</t>
    <phoneticPr fontId="1" type="noConversion"/>
  </si>
  <si>
    <t>UDRName</t>
    <phoneticPr fontId="1" type="noConversion"/>
  </si>
  <si>
    <t>Internet</t>
  </si>
  <si>
    <t>hazr-o-devops-int-vnet_1</t>
  </si>
  <si>
    <t>hazr-o-devops-int-vnet_2</t>
  </si>
  <si>
    <t>hazr-o-devops-int-vnet_3</t>
  </si>
  <si>
    <t>hazr-o-devops-int-vnet_4</t>
  </si>
  <si>
    <t>hazr-l-comm-vnet</t>
  </si>
  <si>
    <t>Onprem01</t>
  </si>
  <si>
    <t>Onprem02</t>
  </si>
  <si>
    <t>Onprem03</t>
  </si>
  <si>
    <t>Onprem04</t>
  </si>
  <si>
    <t>Onprem05</t>
  </si>
  <si>
    <t>Onprem06</t>
  </si>
  <si>
    <t>Onprem07</t>
  </si>
  <si>
    <t>Onprem08</t>
  </si>
  <si>
    <t>Onprem09</t>
  </si>
  <si>
    <t>Onprem10</t>
  </si>
  <si>
    <t>AddressPrefix</t>
    <phoneticPr fontId="1" type="noConversion"/>
  </si>
  <si>
    <t>0.0.0.0/0</t>
  </si>
  <si>
    <t>10.155.128.0/24</t>
  </si>
  <si>
    <t>10.155.129.0/24</t>
  </si>
  <si>
    <t>10.155.130.0/24</t>
  </si>
  <si>
    <t>10.155.131.0/24</t>
  </si>
  <si>
    <t>10.155.160.0/22</t>
  </si>
  <si>
    <t>NextHopType</t>
    <phoneticPr fontId="1" type="noConversion"/>
  </si>
  <si>
    <t>VirtualAppliance</t>
  </si>
  <si>
    <t>NextHopIpAddress</t>
    <phoneticPr fontId="1" type="noConversion"/>
  </si>
  <si>
    <t>hazr-l-comm-vnet</t>
    <phoneticPr fontId="1" type="noConversion"/>
  </si>
  <si>
    <t>Gksthschlrh!2#4</t>
  </si>
  <si>
    <t>-</t>
    <phoneticPr fontId="1" type="noConversion"/>
  </si>
  <si>
    <t>O</t>
    <phoneticPr fontId="1" type="noConversion"/>
  </si>
  <si>
    <t>NicRG</t>
    <phoneticPr fontId="1" type="noConversion"/>
  </si>
  <si>
    <t>X</t>
    <phoneticPr fontId="1" type="noConversion"/>
  </si>
  <si>
    <t>hazr-l-mon-whtap02</t>
    <phoneticPr fontId="1" type="noConversion"/>
  </si>
  <si>
    <t>hazr-l-mon-whtap01</t>
    <phoneticPr fontId="1" type="noConversion"/>
  </si>
  <si>
    <t>hazr-l-comm-rg</t>
    <phoneticPr fontId="1" type="noConversion"/>
  </si>
  <si>
    <t>hazr-l-comm-double-des</t>
    <phoneticPr fontId="1" type="noConversion"/>
  </si>
  <si>
    <t>hazr-l-mon-whtap03</t>
    <phoneticPr fontId="1" type="noConversion"/>
  </si>
  <si>
    <t>PBPort</t>
    <phoneticPr fontId="1" type="noConversion"/>
  </si>
  <si>
    <t>PBProtocol</t>
    <phoneticPr fontId="1" type="noConversion"/>
  </si>
  <si>
    <t>hazr-p-dch-rg</t>
  </si>
  <si>
    <t>hazr-p-dch-ext-vnet</t>
  </si>
  <si>
    <t>hazr-p-dch-int-vnet</t>
  </si>
  <si>
    <t>p-dis-web-sbn</t>
  </si>
  <si>
    <t>p-puls-web-sbn</t>
  </si>
  <si>
    <t>p-doip-web-sbn</t>
  </si>
  <si>
    <t>p-dtg-web-sbn</t>
  </si>
  <si>
    <t>p-bdp-web-sbn</t>
  </si>
  <si>
    <t>p-dip-web-sbn</t>
  </si>
  <si>
    <t>p-com-web-sbn</t>
  </si>
  <si>
    <t>p-if-web-sbn</t>
  </si>
  <si>
    <t>p-cs-web-sbn</t>
  </si>
  <si>
    <t>p-dis-ap-sbn</t>
  </si>
  <si>
    <t>p-dis-db-sbn</t>
  </si>
  <si>
    <t>p-dis-pe-sbn</t>
  </si>
  <si>
    <t>p-puls-ap-sbn</t>
  </si>
  <si>
    <t>p-plus-db-sbn</t>
  </si>
  <si>
    <t>p-puls-pe-sbn</t>
  </si>
  <si>
    <t>p-doip-ap-sbn</t>
  </si>
  <si>
    <t>p-doip-db-sbn</t>
  </si>
  <si>
    <t>p-doip-pe-sbn</t>
  </si>
  <si>
    <t>p-dtg-ap-sbn</t>
  </si>
  <si>
    <t>p-dtg-db-sbn</t>
  </si>
  <si>
    <t>p-dtg-pe-sbn</t>
  </si>
  <si>
    <t>p-bdp-ap-sbn</t>
  </si>
  <si>
    <t>p-bdp-db-sbn</t>
  </si>
  <si>
    <t>p-bdp-pe-sbn</t>
  </si>
  <si>
    <t>p-dip-ap-sbn</t>
  </si>
  <si>
    <t>p-dip-db-sbn</t>
  </si>
  <si>
    <t>p-dip-pe-sbn</t>
  </si>
  <si>
    <t>p-com-ap-sbn</t>
  </si>
  <si>
    <t>p-com-db-sbn</t>
  </si>
  <si>
    <t>p-com-pe-sbn</t>
  </si>
  <si>
    <t>p-if-ap-sbn</t>
  </si>
  <si>
    <t>p-if-db-sbn</t>
  </si>
  <si>
    <t>p-if-pe-sbn</t>
  </si>
  <si>
    <t>p-cs-ap-sbn</t>
  </si>
  <si>
    <t>p-cs-db-sbn</t>
  </si>
  <si>
    <t>p-cs-pe-sbn</t>
  </si>
  <si>
    <t>10.158.128.0/20</t>
    <phoneticPr fontId="1" type="noConversion"/>
  </si>
  <si>
    <t>10.158.128.0/24</t>
  </si>
  <si>
    <t>10.158.129.0/24</t>
  </si>
  <si>
    <t>10.158.130.0/24</t>
  </si>
  <si>
    <t>10.158.131.0/24</t>
  </si>
  <si>
    <t>10.158.132.0/24</t>
  </si>
  <si>
    <t>10.158.133.0/24</t>
  </si>
  <si>
    <t>10.158.134.0/24</t>
  </si>
  <si>
    <t>10.158.135.0/24</t>
  </si>
  <si>
    <t>10.158.136.0/24</t>
  </si>
  <si>
    <t>10.158.144.0/20</t>
  </si>
  <si>
    <t>10.158.160.0/20</t>
  </si>
  <si>
    <t>10.158.176.0/20</t>
  </si>
  <si>
    <t>10.158.144.0/24</t>
  </si>
  <si>
    <t>10.158.145.0/24</t>
  </si>
  <si>
    <t>10.158.146.0/24</t>
  </si>
  <si>
    <t>10.158.147.0/24</t>
  </si>
  <si>
    <t>10.158.148.0/24</t>
  </si>
  <si>
    <t>10.158.149.0/24</t>
  </si>
  <si>
    <t>10.158.150.0/24</t>
  </si>
  <si>
    <t>10.158.151.0/24</t>
  </si>
  <si>
    <t>10.158.152.0/24</t>
  </si>
  <si>
    <t>10.158.153.0/24</t>
  </si>
  <si>
    <t>10.158.154.0/24</t>
  </si>
  <si>
    <t>10.158.155.0/24</t>
  </si>
  <si>
    <t>10.158.156.0/24</t>
  </si>
  <si>
    <t>10.158.157.0/24</t>
  </si>
  <si>
    <t>10.158.158.0/24</t>
  </si>
  <si>
    <t>10.158.159.0/24</t>
  </si>
  <si>
    <t>10.158.160.0/24</t>
  </si>
  <si>
    <t>10.158.161.0/24</t>
  </si>
  <si>
    <t>10.158.162.0/24</t>
  </si>
  <si>
    <t>10.158.163.0/24</t>
  </si>
  <si>
    <t>10.158.164.0/24</t>
  </si>
  <si>
    <t>10.158.165.0/24</t>
  </si>
  <si>
    <t>10.158.166.0/24</t>
  </si>
  <si>
    <t>10.158.167.0/24</t>
  </si>
  <si>
    <t>10.158.168.0/24</t>
  </si>
  <si>
    <t>10.158.169.0/24</t>
  </si>
  <si>
    <t>10.158.170.0/24</t>
  </si>
  <si>
    <t>hazr-p-com-rg</t>
  </si>
  <si>
    <t>hazr-p-cs-rg</t>
  </si>
  <si>
    <t>hazr-p-dis-rg</t>
  </si>
  <si>
    <t>hazr-p-doip-rg</t>
  </si>
  <si>
    <t>hazr-p-dtg-rg</t>
  </si>
  <si>
    <t>hazr-p-if-rg</t>
  </si>
  <si>
    <t>hazr-p-bdp-rg</t>
  </si>
  <si>
    <t>hazr-p-puls-rg</t>
  </si>
  <si>
    <t>hazr-p-dch-rg</t>
    <phoneticPr fontId="1" type="noConversion"/>
  </si>
  <si>
    <t>hazr-p-dch-des</t>
    <phoneticPr fontId="1" type="noConversion"/>
  </si>
  <si>
    <t>p-dch-ext-vnet-udr</t>
  </si>
  <si>
    <t>hazr-p-dch-int-vnet_1</t>
  </si>
  <si>
    <t>hazr-p-dch-int-vnet_2</t>
  </si>
  <si>
    <t>hazr-p-dch-int-vnet_3</t>
  </si>
  <si>
    <t>hazr-lp-sec-int-vnet</t>
    <phoneticPr fontId="1" type="noConversion"/>
  </si>
  <si>
    <t>10.158.144.0/20</t>
    <phoneticPr fontId="1" type="noConversion"/>
  </si>
  <si>
    <t>10.158.160.0/20</t>
    <phoneticPr fontId="1" type="noConversion"/>
  </si>
  <si>
    <t>10.158.176.0/20</t>
    <phoneticPr fontId="1" type="noConversion"/>
  </si>
  <si>
    <t>10.0.0.0/8</t>
    <phoneticPr fontId="1" type="noConversion"/>
  </si>
  <si>
    <t>172.16.0.0/16</t>
    <phoneticPr fontId="1" type="noConversion"/>
  </si>
  <si>
    <t>172.18.0.0/16</t>
    <phoneticPr fontId="1" type="noConversion"/>
  </si>
  <si>
    <t>172.20.0.0/16</t>
    <phoneticPr fontId="1" type="noConversion"/>
  </si>
  <si>
    <t>172.26.0.0/16</t>
    <phoneticPr fontId="1" type="noConversion"/>
  </si>
  <si>
    <t>172.28.0.0/16</t>
    <phoneticPr fontId="1" type="noConversion"/>
  </si>
  <si>
    <t>172.29.0.0/16</t>
    <phoneticPr fontId="1" type="noConversion"/>
  </si>
  <si>
    <t>172.30.0.0/16</t>
    <phoneticPr fontId="1" type="noConversion"/>
  </si>
  <si>
    <t>172.31.0.0/16</t>
    <phoneticPr fontId="1" type="noConversion"/>
  </si>
  <si>
    <t>172.32.0.0/16</t>
    <phoneticPr fontId="1" type="noConversion"/>
  </si>
  <si>
    <t>hazr-p-dch-ext-vnet_1</t>
    <phoneticPr fontId="1" type="noConversion"/>
  </si>
  <si>
    <t>hazr-p-dch-int-vnet</t>
    <phoneticPr fontId="1" type="noConversion"/>
  </si>
  <si>
    <t>hazr-p-dis-ap01</t>
    <phoneticPr fontId="1" type="noConversion"/>
  </si>
  <si>
    <t>p-dis-ap-sbn</t>
    <phoneticPr fontId="1" type="noConversion"/>
  </si>
  <si>
    <t>hazr-p-dis-ap02</t>
    <phoneticPr fontId="1" type="noConversion"/>
  </si>
  <si>
    <t>hazr-p-dis-adm01</t>
    <phoneticPr fontId="1" type="noConversion"/>
  </si>
  <si>
    <t>hazr-p-dis-adm02</t>
    <phoneticPr fontId="1" type="noConversion"/>
  </si>
  <si>
    <t>hazr-p-dis-bbiweb01</t>
    <phoneticPr fontId="1" type="noConversion"/>
  </si>
  <si>
    <t>hazr-p-dch-ext-vnet</t>
    <phoneticPr fontId="1" type="noConversion"/>
  </si>
  <si>
    <t>p-dis-web-sbn</t>
    <phoneticPr fontId="1" type="noConversion"/>
  </si>
  <si>
    <t>hazr-p-dis-bbiweb02</t>
    <phoneticPr fontId="1" type="noConversion"/>
  </si>
  <si>
    <t>hazr-p-dis-bbicltap01</t>
    <phoneticPr fontId="1" type="noConversion"/>
  </si>
  <si>
    <t>hazr-p-dis-bbicltap02</t>
    <phoneticPr fontId="1" type="noConversion"/>
  </si>
  <si>
    <t>hazr-p-dis-bbimsgap01</t>
    <phoneticPr fontId="1" type="noConversion"/>
  </si>
  <si>
    <t>hazr-p-dis-bbimsgap02</t>
    <phoneticPr fontId="1" type="noConversion"/>
  </si>
  <si>
    <t>hazr-p-dis-bat01</t>
    <phoneticPr fontId="1" type="noConversion"/>
  </si>
  <si>
    <t>hazr-p-dis-bat02</t>
    <phoneticPr fontId="1" type="noConversion"/>
  </si>
  <si>
    <t>hazr-p-dis-bat03</t>
    <phoneticPr fontId="1" type="noConversion"/>
  </si>
  <si>
    <t>hazr-p-dis-drvcltap01</t>
    <phoneticPr fontId="1" type="noConversion"/>
  </si>
  <si>
    <t>hazr-p-dis-drvcltap02</t>
    <phoneticPr fontId="1" type="noConversion"/>
  </si>
  <si>
    <t>hazr-p-dis-drvmsgap01</t>
    <phoneticPr fontId="1" type="noConversion"/>
  </si>
  <si>
    <t>hazr-p-dis-drvmsgap02</t>
    <phoneticPr fontId="1" type="noConversion"/>
  </si>
  <si>
    <t>hazr-p-dis-web01</t>
    <phoneticPr fontId="1" type="noConversion"/>
  </si>
  <si>
    <t>hazr-p-dis-web02</t>
    <phoneticPr fontId="1" type="noConversion"/>
  </si>
  <si>
    <t>hazr-p-dis-web03</t>
    <phoneticPr fontId="1" type="noConversion"/>
  </si>
  <si>
    <t>hazr-p-dis-web04</t>
    <phoneticPr fontId="1" type="noConversion"/>
  </si>
  <si>
    <t>hazr-p-dis-cmsadm01</t>
    <phoneticPr fontId="1" type="noConversion"/>
  </si>
  <si>
    <t>hazr-p-dis-cmsadm02</t>
    <phoneticPr fontId="1" type="noConversion"/>
  </si>
  <si>
    <t>hazr-p-dis-cmsap01</t>
    <phoneticPr fontId="1" type="noConversion"/>
  </si>
  <si>
    <t>hazr-p-dis-cmsap02</t>
    <phoneticPr fontId="1" type="noConversion"/>
  </si>
  <si>
    <t>hazr-p-dis-cmsweb01</t>
    <phoneticPr fontId="1" type="noConversion"/>
  </si>
  <si>
    <t>hazr-p-dis-cmsweb02</t>
    <phoneticPr fontId="1" type="noConversion"/>
  </si>
  <si>
    <t>hazr-p-dis-cmbsap01</t>
    <phoneticPr fontId="1" type="noConversion"/>
  </si>
  <si>
    <t>hazr-p-dis-cmbsap02</t>
    <phoneticPr fontId="1" type="noConversion"/>
  </si>
  <si>
    <t>hazr-p-dis-dfir01</t>
    <phoneticPr fontId="1" type="noConversion"/>
  </si>
  <si>
    <t>hazr-p-dtg-ingap01</t>
    <phoneticPr fontId="1" type="noConversion"/>
  </si>
  <si>
    <t>hazr-p-dtg-ingap02</t>
    <phoneticPr fontId="1" type="noConversion"/>
  </si>
  <si>
    <t>hazr-p-dtg-ingap03</t>
    <phoneticPr fontId="1" type="noConversion"/>
  </si>
  <si>
    <t>hazr-p-dtg-ingap04</t>
    <phoneticPr fontId="1" type="noConversion"/>
  </si>
  <si>
    <t>hazr-p-dtg-ap01</t>
    <phoneticPr fontId="1" type="noConversion"/>
  </si>
  <si>
    <t>hazr-p-dtg-ap02</t>
    <phoneticPr fontId="1" type="noConversion"/>
  </si>
  <si>
    <t>hazr-p-dtg-extgeoap01</t>
    <phoneticPr fontId="1" type="noConversion"/>
  </si>
  <si>
    <t>hazr-p-dtg-extgeoap02</t>
    <phoneticPr fontId="1" type="noConversion"/>
  </si>
  <si>
    <t>hazr-p-dtg-extgeoap03</t>
    <phoneticPr fontId="1" type="noConversion"/>
  </si>
  <si>
    <t>hazr-p-dtg-extgeoap04</t>
    <phoneticPr fontId="1" type="noConversion"/>
  </si>
  <si>
    <t>hazr-p-dtg-extgeoap05</t>
    <phoneticPr fontId="1" type="noConversion"/>
  </si>
  <si>
    <t>hazr-p-dtg-extgeoap06</t>
    <phoneticPr fontId="1" type="noConversion"/>
  </si>
  <si>
    <t>hazr-p-dtg-geoap01</t>
    <phoneticPr fontId="1" type="noConversion"/>
  </si>
  <si>
    <t>hazr-p-dtg-geoap02</t>
    <phoneticPr fontId="1" type="noConversion"/>
  </si>
  <si>
    <t>hazr-p-dtg-geoap03</t>
    <phoneticPr fontId="1" type="noConversion"/>
  </si>
  <si>
    <t>hazr-p-dtg-geoap04</t>
    <phoneticPr fontId="1" type="noConversion"/>
  </si>
  <si>
    <t>hazr-p-dtg-geoap05</t>
    <phoneticPr fontId="1" type="noConversion"/>
  </si>
  <si>
    <t>hazr-p-dtg-geoap06</t>
    <phoneticPr fontId="1" type="noConversion"/>
  </si>
  <si>
    <t>hazr-p-dtg-geoap07</t>
    <phoneticPr fontId="1" type="noConversion"/>
  </si>
  <si>
    <t>hazr-p-dtg-geoap08</t>
    <phoneticPr fontId="1" type="noConversion"/>
  </si>
  <si>
    <t>hazr-p-dtg-geoap09</t>
    <phoneticPr fontId="1" type="noConversion"/>
  </si>
  <si>
    <t>hazr-p-dtg-mq01</t>
    <phoneticPr fontId="1" type="noConversion"/>
  </si>
  <si>
    <t>hazr-p-dtg-mq02</t>
    <phoneticPr fontId="1" type="noConversion"/>
  </si>
  <si>
    <t>hazr-p-dtg-mq03</t>
    <phoneticPr fontId="1" type="noConversion"/>
  </si>
  <si>
    <t>hazr-p-dtg-mq04</t>
    <phoneticPr fontId="1" type="noConversion"/>
  </si>
  <si>
    <t>hazr-p-dtg-mq05</t>
    <phoneticPr fontId="1" type="noConversion"/>
  </si>
  <si>
    <t>hazr-p-dtg-mq06</t>
    <phoneticPr fontId="1" type="noConversion"/>
  </si>
  <si>
    <t>hazr-p-dtg-mq07</t>
    <phoneticPr fontId="1" type="noConversion"/>
  </si>
  <si>
    <t>hazr-p-dtg-mq08</t>
    <phoneticPr fontId="1" type="noConversion"/>
  </si>
  <si>
    <t>hazr-p-dtg-mq09</t>
    <phoneticPr fontId="1" type="noConversion"/>
  </si>
  <si>
    <t>hazr-p-dtg-admweb01</t>
    <phoneticPr fontId="1" type="noConversion"/>
  </si>
  <si>
    <t>hazr-p-dtg-admweb02</t>
    <phoneticPr fontId="1" type="noConversion"/>
  </si>
  <si>
    <t>hazr-p-dtg-admap01</t>
    <phoneticPr fontId="1" type="noConversion"/>
  </si>
  <si>
    <t>hazr-p-dtg-admap02</t>
    <phoneticPr fontId="1" type="noConversion"/>
  </si>
  <si>
    <t>hazr-p-dtg-dtoms01</t>
    <phoneticPr fontId="1" type="noConversion"/>
  </si>
  <si>
    <t>hazr-p-dtg-tsdb01</t>
    <phoneticPr fontId="1" type="noConversion"/>
  </si>
  <si>
    <t>hazr-p-dtg-tsdb02</t>
    <phoneticPr fontId="1" type="noConversion"/>
  </si>
  <si>
    <t>hazr-p-dtg-tsdb03</t>
    <phoneticPr fontId="1" type="noConversion"/>
  </si>
  <si>
    <t>hazr-p-dtg-tsdb04</t>
    <phoneticPr fontId="1" type="noConversion"/>
  </si>
  <si>
    <t>hazr-p-dtg-web01</t>
    <phoneticPr fontId="1" type="noConversion"/>
  </si>
  <si>
    <t>hazr-p-dtg-web02</t>
    <phoneticPr fontId="1" type="noConversion"/>
  </si>
  <si>
    <t>hazr-p-dtg-zkp01</t>
    <phoneticPr fontId="1" type="noConversion"/>
  </si>
  <si>
    <t>hazr-p-dtg-zkp02</t>
    <phoneticPr fontId="1" type="noConversion"/>
  </si>
  <si>
    <t>hazr-p-dtg-zkp03</t>
    <phoneticPr fontId="1" type="noConversion"/>
  </si>
  <si>
    <t>hazr-p-dtg-zkp04</t>
    <phoneticPr fontId="1" type="noConversion"/>
  </si>
  <si>
    <t>hazr-p-dtg-zkp05</t>
    <phoneticPr fontId="1" type="noConversion"/>
  </si>
  <si>
    <t>hazr-p-dtg-kfk01</t>
    <phoneticPr fontId="1" type="noConversion"/>
  </si>
  <si>
    <t>hazr-p-dtg-kfk02</t>
    <phoneticPr fontId="1" type="noConversion"/>
  </si>
  <si>
    <t>hazr-p-dtg-kfk03</t>
    <phoneticPr fontId="1" type="noConversion"/>
  </si>
  <si>
    <t>hazr-p-dtg-kfk04</t>
    <phoneticPr fontId="1" type="noConversion"/>
  </si>
  <si>
    <t>hazr-p-dtg-kfk05</t>
    <phoneticPr fontId="1" type="noConversion"/>
  </si>
  <si>
    <t>hazr-p-dtg-mdoms01</t>
    <phoneticPr fontId="1" type="noConversion"/>
  </si>
  <si>
    <t>hazr-p-dtg-cdmlap01</t>
    <phoneticPr fontId="1" type="noConversion"/>
  </si>
  <si>
    <t>hazr-p-dtg-cdmlap02</t>
    <phoneticPr fontId="1" type="noConversion"/>
  </si>
  <si>
    <t>hazr-p-dtg-cdmlap03</t>
    <phoneticPr fontId="1" type="noConversion"/>
  </si>
  <si>
    <t>hazr-p-dtg-cdstap01</t>
    <phoneticPr fontId="1" type="noConversion"/>
  </si>
  <si>
    <t>hazr-p-dtg-cdstap02</t>
    <phoneticPr fontId="1" type="noConversion"/>
  </si>
  <si>
    <t>hazr-p-dtg-cdstap03</t>
    <phoneticPr fontId="1" type="noConversion"/>
  </si>
  <si>
    <t>hazr-p-dtg-cdstap04</t>
    <phoneticPr fontId="1" type="noConversion"/>
  </si>
  <si>
    <t>hazr-p-dtg-cdstap05</t>
    <phoneticPr fontId="1" type="noConversion"/>
  </si>
  <si>
    <t>hazr-p-dtg-cdstap06</t>
    <phoneticPr fontId="1" type="noConversion"/>
  </si>
  <si>
    <t>hazr-p-dtg-cdsvadm01</t>
    <phoneticPr fontId="1" type="noConversion"/>
  </si>
  <si>
    <t>hazr-p-dtg-cdsvadm02</t>
    <phoneticPr fontId="1" type="noConversion"/>
  </si>
  <si>
    <t>hazr-p-dtg-diosap01</t>
    <phoneticPr fontId="1" type="noConversion"/>
  </si>
  <si>
    <t>hazr-p-dtg-diosap02</t>
    <phoneticPr fontId="1" type="noConversion"/>
  </si>
  <si>
    <t>hazr-p-dtg-diosweb01</t>
    <phoneticPr fontId="1" type="noConversion"/>
  </si>
  <si>
    <t>hazr-p-dtg-diosweb02</t>
    <phoneticPr fontId="1" type="noConversion"/>
  </si>
  <si>
    <t>hazr-p-dtg-dprweb01</t>
    <phoneticPr fontId="1" type="noConversion"/>
  </si>
  <si>
    <t>hazr-p-dtg-dprweb02</t>
    <phoneticPr fontId="1" type="noConversion"/>
  </si>
  <si>
    <t>hazr-p-dtg-dprap01</t>
    <phoneticPr fontId="1" type="noConversion"/>
  </si>
  <si>
    <t>hazr-p-dtg-dprap02</t>
    <phoneticPr fontId="1" type="noConversion"/>
  </si>
  <si>
    <t>hazr-p-bdp-kepler01</t>
    <phoneticPr fontId="1" type="noConversion"/>
  </si>
  <si>
    <t>hazr-p-bdp-airfw01</t>
    <phoneticPr fontId="1" type="noConversion"/>
  </si>
  <si>
    <t>hazr-p-bdp-cxmadm01</t>
    <phoneticPr fontId="1" type="noConversion"/>
  </si>
  <si>
    <t>hazr-p-bdp-cxmadm02</t>
    <phoneticPr fontId="1" type="noConversion"/>
  </si>
  <si>
    <t>hazr-p-bdp-slap01</t>
    <phoneticPr fontId="1" type="noConversion"/>
  </si>
  <si>
    <t>hazr-p-bdp-slap02</t>
    <phoneticPr fontId="1" type="noConversion"/>
  </si>
  <si>
    <t>hazr-p-if-auth01</t>
    <phoneticPr fontId="1" type="noConversion"/>
  </si>
  <si>
    <t>hazr-p-if-auth02</t>
    <phoneticPr fontId="1" type="noConversion"/>
  </si>
  <si>
    <t>hazr-p-if-gramon01</t>
    <phoneticPr fontId="1" type="noConversion"/>
  </si>
  <si>
    <t>hazr-p-if-stryap01</t>
    <phoneticPr fontId="1" type="noConversion"/>
  </si>
  <si>
    <t>hazr-p-if-stryweb01</t>
    <phoneticPr fontId="1" type="noConversion"/>
  </si>
  <si>
    <t>hazr-p-if-nbakadm01</t>
    <phoneticPr fontId="1" type="noConversion"/>
  </si>
  <si>
    <t>hazr-p-if-dbenckey01</t>
    <phoneticPr fontId="1" type="noConversion"/>
  </si>
  <si>
    <t>hazr-p-if-dbenckey02</t>
    <phoneticPr fontId="1" type="noConversion"/>
  </si>
  <si>
    <t>hazr-p-cs-chtap01</t>
    <phoneticPr fontId="1" type="noConversion"/>
  </si>
  <si>
    <t>hazr-p-cs-chtap02</t>
    <phoneticPr fontId="1" type="noConversion"/>
  </si>
  <si>
    <t>hazr-p-cs-chtweb01</t>
    <phoneticPr fontId="1" type="noConversion"/>
  </si>
  <si>
    <t>hazr-p-cs-chtweb02</t>
    <phoneticPr fontId="1" type="noConversion"/>
  </si>
  <si>
    <t>hazr-p-cs-chtintweb01</t>
    <phoneticPr fontId="1" type="noConversion"/>
  </si>
  <si>
    <t>hazr-p-cs-chtintweb02</t>
    <phoneticPr fontId="1" type="noConversion"/>
  </si>
  <si>
    <t>hazr-p-doip-web01</t>
    <phoneticPr fontId="1" type="noConversion"/>
  </si>
  <si>
    <t>hazr-p-doip-web02</t>
    <phoneticPr fontId="1" type="noConversion"/>
  </si>
  <si>
    <t>hazr-p-doip-ap01</t>
    <phoneticPr fontId="1" type="noConversion"/>
  </si>
  <si>
    <t>hazr-p-doip-ap02</t>
    <phoneticPr fontId="1" type="noConversion"/>
  </si>
  <si>
    <t>hazr-p-doip-adm01</t>
    <phoneticPr fontId="1" type="noConversion"/>
  </si>
  <si>
    <t>hazr-p-doip-adm02</t>
    <phoneticPr fontId="1" type="noConversion"/>
  </si>
  <si>
    <t>hazr-p-bdp-crkweb01</t>
    <phoneticPr fontId="1" type="noConversion"/>
  </si>
  <si>
    <t>hazr-p-bdp-crkweb02</t>
    <phoneticPr fontId="1" type="noConversion"/>
  </si>
  <si>
    <t>hazr-p-bdp-crkap01</t>
    <phoneticPr fontId="1" type="noConversion"/>
  </si>
  <si>
    <t>hazr-p-bdp-crkap02</t>
    <phoneticPr fontId="1" type="noConversion"/>
  </si>
  <si>
    <t>hazr-p-bdp-crkml01</t>
    <phoneticPr fontId="1" type="noConversion"/>
  </si>
  <si>
    <t>hazr-p-bdp-crkml02</t>
    <phoneticPr fontId="1" type="noConversion"/>
  </si>
  <si>
    <t>hazr-p-bdp-crkml03</t>
    <phoneticPr fontId="1" type="noConversion"/>
  </si>
  <si>
    <t>hazr-l-com-build01</t>
    <phoneticPr fontId="1" type="noConversion"/>
  </si>
  <si>
    <t>hazr-l-com-repoweb01</t>
    <phoneticPr fontId="1" type="noConversion"/>
  </si>
  <si>
    <t>hazr-l-mon-rg</t>
  </si>
  <si>
    <t>l-mon-ap-sbn</t>
  </si>
  <si>
    <t>10.158.144.11</t>
  </si>
  <si>
    <t>10.158.144.12</t>
  </si>
  <si>
    <t>10.158.144.21</t>
  </si>
  <si>
    <t>10.158.144.22</t>
  </si>
  <si>
    <t>10.158.128.11</t>
  </si>
  <si>
    <t>10.158.128.12</t>
  </si>
  <si>
    <t>10.158.144.31</t>
  </si>
  <si>
    <t>10.158.144.32</t>
  </si>
  <si>
    <t>10.158.144.41</t>
  </si>
  <si>
    <t>10.158.144.42</t>
  </si>
  <si>
    <t>10.158.144.61</t>
  </si>
  <si>
    <t>10.158.144.62</t>
  </si>
  <si>
    <t>10.158.144.63</t>
  </si>
  <si>
    <t>10.158.144.81</t>
  </si>
  <si>
    <t>10.158.144.82</t>
  </si>
  <si>
    <t>10.158.144.91</t>
  </si>
  <si>
    <t>10.158.144.92</t>
  </si>
  <si>
    <t>10.158.128.31</t>
  </si>
  <si>
    <t>10.158.128.32</t>
  </si>
  <si>
    <t>10.158.128.33</t>
  </si>
  <si>
    <t>10.158.128.34</t>
  </si>
  <si>
    <t>10.158.144.101</t>
  </si>
  <si>
    <t>10.158.144.102</t>
  </si>
  <si>
    <t>10.158.144.111</t>
  </si>
  <si>
    <t>10.158.144.112</t>
  </si>
  <si>
    <t>10.158.128.41</t>
  </si>
  <si>
    <t>10.158.128.42</t>
  </si>
  <si>
    <t>10.158.144.121</t>
  </si>
  <si>
    <t>10.158.144.122</t>
  </si>
  <si>
    <t>10.158.144.131</t>
  </si>
  <si>
    <t>10.158.153.11</t>
  </si>
  <si>
    <t>10.158.153.12</t>
  </si>
  <si>
    <t>10.158.153.13</t>
  </si>
  <si>
    <t>10.158.153.14</t>
  </si>
  <si>
    <t>10.158.153.21</t>
  </si>
  <si>
    <t>10.158.153.22</t>
  </si>
  <si>
    <t>10.158.153.31</t>
  </si>
  <si>
    <t>10.158.153.32</t>
  </si>
  <si>
    <t>10.158.153.33</t>
  </si>
  <si>
    <t>10.158.153.34</t>
  </si>
  <si>
    <t>10.158.153.35</t>
  </si>
  <si>
    <t>10.158.153.36</t>
  </si>
  <si>
    <t>10.158.153.41</t>
  </si>
  <si>
    <t>10.158.153.42</t>
  </si>
  <si>
    <t>10.158.153.43</t>
  </si>
  <si>
    <t>10.158.153.44</t>
  </si>
  <si>
    <t>10.158.153.45</t>
  </si>
  <si>
    <t>10.158.153.46</t>
  </si>
  <si>
    <t>10.158.153.47</t>
  </si>
  <si>
    <t>10.158.153.48</t>
  </si>
  <si>
    <t>10.158.153.49</t>
  </si>
  <si>
    <t>10.158.131.11</t>
  </si>
  <si>
    <t>10.158.131.12</t>
  </si>
  <si>
    <t>10.158.131.13</t>
  </si>
  <si>
    <t>10.158.153.51</t>
  </si>
  <si>
    <t>10.158.153.52</t>
  </si>
  <si>
    <t>10.158.153.61</t>
  </si>
  <si>
    <t>10.158.153.62</t>
  </si>
  <si>
    <t>10.158.153.71</t>
  </si>
  <si>
    <t>10.158.154.11</t>
  </si>
  <si>
    <t>10.158.154.12</t>
  </si>
  <si>
    <t>10.158.154.13</t>
  </si>
  <si>
    <t>10.158.154.14</t>
  </si>
  <si>
    <t>10.158.131.21</t>
  </si>
  <si>
    <t>10.158.131.22</t>
  </si>
  <si>
    <t>10.158.153.81</t>
  </si>
  <si>
    <t>10.158.153.82</t>
  </si>
  <si>
    <t>10.158.153.83</t>
  </si>
  <si>
    <t>10.158.153.84</t>
  </si>
  <si>
    <t>10.158.153.85</t>
  </si>
  <si>
    <t>10.158.153.91</t>
  </si>
  <si>
    <t>10.158.153.92</t>
  </si>
  <si>
    <t>10.158.153.93</t>
  </si>
  <si>
    <t>10.158.153.94</t>
  </si>
  <si>
    <t>10.158.153.95</t>
  </si>
  <si>
    <t>10.158.153.101</t>
  </si>
  <si>
    <t>10.158.153.111</t>
  </si>
  <si>
    <t>10.158.153.113</t>
  </si>
  <si>
    <t>10.158.153.121</t>
  </si>
  <si>
    <t>10.158.153.122</t>
  </si>
  <si>
    <t>10.158.153.123</t>
  </si>
  <si>
    <t>10.158.153.124</t>
  </si>
  <si>
    <t>10.158.153.125</t>
  </si>
  <si>
    <t>10.158.153.126</t>
  </si>
  <si>
    <t>10.158.153.131</t>
  </si>
  <si>
    <t>10.158.153.132</t>
  </si>
  <si>
    <t>10.158.153.141</t>
  </si>
  <si>
    <t>10.158.153.142</t>
  </si>
  <si>
    <t>10.158.153.151</t>
  </si>
  <si>
    <t>10.158.153.152</t>
  </si>
  <si>
    <t>10.158.131.31</t>
  </si>
  <si>
    <t>10.158.131.32</t>
  </si>
  <si>
    <t>10.158.153.161</t>
  </si>
  <si>
    <t>10.158.153.162</t>
  </si>
  <si>
    <t>10.158.156.11</t>
  </si>
  <si>
    <t>10.158.156.21</t>
  </si>
  <si>
    <t>10.158.156.31</t>
  </si>
  <si>
    <t>10.158.156.32</t>
  </si>
  <si>
    <t>10.158.156.41</t>
  </si>
  <si>
    <t>10.158.156.42</t>
  </si>
  <si>
    <t>10.158.165.61</t>
  </si>
  <si>
    <t>10.158.165.62</t>
  </si>
  <si>
    <t>10.158.165.11</t>
  </si>
  <si>
    <t>10.158.165.21</t>
  </si>
  <si>
    <t>10.158.165.31</t>
  </si>
  <si>
    <t>10.155.161.68</t>
  </si>
  <si>
    <t>10.155.161.69</t>
  </si>
  <si>
    <t>10.155.161.70</t>
  </si>
  <si>
    <t>10.158.165.41</t>
  </si>
  <si>
    <t>10.158.168.11</t>
  </si>
  <si>
    <t>10.158.168.12</t>
  </si>
  <si>
    <t>10.158.136.11</t>
  </si>
  <si>
    <t>10.158.136.12</t>
  </si>
  <si>
    <t>10.158.168.21</t>
  </si>
  <si>
    <t>10.158.168.22</t>
  </si>
  <si>
    <t>10.158.132.11</t>
  </si>
  <si>
    <t>10.158.132.12</t>
  </si>
  <si>
    <t>10.158.156.51</t>
  </si>
  <si>
    <t>10.158.156.52</t>
  </si>
  <si>
    <t>10.158.156.61</t>
  </si>
  <si>
    <t>10.158.156.62</t>
  </si>
  <si>
    <t>10.158.156.63</t>
  </si>
  <si>
    <t>E4s_v5</t>
  </si>
  <si>
    <t>D2s_v5</t>
  </si>
  <si>
    <t>D4ls_v5</t>
  </si>
  <si>
    <t>D8ls_v5</t>
  </si>
  <si>
    <t>D4s_v5</t>
  </si>
  <si>
    <t>D8s_v5</t>
  </si>
  <si>
    <t>E2s_v5</t>
  </si>
  <si>
    <t>D16s_v5</t>
  </si>
  <si>
    <t>E8s_v5</t>
  </si>
  <si>
    <t>D16ls_v5</t>
  </si>
  <si>
    <t>D32s_v5</t>
  </si>
  <si>
    <t>Linux</t>
  </si>
  <si>
    <t>Windows</t>
  </si>
  <si>
    <t>p-dis-ap01-disk01</t>
    <phoneticPr fontId="1" type="noConversion"/>
  </si>
  <si>
    <t>p-dis-ap01-disk02</t>
    <phoneticPr fontId="1" type="noConversion"/>
  </si>
  <si>
    <t>p-dis-ap02-disk01</t>
    <phoneticPr fontId="1" type="noConversion"/>
  </si>
  <si>
    <t>p-dis-ap02-disk02</t>
    <phoneticPr fontId="1" type="noConversion"/>
  </si>
  <si>
    <t>p-dis-adm01-disk01</t>
    <phoneticPr fontId="1" type="noConversion"/>
  </si>
  <si>
    <t>p-dis-adm01-disk02</t>
    <phoneticPr fontId="1" type="noConversion"/>
  </si>
  <si>
    <t>p-dis-adm02-disk01</t>
    <phoneticPr fontId="1" type="noConversion"/>
  </si>
  <si>
    <t>p-dis-adm02-disk02</t>
    <phoneticPr fontId="1" type="noConversion"/>
  </si>
  <si>
    <t>p-dis-bbiweb01-disk01</t>
    <phoneticPr fontId="1" type="noConversion"/>
  </si>
  <si>
    <t>p-dis-bbiweb01-disk02</t>
    <phoneticPr fontId="1" type="noConversion"/>
  </si>
  <si>
    <t>p-dis-bbiweb02-disk01</t>
    <phoneticPr fontId="1" type="noConversion"/>
  </si>
  <si>
    <t>p-dis-bbiweb02-disk02</t>
    <phoneticPr fontId="1" type="noConversion"/>
  </si>
  <si>
    <t>p-dis-bbicltap01-disk01</t>
    <phoneticPr fontId="1" type="noConversion"/>
  </si>
  <si>
    <t>p-dis-bbicltap01-disk02</t>
    <phoneticPr fontId="1" type="noConversion"/>
  </si>
  <si>
    <t>p-dis-bbicltap02-disk01</t>
    <phoneticPr fontId="1" type="noConversion"/>
  </si>
  <si>
    <t>p-dis-bbicltap02-disk02</t>
    <phoneticPr fontId="1" type="noConversion"/>
  </si>
  <si>
    <t>p-dis-bbimsgap01-disk01</t>
    <phoneticPr fontId="1" type="noConversion"/>
  </si>
  <si>
    <t>p-dis-bbimsgap01-disk02</t>
    <phoneticPr fontId="1" type="noConversion"/>
  </si>
  <si>
    <t>p-dis-bbimsgap02-disk01</t>
    <phoneticPr fontId="1" type="noConversion"/>
  </si>
  <si>
    <t>p-dis-bbimsgap02-disk02</t>
    <phoneticPr fontId="1" type="noConversion"/>
  </si>
  <si>
    <t>p-dis-bat01-disk01</t>
    <phoneticPr fontId="1" type="noConversion"/>
  </si>
  <si>
    <t>p-dis-bat01-disk02</t>
    <phoneticPr fontId="1" type="noConversion"/>
  </si>
  <si>
    <t>p-dis-bat02-disk01</t>
    <phoneticPr fontId="1" type="noConversion"/>
  </si>
  <si>
    <t>p-dis-bat02-disk02</t>
    <phoneticPr fontId="1" type="noConversion"/>
  </si>
  <si>
    <t>p-dis-bat03-disk01</t>
    <phoneticPr fontId="1" type="noConversion"/>
  </si>
  <si>
    <t>p-dis-bat03-disk02</t>
    <phoneticPr fontId="1" type="noConversion"/>
  </si>
  <si>
    <t>p-dis-drvcltap01-disk01</t>
    <phoneticPr fontId="1" type="noConversion"/>
  </si>
  <si>
    <t>p-dis-drvcltap01-disk02</t>
    <phoneticPr fontId="1" type="noConversion"/>
  </si>
  <si>
    <t>p-dis-drvcltap02-disk01</t>
    <phoneticPr fontId="1" type="noConversion"/>
  </si>
  <si>
    <t>p-dis-drvcltap02-disk02</t>
    <phoneticPr fontId="1" type="noConversion"/>
  </si>
  <si>
    <t>p-dis-drvmsgap01-disk01</t>
    <phoneticPr fontId="1" type="noConversion"/>
  </si>
  <si>
    <t>p-dis-drvmsgap01-disk02</t>
    <phoneticPr fontId="1" type="noConversion"/>
  </si>
  <si>
    <t>p-dis-drvmsgap02-disk01</t>
    <phoneticPr fontId="1" type="noConversion"/>
  </si>
  <si>
    <t>p-dis-drvmsgap02-disk02</t>
    <phoneticPr fontId="1" type="noConversion"/>
  </si>
  <si>
    <t>p-dis-web01-disk01</t>
    <phoneticPr fontId="1" type="noConversion"/>
  </si>
  <si>
    <t>p-dis-web01-disk02</t>
    <phoneticPr fontId="1" type="noConversion"/>
  </si>
  <si>
    <t>p-dis-web02-disk01</t>
    <phoneticPr fontId="1" type="noConversion"/>
  </si>
  <si>
    <t>p-dis-web02-disk02</t>
    <phoneticPr fontId="1" type="noConversion"/>
  </si>
  <si>
    <t>p-dis-web03-disk01</t>
    <phoneticPr fontId="1" type="noConversion"/>
  </si>
  <si>
    <t>p-dis-web03-disk02</t>
    <phoneticPr fontId="1" type="noConversion"/>
  </si>
  <si>
    <t>p-dis-web04-disk01</t>
    <phoneticPr fontId="1" type="noConversion"/>
  </si>
  <si>
    <t>p-dis-web04-disk02</t>
    <phoneticPr fontId="1" type="noConversion"/>
  </si>
  <si>
    <t>p-dis-cmsadm01-disk01</t>
    <phoneticPr fontId="1" type="noConversion"/>
  </si>
  <si>
    <t>p-dis-cmsadm01-disk02</t>
    <phoneticPr fontId="1" type="noConversion"/>
  </si>
  <si>
    <t>p-dis-cmsadm02-disk01</t>
    <phoneticPr fontId="1" type="noConversion"/>
  </si>
  <si>
    <t>p-dis-cmsadm02-disk02</t>
    <phoneticPr fontId="1" type="noConversion"/>
  </si>
  <si>
    <t>p-dis-cmsap01-disk01</t>
    <phoneticPr fontId="1" type="noConversion"/>
  </si>
  <si>
    <t>p-dis-cmsap01-disk02</t>
    <phoneticPr fontId="1" type="noConversion"/>
  </si>
  <si>
    <t>p-dis-cmsap02-disk01</t>
    <phoneticPr fontId="1" type="noConversion"/>
  </si>
  <si>
    <t>p-dis-cmsap02-disk02</t>
    <phoneticPr fontId="1" type="noConversion"/>
  </si>
  <si>
    <t>p-dis-cmsweb01-disk01</t>
    <phoneticPr fontId="1" type="noConversion"/>
  </si>
  <si>
    <t>p-dis-cmsweb01-disk02</t>
    <phoneticPr fontId="1" type="noConversion"/>
  </si>
  <si>
    <t>p-dis-cmsweb02-disk01</t>
    <phoneticPr fontId="1" type="noConversion"/>
  </si>
  <si>
    <t>p-dis-cmsweb02-disk02</t>
    <phoneticPr fontId="1" type="noConversion"/>
  </si>
  <si>
    <t>p-dis-cmbsap01-disk01</t>
    <phoneticPr fontId="1" type="noConversion"/>
  </si>
  <si>
    <t>p-dis-cmbsap01-disk02</t>
    <phoneticPr fontId="1" type="noConversion"/>
  </si>
  <si>
    <t>p-dis-cmbsap02-disk01</t>
    <phoneticPr fontId="1" type="noConversion"/>
  </si>
  <si>
    <t>p-dis-cmbsap02-disk02</t>
    <phoneticPr fontId="1" type="noConversion"/>
  </si>
  <si>
    <t>p-dtg-ingap01-disk01</t>
    <phoneticPr fontId="1" type="noConversion"/>
  </si>
  <si>
    <t>PremiumSSD_LRS</t>
    <phoneticPr fontId="1" type="noConversion"/>
  </si>
  <si>
    <t>p-dtg-ingap01-disk02</t>
    <phoneticPr fontId="1" type="noConversion"/>
  </si>
  <si>
    <t>p-dtg-ingap02-disk01</t>
    <phoneticPr fontId="1" type="noConversion"/>
  </si>
  <si>
    <t>p-dtg-ingap02-disk02</t>
    <phoneticPr fontId="1" type="noConversion"/>
  </si>
  <si>
    <t>p-dtg-ingap03-disk01</t>
    <phoneticPr fontId="1" type="noConversion"/>
  </si>
  <si>
    <t>p-dtg-ingap03-disk02</t>
    <phoneticPr fontId="1" type="noConversion"/>
  </si>
  <si>
    <t>p-dtg-ingap04-disk01</t>
    <phoneticPr fontId="1" type="noConversion"/>
  </si>
  <si>
    <t>p-dtg-ingap04-disk02</t>
    <phoneticPr fontId="1" type="noConversion"/>
  </si>
  <si>
    <t>p-dtg-ap01-disk01</t>
    <phoneticPr fontId="1" type="noConversion"/>
  </si>
  <si>
    <t>p-dtg-ap01-disk02</t>
    <phoneticPr fontId="1" type="noConversion"/>
  </si>
  <si>
    <t>p-dtg-ap02-disk01</t>
    <phoneticPr fontId="1" type="noConversion"/>
  </si>
  <si>
    <t>p-dtg-ap02-disk02</t>
    <phoneticPr fontId="1" type="noConversion"/>
  </si>
  <si>
    <t>p-dtg-extgeoap01-disk01</t>
    <phoneticPr fontId="1" type="noConversion"/>
  </si>
  <si>
    <t>p-dtg-extgeoap01-disk02</t>
    <phoneticPr fontId="1" type="noConversion"/>
  </si>
  <si>
    <t>p-dtg-extgeoap02-disk01</t>
    <phoneticPr fontId="1" type="noConversion"/>
  </si>
  <si>
    <t>p-dtg-extgeoap02-disk02</t>
    <phoneticPr fontId="1" type="noConversion"/>
  </si>
  <si>
    <t>p-dtg-extgeoap03-disk01</t>
    <phoneticPr fontId="1" type="noConversion"/>
  </si>
  <si>
    <t>p-dtg-extgeoap03-disk02</t>
    <phoneticPr fontId="1" type="noConversion"/>
  </si>
  <si>
    <t>p-dtg-extgeoap04-disk01</t>
    <phoneticPr fontId="1" type="noConversion"/>
  </si>
  <si>
    <t>p-dtg-extgeoap04-disk02</t>
    <phoneticPr fontId="1" type="noConversion"/>
  </si>
  <si>
    <t>p-dtg-extgeoap05-disk01</t>
    <phoneticPr fontId="1" type="noConversion"/>
  </si>
  <si>
    <t>p-dtg-extgeoap05-disk02</t>
    <phoneticPr fontId="1" type="noConversion"/>
  </si>
  <si>
    <t>p-dtg-extgeoap06-disk01</t>
    <phoneticPr fontId="1" type="noConversion"/>
  </si>
  <si>
    <t>p-dtg-extgeoap06-disk02</t>
    <phoneticPr fontId="1" type="noConversion"/>
  </si>
  <si>
    <t>p-dtg-geoap01-disk01</t>
    <phoneticPr fontId="1" type="noConversion"/>
  </si>
  <si>
    <t>p-dtg-geoap01-disk02</t>
    <phoneticPr fontId="1" type="noConversion"/>
  </si>
  <si>
    <t>p-dtg-geoap02-disk01</t>
    <phoneticPr fontId="1" type="noConversion"/>
  </si>
  <si>
    <t>p-dtg-geoap02-disk02</t>
    <phoneticPr fontId="1" type="noConversion"/>
  </si>
  <si>
    <t>p-dtg-geoap03-disk01</t>
    <phoneticPr fontId="1" type="noConversion"/>
  </si>
  <si>
    <t>p-dtg-geoap03-disk02</t>
    <phoneticPr fontId="1" type="noConversion"/>
  </si>
  <si>
    <t>p-dtg-geoap04-disk01</t>
    <phoneticPr fontId="1" type="noConversion"/>
  </si>
  <si>
    <t>p-dtg-geoap04-disk02</t>
    <phoneticPr fontId="1" type="noConversion"/>
  </si>
  <si>
    <t>p-dtg-geoap05-disk01</t>
    <phoneticPr fontId="1" type="noConversion"/>
  </si>
  <si>
    <t>p-dtg-geoap05-disk02</t>
    <phoneticPr fontId="1" type="noConversion"/>
  </si>
  <si>
    <t>p-dtg-geoap06-disk01</t>
    <phoneticPr fontId="1" type="noConversion"/>
  </si>
  <si>
    <t>p-dtg-geoap06-disk02</t>
    <phoneticPr fontId="1" type="noConversion"/>
  </si>
  <si>
    <t>p-dtg-geoap07-disk01</t>
    <phoneticPr fontId="1" type="noConversion"/>
  </si>
  <si>
    <t>p-dtg-geoap07-disk02</t>
    <phoneticPr fontId="1" type="noConversion"/>
  </si>
  <si>
    <t>p-dtg-geoap08-disk01</t>
    <phoneticPr fontId="1" type="noConversion"/>
  </si>
  <si>
    <t>p-dtg-geoap08-disk02</t>
    <phoneticPr fontId="1" type="noConversion"/>
  </si>
  <si>
    <t>p-dtg-geoap09-disk01</t>
    <phoneticPr fontId="1" type="noConversion"/>
  </si>
  <si>
    <t>p-dtg-geoap09-disk02</t>
    <phoneticPr fontId="1" type="noConversion"/>
  </si>
  <si>
    <t>p-dtg-mq01-disk01</t>
    <phoneticPr fontId="1" type="noConversion"/>
  </si>
  <si>
    <t>p-dtg-mq01-disk02</t>
    <phoneticPr fontId="1" type="noConversion"/>
  </si>
  <si>
    <t>p-dtg-mq02-disk01</t>
    <phoneticPr fontId="1" type="noConversion"/>
  </si>
  <si>
    <t>p-dtg-mq02-disk02</t>
    <phoneticPr fontId="1" type="noConversion"/>
  </si>
  <si>
    <t>p-dtg-mq03-disk01</t>
    <phoneticPr fontId="1" type="noConversion"/>
  </si>
  <si>
    <t>p-dtg-mq03-disk02</t>
    <phoneticPr fontId="1" type="noConversion"/>
  </si>
  <si>
    <t>p-dtg-mq04-disk01</t>
    <phoneticPr fontId="1" type="noConversion"/>
  </si>
  <si>
    <t>p-dtg-mq04-disk02</t>
    <phoneticPr fontId="1" type="noConversion"/>
  </si>
  <si>
    <t>p-dtg-mq05-disk01</t>
    <phoneticPr fontId="1" type="noConversion"/>
  </si>
  <si>
    <t>p-dtg-mq05-disk02</t>
    <phoneticPr fontId="1" type="noConversion"/>
  </si>
  <si>
    <t>p-dtg-mq06-disk01</t>
    <phoneticPr fontId="1" type="noConversion"/>
  </si>
  <si>
    <t>p-dtg-mq06-disk02</t>
    <phoneticPr fontId="1" type="noConversion"/>
  </si>
  <si>
    <t>p-dtg-mq07-disk01</t>
    <phoneticPr fontId="1" type="noConversion"/>
  </si>
  <si>
    <t>p-dtg-mq07-disk02</t>
    <phoneticPr fontId="1" type="noConversion"/>
  </si>
  <si>
    <t>p-dtg-mq08-disk01</t>
    <phoneticPr fontId="1" type="noConversion"/>
  </si>
  <si>
    <t>p-dtg-mq08-disk02</t>
    <phoneticPr fontId="1" type="noConversion"/>
  </si>
  <si>
    <t>p-dtg-mq09-disk01</t>
    <phoneticPr fontId="1" type="noConversion"/>
  </si>
  <si>
    <t>p-dtg-mq09-disk02</t>
    <phoneticPr fontId="1" type="noConversion"/>
  </si>
  <si>
    <t>p-dtg-admweb01-disk01</t>
    <phoneticPr fontId="1" type="noConversion"/>
  </si>
  <si>
    <t>p-dtg-admweb01-disk02</t>
    <phoneticPr fontId="1" type="noConversion"/>
  </si>
  <si>
    <t>p-dtg-admweb02-disk01</t>
    <phoneticPr fontId="1" type="noConversion"/>
  </si>
  <si>
    <t>p-dtg-admweb02-disk02</t>
    <phoneticPr fontId="1" type="noConversion"/>
  </si>
  <si>
    <t>p-dtg-admap01-disk01</t>
    <phoneticPr fontId="1" type="noConversion"/>
  </si>
  <si>
    <t>p-dtg-admap01-disk02</t>
    <phoneticPr fontId="1" type="noConversion"/>
  </si>
  <si>
    <t>p-dtg-admap02-disk01</t>
    <phoneticPr fontId="1" type="noConversion"/>
  </si>
  <si>
    <t>p-dtg-admap02-disk02</t>
    <phoneticPr fontId="1" type="noConversion"/>
  </si>
  <si>
    <t>p-dtg-dtoms01-disk01</t>
    <phoneticPr fontId="1" type="noConversion"/>
  </si>
  <si>
    <t>p-dtg-dtoms01-disk02</t>
    <phoneticPr fontId="1" type="noConversion"/>
  </si>
  <si>
    <t>p-dtg-tsdb01-disk05</t>
    <phoneticPr fontId="1" type="noConversion"/>
  </si>
  <si>
    <t>p-dtg-tsdb02-disk05</t>
    <phoneticPr fontId="1" type="noConversion"/>
  </si>
  <si>
    <t>p-dtg-tsdb03-disk05</t>
    <phoneticPr fontId="1" type="noConversion"/>
  </si>
  <si>
    <t>p-dtg-tsdb04-disk05</t>
    <phoneticPr fontId="1" type="noConversion"/>
  </si>
  <si>
    <t>p-dtg-web01-disk01</t>
    <phoneticPr fontId="1" type="noConversion"/>
  </si>
  <si>
    <t>p-dtg-web01-disk02</t>
    <phoneticPr fontId="1" type="noConversion"/>
  </si>
  <si>
    <t>p-dtg-web02-disk01</t>
    <phoneticPr fontId="1" type="noConversion"/>
  </si>
  <si>
    <t>p-dtg-web02-disk02</t>
    <phoneticPr fontId="1" type="noConversion"/>
  </si>
  <si>
    <t>p-dtg-zkp01-disk01</t>
    <phoneticPr fontId="1" type="noConversion"/>
  </si>
  <si>
    <t>p-dtg-zkp01-disk02</t>
    <phoneticPr fontId="1" type="noConversion"/>
  </si>
  <si>
    <t>p-dtg-zkp02-disk01</t>
    <phoneticPr fontId="1" type="noConversion"/>
  </si>
  <si>
    <t>p-dtg-zkp02-disk02</t>
    <phoneticPr fontId="1" type="noConversion"/>
  </si>
  <si>
    <t>p-dtg-zkp03-disk01</t>
    <phoneticPr fontId="1" type="noConversion"/>
  </si>
  <si>
    <t>p-dtg-zkp03-disk02</t>
    <phoneticPr fontId="1" type="noConversion"/>
  </si>
  <si>
    <t>p-dtg-zkp04-disk01</t>
    <phoneticPr fontId="1" type="noConversion"/>
  </si>
  <si>
    <t>p-dtg-zkp04-disk02</t>
    <phoneticPr fontId="1" type="noConversion"/>
  </si>
  <si>
    <t>p-dtg-zkp05-disk01</t>
    <phoneticPr fontId="1" type="noConversion"/>
  </si>
  <si>
    <t>p-dtg-zkp05-disk02</t>
    <phoneticPr fontId="1" type="noConversion"/>
  </si>
  <si>
    <t>p-dtg-kfk01-disk01</t>
    <phoneticPr fontId="1" type="noConversion"/>
  </si>
  <si>
    <t>p-dtg-kfk01-disk02</t>
    <phoneticPr fontId="1" type="noConversion"/>
  </si>
  <si>
    <t>p-dtg-kfk02-disk01</t>
    <phoneticPr fontId="1" type="noConversion"/>
  </si>
  <si>
    <t>p-dtg-kfk02-disk02</t>
    <phoneticPr fontId="1" type="noConversion"/>
  </si>
  <si>
    <t>p-dtg-kfk03-disk01</t>
    <phoneticPr fontId="1" type="noConversion"/>
  </si>
  <si>
    <t>p-dtg-kfk03-disk02</t>
    <phoneticPr fontId="1" type="noConversion"/>
  </si>
  <si>
    <t>p-dtg-kfk04-disk01</t>
    <phoneticPr fontId="1" type="noConversion"/>
  </si>
  <si>
    <t>p-dtg-kfk04-disk02</t>
    <phoneticPr fontId="1" type="noConversion"/>
  </si>
  <si>
    <t>p-dtg-kfk05-disk01</t>
    <phoneticPr fontId="1" type="noConversion"/>
  </si>
  <si>
    <t>p-dtg-kfk05-disk02</t>
    <phoneticPr fontId="1" type="noConversion"/>
  </si>
  <si>
    <t>p-dtg-mdoms01-disk01</t>
    <phoneticPr fontId="1" type="noConversion"/>
  </si>
  <si>
    <t>p-dtg-mdoms01-disk02</t>
    <phoneticPr fontId="1" type="noConversion"/>
  </si>
  <si>
    <t>p-dtg-cdmlap01-disk01</t>
    <phoneticPr fontId="1" type="noConversion"/>
  </si>
  <si>
    <t>p-dtg-cdmlap01-disk02</t>
    <phoneticPr fontId="1" type="noConversion"/>
  </si>
  <si>
    <t>p-dtg-cdmlap02-disk01</t>
    <phoneticPr fontId="1" type="noConversion"/>
  </si>
  <si>
    <t>p-dtg-cdmlap02-disk02</t>
    <phoneticPr fontId="1" type="noConversion"/>
  </si>
  <si>
    <t>p-dtg-cdmlap03-disk01</t>
    <phoneticPr fontId="1" type="noConversion"/>
  </si>
  <si>
    <t>p-dtg-cdmlap03-disk02</t>
    <phoneticPr fontId="1" type="noConversion"/>
  </si>
  <si>
    <t>p-dtg-cdstap01-disk01</t>
    <phoneticPr fontId="1" type="noConversion"/>
  </si>
  <si>
    <t>p-dtg-cdstap01-disk02</t>
    <phoneticPr fontId="1" type="noConversion"/>
  </si>
  <si>
    <t>p-dtg-cdstap02-disk01</t>
    <phoneticPr fontId="1" type="noConversion"/>
  </si>
  <si>
    <t>p-dtg-cdstap02-disk02</t>
    <phoneticPr fontId="1" type="noConversion"/>
  </si>
  <si>
    <t>p-dtg-cdstap03-disk01</t>
    <phoneticPr fontId="1" type="noConversion"/>
  </si>
  <si>
    <t>p-dtg-cdstap03-disk02</t>
    <phoneticPr fontId="1" type="noConversion"/>
  </si>
  <si>
    <t>p-dtg-cdstap04-disk01</t>
    <phoneticPr fontId="1" type="noConversion"/>
  </si>
  <si>
    <t>p-dtg-cdstap04-disk02</t>
    <phoneticPr fontId="1" type="noConversion"/>
  </si>
  <si>
    <t>p-dtg-cdstap05-disk01</t>
    <phoneticPr fontId="1" type="noConversion"/>
  </si>
  <si>
    <t>p-dtg-cdstap05-disk02</t>
    <phoneticPr fontId="1" type="noConversion"/>
  </si>
  <si>
    <t>p-dtg-cdstap06-disk01</t>
    <phoneticPr fontId="1" type="noConversion"/>
  </si>
  <si>
    <t>p-dtg-cdstap06-disk02</t>
    <phoneticPr fontId="1" type="noConversion"/>
  </si>
  <si>
    <t>p-dtg-cdsvadm01-disk01</t>
    <phoneticPr fontId="1" type="noConversion"/>
  </si>
  <si>
    <t>p-dtg-cdsvadm01-disk02</t>
    <phoneticPr fontId="1" type="noConversion"/>
  </si>
  <si>
    <t>p-dtg-cdsvadm02-disk01</t>
    <phoneticPr fontId="1" type="noConversion"/>
  </si>
  <si>
    <t>p-dtg-cdsvadm02-disk02</t>
    <phoneticPr fontId="1" type="noConversion"/>
  </si>
  <si>
    <t>p-dtg-diosap01-disk01</t>
    <phoneticPr fontId="1" type="noConversion"/>
  </si>
  <si>
    <t>p-dtg-diosap01-disk02</t>
    <phoneticPr fontId="1" type="noConversion"/>
  </si>
  <si>
    <t>p-dtg-diosap02-disk01</t>
    <phoneticPr fontId="1" type="noConversion"/>
  </si>
  <si>
    <t>p-dtg-diosap02-disk02</t>
    <phoneticPr fontId="1" type="noConversion"/>
  </si>
  <si>
    <t>p-dtg-diosweb01-disk01</t>
    <phoneticPr fontId="1" type="noConversion"/>
  </si>
  <si>
    <t>p-dtg-diosweb01-disk02</t>
    <phoneticPr fontId="1" type="noConversion"/>
  </si>
  <si>
    <t>p-dtg-diosweb02-disk01</t>
    <phoneticPr fontId="1" type="noConversion"/>
  </si>
  <si>
    <t>p-dtg-diosweb02-disk02</t>
    <phoneticPr fontId="1" type="noConversion"/>
  </si>
  <si>
    <t>p-dtg-dprweb01-disk01</t>
    <phoneticPr fontId="1" type="noConversion"/>
  </si>
  <si>
    <t>p-dtg-dprweb01-disk02</t>
    <phoneticPr fontId="1" type="noConversion"/>
  </si>
  <si>
    <t>p-dtg-dprweb02-disk01</t>
    <phoneticPr fontId="1" type="noConversion"/>
  </si>
  <si>
    <t>p-dtg-dprweb02-disk02</t>
    <phoneticPr fontId="1" type="noConversion"/>
  </si>
  <si>
    <t>p-dtg-dprap01-disk01</t>
    <phoneticPr fontId="1" type="noConversion"/>
  </si>
  <si>
    <t>p-dtg-dprap01-disk02</t>
    <phoneticPr fontId="1" type="noConversion"/>
  </si>
  <si>
    <t>p-dtg-dprap02-disk01</t>
    <phoneticPr fontId="1" type="noConversion"/>
  </si>
  <si>
    <t>p-dtg-dprap02-disk02</t>
    <phoneticPr fontId="1" type="noConversion"/>
  </si>
  <si>
    <t>p-bdp-kepler01-disk01</t>
    <phoneticPr fontId="1" type="noConversion"/>
  </si>
  <si>
    <t>p-bdp-kepler01-disk02</t>
    <phoneticPr fontId="1" type="noConversion"/>
  </si>
  <si>
    <t>p-bdp-airfw01-disk01</t>
    <phoneticPr fontId="1" type="noConversion"/>
  </si>
  <si>
    <t>p-bdp-airfw01-disk02</t>
    <phoneticPr fontId="1" type="noConversion"/>
  </si>
  <si>
    <t>p-bdp-cxmadm01-disk01</t>
    <phoneticPr fontId="1" type="noConversion"/>
  </si>
  <si>
    <t>p-bdp-cxmadm01-disk02</t>
    <phoneticPr fontId="1" type="noConversion"/>
  </si>
  <si>
    <t>p-bdp-cxmadm02-disk01</t>
    <phoneticPr fontId="1" type="noConversion"/>
  </si>
  <si>
    <t>p-bdp-cxmadm02-disk02</t>
    <phoneticPr fontId="1" type="noConversion"/>
  </si>
  <si>
    <t>p-bdp-slap01-disk01</t>
    <phoneticPr fontId="1" type="noConversion"/>
  </si>
  <si>
    <t>p-bdp-slap01-disk02</t>
    <phoneticPr fontId="1" type="noConversion"/>
  </si>
  <si>
    <t>p-bdp-slap02-disk01</t>
    <phoneticPr fontId="1" type="noConversion"/>
  </si>
  <si>
    <t>p-bdp-slap02-disk02</t>
    <phoneticPr fontId="1" type="noConversion"/>
  </si>
  <si>
    <t>p-if-auth01-disk01</t>
    <phoneticPr fontId="1" type="noConversion"/>
  </si>
  <si>
    <t>p-if-auth01-disk02</t>
    <phoneticPr fontId="1" type="noConversion"/>
  </si>
  <si>
    <t>p-if-auth02-disk01</t>
    <phoneticPr fontId="1" type="noConversion"/>
  </si>
  <si>
    <t>p-if-auth02-disk02</t>
    <phoneticPr fontId="1" type="noConversion"/>
  </si>
  <si>
    <t>p-if-gramon01-disk01</t>
    <phoneticPr fontId="1" type="noConversion"/>
  </si>
  <si>
    <t>p-if-gramon01-disk02</t>
    <phoneticPr fontId="1" type="noConversion"/>
  </si>
  <si>
    <t>p-if-stryap01-disk05</t>
    <phoneticPr fontId="1" type="noConversion"/>
  </si>
  <si>
    <t>p-if-stryweb01-disk01</t>
    <phoneticPr fontId="1" type="noConversion"/>
  </si>
  <si>
    <t>p-if-stryweb01-disk02</t>
    <phoneticPr fontId="1" type="noConversion"/>
  </si>
  <si>
    <t>l-mon-whtap01-disk01</t>
    <phoneticPr fontId="1" type="noConversion"/>
  </si>
  <si>
    <t>l-mon-whtap01-disk02</t>
    <phoneticPr fontId="1" type="noConversion"/>
  </si>
  <si>
    <t>l-mon-whtap02-disk01</t>
    <phoneticPr fontId="1" type="noConversion"/>
  </si>
  <si>
    <t>l-mon-whtap02-disk02</t>
    <phoneticPr fontId="1" type="noConversion"/>
  </si>
  <si>
    <t>l-mon-whtap03-disk01</t>
    <phoneticPr fontId="1" type="noConversion"/>
  </si>
  <si>
    <t>p-if-nbakadm01-disk11</t>
    <phoneticPr fontId="1" type="noConversion"/>
  </si>
  <si>
    <t>p-cs-chtap01-disk01</t>
    <phoneticPr fontId="1" type="noConversion"/>
  </si>
  <si>
    <t>p-cs-chtap01-disk02</t>
    <phoneticPr fontId="1" type="noConversion"/>
  </si>
  <si>
    <t>p-cs-chtap02-disk01</t>
    <phoneticPr fontId="1" type="noConversion"/>
  </si>
  <si>
    <t>p-cs-chtap02-disk02</t>
    <phoneticPr fontId="1" type="noConversion"/>
  </si>
  <si>
    <t>p-cs-chtweb01-disk01</t>
    <phoneticPr fontId="1" type="noConversion"/>
  </si>
  <si>
    <t>p-cs-chtweb01-disk02</t>
    <phoneticPr fontId="1" type="noConversion"/>
  </si>
  <si>
    <t>p-cs-chtweb02-disk01</t>
    <phoneticPr fontId="1" type="noConversion"/>
  </si>
  <si>
    <t>p-cs-chtweb02-disk02</t>
    <phoneticPr fontId="1" type="noConversion"/>
  </si>
  <si>
    <t>p-cs-chtintweb01-disk01</t>
    <phoneticPr fontId="1" type="noConversion"/>
  </si>
  <si>
    <t>p-cs-chtintweb01-disk02</t>
    <phoneticPr fontId="1" type="noConversion"/>
  </si>
  <si>
    <t>p-cs-chtintweb02-disk01</t>
    <phoneticPr fontId="1" type="noConversion"/>
  </si>
  <si>
    <t>p-cs-chtintweb02-disk02</t>
    <phoneticPr fontId="1" type="noConversion"/>
  </si>
  <si>
    <t>p-doip-web01-disk01</t>
    <phoneticPr fontId="1" type="noConversion"/>
  </si>
  <si>
    <t>p-doip-web01-disk02</t>
    <phoneticPr fontId="1" type="noConversion"/>
  </si>
  <si>
    <t>p-doip-web02-disk01</t>
    <phoneticPr fontId="1" type="noConversion"/>
  </si>
  <si>
    <t>p-doip-web02-disk02</t>
    <phoneticPr fontId="1" type="noConversion"/>
  </si>
  <si>
    <t>p-doip-ap01-disk01</t>
    <phoneticPr fontId="1" type="noConversion"/>
  </si>
  <si>
    <t>p-doip-ap01-disk02</t>
    <phoneticPr fontId="1" type="noConversion"/>
  </si>
  <si>
    <t>p-doip-ap02-disk01</t>
    <phoneticPr fontId="1" type="noConversion"/>
  </si>
  <si>
    <t>p-doip-ap02-disk02</t>
    <phoneticPr fontId="1" type="noConversion"/>
  </si>
  <si>
    <t>p-doip-adm01-disk01</t>
    <phoneticPr fontId="1" type="noConversion"/>
  </si>
  <si>
    <t>p-doip-adm01-disk02</t>
    <phoneticPr fontId="1" type="noConversion"/>
  </si>
  <si>
    <t>p-doip-adm02-disk01</t>
    <phoneticPr fontId="1" type="noConversion"/>
  </si>
  <si>
    <t>p-doip-adm02-disk02</t>
    <phoneticPr fontId="1" type="noConversion"/>
  </si>
  <si>
    <t>p-bdp-crkweb01-disk01</t>
    <phoneticPr fontId="1" type="noConversion"/>
  </si>
  <si>
    <t>p-bdp-crkweb01-disk02</t>
    <phoneticPr fontId="1" type="noConversion"/>
  </si>
  <si>
    <t>p-bdp-crkweb02-disk01</t>
    <phoneticPr fontId="1" type="noConversion"/>
  </si>
  <si>
    <t>p-bdp-crkweb02-disk02</t>
    <phoneticPr fontId="1" type="noConversion"/>
  </si>
  <si>
    <t>p-bdp-crkap01-disk01</t>
    <phoneticPr fontId="1" type="noConversion"/>
  </si>
  <si>
    <t>p-bdp-crkap01-disk02</t>
    <phoneticPr fontId="1" type="noConversion"/>
  </si>
  <si>
    <t>p-bdp-crkap02-disk01</t>
    <phoneticPr fontId="1" type="noConversion"/>
  </si>
  <si>
    <t>p-bdp-crkap02-disk02</t>
    <phoneticPr fontId="1" type="noConversion"/>
  </si>
  <si>
    <t>p-bdp-crkml01-disk01</t>
    <phoneticPr fontId="1" type="noConversion"/>
  </si>
  <si>
    <t>p-bdp-crkml01-disk02</t>
    <phoneticPr fontId="1" type="noConversion"/>
  </si>
  <si>
    <t>p-bdp-crkml02-disk01</t>
    <phoneticPr fontId="1" type="noConversion"/>
  </si>
  <si>
    <t>p-bdp-crkml02-disk02</t>
    <phoneticPr fontId="1" type="noConversion"/>
  </si>
  <si>
    <t>p-bdp-crkml03-disk01</t>
    <phoneticPr fontId="1" type="noConversion"/>
  </si>
  <si>
    <t>p-bdp-crkml03-disk02</t>
    <phoneticPr fontId="1" type="noConversion"/>
  </si>
  <si>
    <t>l-com-build01-disk01</t>
    <phoneticPr fontId="1" type="noConversion"/>
  </si>
  <si>
    <t>l-com-build01-disk02</t>
    <phoneticPr fontId="1" type="noConversion"/>
  </si>
  <si>
    <t>l-com-repoweb01-disk01</t>
    <phoneticPr fontId="1" type="noConversion"/>
  </si>
  <si>
    <t>l-com-repoweb01-disk02</t>
    <phoneticPr fontId="1" type="noConversion"/>
  </si>
  <si>
    <t>hazr-p-dch-des</t>
  </si>
  <si>
    <t>p-dtg-tsdb01-disk01</t>
    <phoneticPr fontId="1" type="noConversion"/>
  </si>
  <si>
    <t>p-dtg-tsdb01-disk02</t>
    <phoneticPr fontId="1" type="noConversion"/>
  </si>
  <si>
    <t>p-dtg-tsdb01-disk03</t>
    <phoneticPr fontId="1" type="noConversion"/>
  </si>
  <si>
    <t>p-dtg-tsdb01-disk04</t>
    <phoneticPr fontId="1" type="noConversion"/>
  </si>
  <si>
    <t>p-dtg-tsdb03-disk02</t>
    <phoneticPr fontId="1" type="noConversion"/>
  </si>
  <si>
    <t>p-dtg-tsdb03-disk04</t>
    <phoneticPr fontId="1" type="noConversion"/>
  </si>
  <si>
    <t>p-dtg-tsdb03-disk03</t>
    <phoneticPr fontId="1" type="noConversion"/>
  </si>
  <si>
    <t>p-dtg-tsdb03-disk01</t>
    <phoneticPr fontId="1" type="noConversion"/>
  </si>
  <si>
    <t>p-dtg-tsdb02-disk01</t>
    <phoneticPr fontId="1" type="noConversion"/>
  </si>
  <si>
    <t>p-dtg-tsdb02-disk03</t>
    <phoneticPr fontId="1" type="noConversion"/>
  </si>
  <si>
    <t>p-dtg-tsdb02-disk02</t>
    <phoneticPr fontId="1" type="noConversion"/>
  </si>
  <si>
    <t>p-dtg-tsdb02-disk04</t>
    <phoneticPr fontId="1" type="noConversion"/>
  </si>
  <si>
    <t>p-dtg-tsdb04-disk01</t>
    <phoneticPr fontId="1" type="noConversion"/>
  </si>
  <si>
    <t>p-dtg-tsdb04-disk02</t>
    <phoneticPr fontId="1" type="noConversion"/>
  </si>
  <si>
    <t>p-dtg-tsdb04-disk04</t>
    <phoneticPr fontId="1" type="noConversion"/>
  </si>
  <si>
    <t>p-dtg-tsdb04-disk03</t>
    <phoneticPr fontId="1" type="noConversion"/>
  </si>
  <si>
    <t>p-if-stryap01-disk01</t>
    <phoneticPr fontId="1" type="noConversion"/>
  </si>
  <si>
    <t>p-if-stryap01-disk03</t>
    <phoneticPr fontId="1" type="noConversion"/>
  </si>
  <si>
    <t>p-if-stryap01-disk02</t>
    <phoneticPr fontId="1" type="noConversion"/>
  </si>
  <si>
    <t>p-if-stryap01-disk04</t>
    <phoneticPr fontId="1" type="noConversion"/>
  </si>
  <si>
    <t>p-if-nbakadm01-disk02</t>
    <phoneticPr fontId="1" type="noConversion"/>
  </si>
  <si>
    <t>p-if-nbakadm01-disk01</t>
    <phoneticPr fontId="1" type="noConversion"/>
  </si>
  <si>
    <t>p-if-nbakadm01-disk03</t>
    <phoneticPr fontId="1" type="noConversion"/>
  </si>
  <si>
    <t>p-if-nbakadm01-disk04</t>
    <phoneticPr fontId="1" type="noConversion"/>
  </si>
  <si>
    <t>p-if-nbakadm01-disk06</t>
  </si>
  <si>
    <t>p-if-nbakadm01-disk08</t>
  </si>
  <si>
    <t>p-if-nbakadm01-disk05</t>
  </si>
  <si>
    <t>p-if-nbakadm01-disk07</t>
  </si>
  <si>
    <t>p-if-nbakadm01-disk09</t>
  </si>
  <si>
    <t>p-if-nbakadm01-disk10</t>
  </si>
  <si>
    <t>스트라이프 구성 서버(수행: 정민규 대리)</t>
    <phoneticPr fontId="1" type="noConversion"/>
  </si>
  <si>
    <t>RPD</t>
    <phoneticPr fontId="1" type="noConversion"/>
  </si>
  <si>
    <t>ETC</t>
    <phoneticPr fontId="1" type="noConversion"/>
  </si>
  <si>
    <t>p-dch-int-vnet-udr</t>
    <phoneticPr fontId="1" type="noConversion"/>
  </si>
  <si>
    <t>0.0.0.0/0</t>
    <phoneticPr fontId="1" type="noConversion"/>
  </si>
  <si>
    <t>10.155.128.0/24</t>
    <phoneticPr fontId="1" type="noConversion"/>
  </si>
  <si>
    <t>10.155.129.0/24</t>
    <phoneticPr fontId="1" type="noConversion"/>
  </si>
  <si>
    <t>10.155.130.0/24</t>
    <phoneticPr fontId="1" type="noConversion"/>
  </si>
  <si>
    <t>10.155.131.0/24</t>
    <phoneticPr fontId="1" type="noConversion"/>
  </si>
  <si>
    <t>10.155.160.0/22</t>
    <phoneticPr fontId="1" type="noConversion"/>
  </si>
  <si>
    <t>hazr-p-dip-rg</t>
    <phoneticPr fontId="1" type="noConversion"/>
  </si>
  <si>
    <t>p-puls-db-sbn</t>
  </si>
  <si>
    <t>hazr-p-dis-ap-lb</t>
  </si>
  <si>
    <t>hazr-p-dis-adm-lb</t>
  </si>
  <si>
    <t>hazr-p-dis-bbiweb-lb</t>
  </si>
  <si>
    <t>hazr-p-dis-bbicltap-lb</t>
  </si>
  <si>
    <t>hazr-p-dis-bbimsgap-lb</t>
  </si>
  <si>
    <t>hazr-p-dis-drvmsgap-lb</t>
  </si>
  <si>
    <t>hazr-p-dis-web-lb</t>
  </si>
  <si>
    <t>hazr-p-dis-cmsadm-lb</t>
  </si>
  <si>
    <t>hazr-p-dis-cmsap-lb</t>
  </si>
  <si>
    <t>hazr-p-dis-cmsweb-lb</t>
  </si>
  <si>
    <t>hazr-p-dis-cmbsap-lb</t>
  </si>
  <si>
    <t>hazr-p-dtg-ingap-lb</t>
  </si>
  <si>
    <t>hazr-p-dtg-ap-lb</t>
  </si>
  <si>
    <t>hazr-p-dtg-extgeoap-lb</t>
  </si>
  <si>
    <t>hazr-p-dtg-geoap-lb</t>
  </si>
  <si>
    <t>hazr-p-dtg-admweb-lb</t>
  </si>
  <si>
    <t>hazr-p-dtg-admap-lb</t>
  </si>
  <si>
    <t>hazr-p-dtg-web-lb</t>
  </si>
  <si>
    <t>hazr-p-dtg-cdmlap-lb</t>
  </si>
  <si>
    <t>hazr-p-dtg-cdstap-lb</t>
  </si>
  <si>
    <t>hazr-p-dtg-cdsvadm-lb</t>
  </si>
  <si>
    <t>hazr-p-dtg-diosap-lb</t>
  </si>
  <si>
    <t>hazr-p-dtg-diosweb-lb</t>
  </si>
  <si>
    <t>hazr-p-dtg-dprweb-lb</t>
  </si>
  <si>
    <t>hazr-p-dtg-dprap-lb</t>
  </si>
  <si>
    <t>hazr-p-bdp-cxmadm-lb</t>
  </si>
  <si>
    <t>hazr-p-bdp-slap-lb</t>
  </si>
  <si>
    <t>hazr-p-if-auth-lb</t>
  </si>
  <si>
    <t>hazr-p-cs-chtap-lb</t>
  </si>
  <si>
    <t>hazr-p-cs-chtweb-lb</t>
  </si>
  <si>
    <t>hazr-p-cs-chtintweb-lb</t>
  </si>
  <si>
    <t>hazr-p-doip-web-lb</t>
  </si>
  <si>
    <t>hazr-p-doip-ap-lb</t>
  </si>
  <si>
    <t>hazr-p-doip-adm-lb</t>
  </si>
  <si>
    <t>hazr-p-bdp-crkweb-lb</t>
  </si>
  <si>
    <t>hazr-p-bdp-crkap-lb</t>
  </si>
  <si>
    <t>hazr-p-bdp-crkml-lb</t>
  </si>
  <si>
    <t>hazr-p-dis-ap-lb</t>
    <phoneticPr fontId="1" type="noConversion"/>
  </si>
  <si>
    <t>10.158.144.10</t>
    <phoneticPr fontId="1" type="noConversion"/>
  </si>
  <si>
    <t>hazr-p-dis-rg</t>
    <phoneticPr fontId="1" type="noConversion"/>
  </si>
  <si>
    <t>hazr-p-dtg-rg</t>
    <phoneticPr fontId="1" type="noConversion"/>
  </si>
  <si>
    <t>hazr-p-bdp-rg</t>
    <phoneticPr fontId="1" type="noConversion"/>
  </si>
  <si>
    <t>hazr-p-if-rg</t>
    <phoneticPr fontId="1" type="noConversion"/>
  </si>
  <si>
    <t>hazr-p-cs-rg</t>
    <phoneticPr fontId="1" type="noConversion"/>
  </si>
  <si>
    <t>hazr-p-doip-rg</t>
    <phoneticPr fontId="1" type="noConversion"/>
  </si>
  <si>
    <t>10.158.144.20</t>
    <phoneticPr fontId="1" type="noConversion"/>
  </si>
  <si>
    <t>10.158.128.10</t>
    <phoneticPr fontId="1" type="noConversion"/>
  </si>
  <si>
    <t>10.158.144.30</t>
    <phoneticPr fontId="1" type="noConversion"/>
  </si>
  <si>
    <t>10.158.144.40</t>
    <phoneticPr fontId="1" type="noConversion"/>
  </si>
  <si>
    <t>10.158.144.80</t>
    <phoneticPr fontId="1" type="noConversion"/>
  </si>
  <si>
    <t>10.158.144.90</t>
    <phoneticPr fontId="1" type="noConversion"/>
  </si>
  <si>
    <t>10.158.128.30</t>
    <phoneticPr fontId="1" type="noConversion"/>
  </si>
  <si>
    <t>10.158.144.100</t>
    <phoneticPr fontId="1" type="noConversion"/>
  </si>
  <si>
    <t>10.158.144.110</t>
    <phoneticPr fontId="1" type="noConversion"/>
  </si>
  <si>
    <t>10.158.128.40</t>
    <phoneticPr fontId="1" type="noConversion"/>
  </si>
  <si>
    <t>10.158.144.120</t>
    <phoneticPr fontId="1" type="noConversion"/>
  </si>
  <si>
    <t>10.158.153.10</t>
    <phoneticPr fontId="1" type="noConversion"/>
  </si>
  <si>
    <t>10.158.153.20</t>
    <phoneticPr fontId="1" type="noConversion"/>
  </si>
  <si>
    <t>10.158.153.30</t>
    <phoneticPr fontId="1" type="noConversion"/>
  </si>
  <si>
    <t>10.158.153.40</t>
    <phoneticPr fontId="1" type="noConversion"/>
  </si>
  <si>
    <t>10.158.131.10</t>
    <phoneticPr fontId="1" type="noConversion"/>
  </si>
  <si>
    <t>10.158.153.50</t>
    <phoneticPr fontId="1" type="noConversion"/>
  </si>
  <si>
    <t>10.158.153.60</t>
    <phoneticPr fontId="1" type="noConversion"/>
  </si>
  <si>
    <t>10.158.131.20</t>
    <phoneticPr fontId="1" type="noConversion"/>
  </si>
  <si>
    <t>10.158.153.110</t>
    <phoneticPr fontId="1" type="noConversion"/>
  </si>
  <si>
    <t>10.158.153.120</t>
    <phoneticPr fontId="1" type="noConversion"/>
  </si>
  <si>
    <t>10.158.153.130</t>
    <phoneticPr fontId="1" type="noConversion"/>
  </si>
  <si>
    <t>10.158.153.140</t>
    <phoneticPr fontId="1" type="noConversion"/>
  </si>
  <si>
    <t>10.158.153.150</t>
    <phoneticPr fontId="1" type="noConversion"/>
  </si>
  <si>
    <t>10.158.131.30</t>
    <phoneticPr fontId="1" type="noConversion"/>
  </si>
  <si>
    <t>10.158.153.160</t>
    <phoneticPr fontId="1" type="noConversion"/>
  </si>
  <si>
    <t>10.158.156.30</t>
    <phoneticPr fontId="1" type="noConversion"/>
  </si>
  <si>
    <t>10.158.156.40</t>
    <phoneticPr fontId="1" type="noConversion"/>
  </si>
  <si>
    <t>10.158.165.60</t>
    <phoneticPr fontId="1" type="noConversion"/>
  </si>
  <si>
    <t>10.158.168.10</t>
    <phoneticPr fontId="1" type="noConversion"/>
  </si>
  <si>
    <t>10.158.136.10</t>
    <phoneticPr fontId="1" type="noConversion"/>
  </si>
  <si>
    <t>10.158.168.20</t>
    <phoneticPr fontId="1" type="noConversion"/>
  </si>
  <si>
    <t>10.158.150.10</t>
    <phoneticPr fontId="1" type="noConversion"/>
  </si>
  <si>
    <t>10.158.150.20</t>
    <phoneticPr fontId="1" type="noConversion"/>
  </si>
  <si>
    <t>10.158.150.30</t>
    <phoneticPr fontId="1" type="noConversion"/>
  </si>
  <si>
    <t>10.158.132.10</t>
    <phoneticPr fontId="1" type="noConversion"/>
  </si>
  <si>
    <t>10.158.156.50</t>
    <phoneticPr fontId="1" type="noConversion"/>
  </si>
  <si>
    <t>10.158.156.60</t>
    <phoneticPr fontId="1" type="noConversion"/>
  </si>
  <si>
    <t>p-dtg-ap-sbn</t>
    <phoneticPr fontId="1" type="noConversion"/>
  </si>
  <si>
    <t>p-dtg-web-sbn</t>
    <phoneticPr fontId="1" type="noConversion"/>
  </si>
  <si>
    <t>p-bdp-ap-sbn</t>
    <phoneticPr fontId="1" type="noConversion"/>
  </si>
  <si>
    <t>p-if-ap-sbn</t>
    <phoneticPr fontId="1" type="noConversion"/>
  </si>
  <si>
    <t>p-cs-ap-sbn</t>
    <phoneticPr fontId="1" type="noConversion"/>
  </si>
  <si>
    <t>p-cs-web-sbn</t>
    <phoneticPr fontId="1" type="noConversion"/>
  </si>
  <si>
    <t>p-doip-ap-sbn</t>
    <phoneticPr fontId="1" type="noConversion"/>
  </si>
  <si>
    <t>p-bdp-web-sbn</t>
    <phoneticPr fontId="1" type="noConversion"/>
  </si>
  <si>
    <t>hazr-p-dis-adm-lb</t>
    <phoneticPr fontId="1" type="noConversion"/>
  </si>
  <si>
    <t>hazr-p-dis-bbiweb-lb</t>
    <phoneticPr fontId="1" type="noConversion"/>
  </si>
  <si>
    <t>hazr-p-dis-bbimsgap-lb</t>
    <phoneticPr fontId="1" type="noConversion"/>
  </si>
  <si>
    <t>hazr-p-dis-drvmsgap-lb</t>
    <phoneticPr fontId="1" type="noConversion"/>
  </si>
  <si>
    <t>hazr-p-dis-cmsweb-lb</t>
    <phoneticPr fontId="1" type="noConversion"/>
  </si>
  <si>
    <t>hazr-p-dtg-ingap-lb</t>
    <phoneticPr fontId="1" type="noConversion"/>
  </si>
  <si>
    <t>hazr-p-dtg-extgeoap-lb</t>
    <phoneticPr fontId="1" type="noConversion"/>
  </si>
  <si>
    <t>hazr-p-dtg-admap-lb</t>
    <phoneticPr fontId="1" type="noConversion"/>
  </si>
  <si>
    <t>hazr-p-dtg-cdmlap-lb</t>
    <phoneticPr fontId="1" type="noConversion"/>
  </si>
  <si>
    <t>hazr-p-dtg-cdsvadm-lb</t>
    <phoneticPr fontId="1" type="noConversion"/>
  </si>
  <si>
    <t>hazr-p-dtg-diosweb-lb</t>
    <phoneticPr fontId="1" type="noConversion"/>
  </si>
  <si>
    <t>hazr-p-dtg-dprap-lb</t>
    <phoneticPr fontId="1" type="noConversion"/>
  </si>
  <si>
    <t>hazr-p-bdp-slap-lb</t>
    <phoneticPr fontId="1" type="noConversion"/>
  </si>
  <si>
    <t>hazr-p-dis-cmsadm-lb</t>
    <phoneticPr fontId="1" type="noConversion"/>
  </si>
  <si>
    <t>?</t>
    <phoneticPr fontId="1" type="noConversion"/>
  </si>
  <si>
    <t>확인필요</t>
    <phoneticPr fontId="1" type="noConversion"/>
  </si>
  <si>
    <t>hazr-p-cs-chtweb-lb</t>
    <phoneticPr fontId="1" type="noConversion"/>
  </si>
  <si>
    <t>hazr-p-doip-web-lb</t>
    <phoneticPr fontId="1" type="noConversion"/>
  </si>
  <si>
    <t>hazr-p-doip-adm-lb</t>
    <phoneticPr fontId="1" type="noConversion"/>
  </si>
  <si>
    <t>COMM</t>
    <phoneticPr fontId="1" type="noConversion"/>
  </si>
  <si>
    <t>/subscriptions/b73b1d70-b43f-41b5-bb3f-34b9236d2ed9/resourceGroups/hazr-l-mgmt-rg/providers/Microsoft.Compute/galleries/hazrlmgmtgal/images/RHEL_9.6_Base_Image/versions/0.1.1</t>
  </si>
  <si>
    <t>/subscriptions/b73b1d70-b43f-41b5-bb3f-34b9236d2ed9/resourceGroups/hazr-l-mgmt-rg/providers/Microsoft.Compute/galleries/hazrlmgmtgal/images/RHEL_9.6_nginx_Base_Image/versions/0.0.9</t>
  </si>
  <si>
    <t>l-if-ap-sbn</t>
    <phoneticPr fontId="1" type="noConversion"/>
  </si>
  <si>
    <t>p-dtg-db-sbn</t>
    <phoneticPr fontId="1" type="noConversion"/>
  </si>
  <si>
    <t>l-mon-ap-sbn</t>
    <phoneticPr fontId="1" type="noConversion"/>
  </si>
  <si>
    <t>이미지 확인필요</t>
    <phoneticPr fontId="1" type="noConversion"/>
  </si>
  <si>
    <t>10.158.165.51</t>
    <phoneticPr fontId="1" type="noConversion"/>
  </si>
  <si>
    <t>E2s_v5</t>
    <phoneticPr fontId="1" type="noConversion"/>
  </si>
  <si>
    <t>Linux</t>
    <phoneticPr fontId="1" type="noConversion"/>
  </si>
  <si>
    <t>10.158.165.52</t>
    <phoneticPr fontId="1" type="noConversion"/>
  </si>
  <si>
    <t>10.158.150.11</t>
    <phoneticPr fontId="1" type="noConversion"/>
  </si>
  <si>
    <t>10.158.150.12</t>
    <phoneticPr fontId="1" type="noConversion"/>
  </si>
  <si>
    <t>10.158.150.21</t>
    <phoneticPr fontId="1" type="noConversion"/>
  </si>
  <si>
    <t>10.158.150.22</t>
    <phoneticPr fontId="1" type="noConversion"/>
  </si>
  <si>
    <t>10.158.150.31</t>
    <phoneticPr fontId="1" type="noConversion"/>
  </si>
  <si>
    <t>10.158.150.32</t>
    <phoneticPr fontId="1" type="noConversion"/>
  </si>
  <si>
    <t>10.158.153.112</t>
    <phoneticPr fontId="1" type="noConversion"/>
  </si>
  <si>
    <t>10.155.193.64/26</t>
    <phoneticPr fontId="1" type="noConversion"/>
  </si>
  <si>
    <t>D2ls_v5</t>
  </si>
  <si>
    <t>/subscriptions/b73b1d70-b43f-41b5-bb3f-34b9236d2ed9/resourceGroups/hazr-l-mgmt-rg/providers/Microsoft.Compute/galleries/hazrlmgmtgal/images/Windows_Server_2025_Base_Image/versions/0.0.1</t>
    <phoneticPr fontId="1" type="noConversion"/>
  </si>
  <si>
    <t>D2ls_v5</t>
    <phoneticPr fontId="1" type="noConversion"/>
  </si>
  <si>
    <t>10.155.161.132</t>
    <phoneticPr fontId="1" type="noConversion"/>
  </si>
  <si>
    <t>10.155.161.133</t>
    <phoneticPr fontId="1" type="noConversion"/>
  </si>
  <si>
    <t>/subscriptions/b73b1d70-b43f-41b5-bb3f-34b9236d2ed9/resourceGroups/hazr-l-mgmt-rg/providers/Microsoft.Compute/galleries/hazrlmgmtgal/images/RHEL_9.6_nginx_Base_Image/versions/0.0.9</t>
    <phoneticPr fontId="1" type="noConversion"/>
  </si>
  <si>
    <t>D4s_v5</t>
    <phoneticPr fontId="1" type="noConversion"/>
  </si>
  <si>
    <t>/subscriptions/b73b1d70-b43f-41b5-bb3f-34b9236d2ed9/resourceGroups/hazr-l-mgmt-rg/providers/Microsoft.Compute/galleries/hazrlmgmtgal/images/RHEL_9.6_Base_Image/versions/0.1.1</t>
    <phoneticPr fontId="1" type="noConversion"/>
  </si>
  <si>
    <t>hazr-p-dtg-mq-lb01</t>
    <phoneticPr fontId="1" type="noConversion"/>
  </si>
  <si>
    <t>hazr-p-dtg-mq-lb02</t>
  </si>
  <si>
    <t>hazr-p-dtg-mq-lb03</t>
  </si>
  <si>
    <t>10.158.131.40</t>
    <phoneticPr fontId="1" type="noConversion"/>
  </si>
  <si>
    <t>10.158.131.50</t>
    <phoneticPr fontId="1" type="noConversion"/>
  </si>
  <si>
    <t>hazr-p-dtg-mq-lb03</t>
    <phoneticPr fontId="1" type="noConversion"/>
  </si>
  <si>
    <t>hazr-p-dtg-mq-lb02</t>
    <phoneticPr fontId="1" type="noConversion"/>
  </si>
  <si>
    <t>10.158.131.41</t>
    <phoneticPr fontId="1" type="noConversion"/>
  </si>
  <si>
    <t>10.158.131.42</t>
    <phoneticPr fontId="1" type="noConversion"/>
  </si>
  <si>
    <t>10.158.131.43</t>
    <phoneticPr fontId="1" type="noConversion"/>
  </si>
  <si>
    <t>10.158.131.51</t>
    <phoneticPr fontId="1" type="noConversion"/>
  </si>
  <si>
    <t>10.158.131.52</t>
    <phoneticPr fontId="1" type="noConversion"/>
  </si>
  <si>
    <t>10.158.131.53</t>
    <phoneticPr fontId="1" type="noConversion"/>
  </si>
  <si>
    <t>10.155.203.4</t>
    <phoneticPr fontId="1" type="noConversion"/>
  </si>
  <si>
    <t>10.155.202.4</t>
  </si>
  <si>
    <t>10.155.202.4</t>
    <phoneticPr fontId="1" type="noConversion"/>
  </si>
  <si>
    <t>1,2,3</t>
    <phoneticPr fontId="1" type="noConversion"/>
  </si>
  <si>
    <t>ZoneRedundant</t>
    <phoneticPr fontId="1" type="noConversion"/>
  </si>
  <si>
    <t>hazr-p-dis-drvcltap-lb</t>
    <phoneticPr fontId="1" type="noConversion"/>
  </si>
  <si>
    <t>hazr-l-sec-rg</t>
    <phoneticPr fontId="1" type="noConversion"/>
  </si>
  <si>
    <t>hazr-l-sec-virsol01</t>
    <phoneticPr fontId="1" type="noConversion"/>
  </si>
  <si>
    <t>hazr-l-sec-wbdsol01</t>
    <phoneticPr fontId="1" type="noConversion"/>
  </si>
  <si>
    <t>10.155.194.11</t>
    <phoneticPr fontId="1" type="noConversion"/>
  </si>
  <si>
    <t>10.155.194.12</t>
    <phoneticPr fontId="1" type="noConversion"/>
  </si>
  <si>
    <t>E8-4ds_v5</t>
    <phoneticPr fontId="1" type="noConversion"/>
  </si>
  <si>
    <t>Windows</t>
    <phoneticPr fontId="1" type="noConversion"/>
  </si>
  <si>
    <t>hazr-l-sec-vnet</t>
    <phoneticPr fontId="1" type="noConversion"/>
  </si>
  <si>
    <t>l-sec-ap-sbn</t>
    <phoneticPr fontId="1" type="noConversion"/>
  </si>
  <si>
    <t>hazr-l-sec-des</t>
    <phoneticPr fontId="1" type="noConversion"/>
  </si>
  <si>
    <t>l-sec-virsol01-disk01</t>
    <phoneticPr fontId="1" type="noConversion"/>
  </si>
  <si>
    <t>l-sec-virsol01-disk02</t>
    <phoneticPr fontId="1" type="noConversion"/>
  </si>
  <si>
    <t>l-sec-wbdsol01-disk01</t>
    <phoneticPr fontId="1" type="noConversion"/>
  </si>
  <si>
    <t>l-sec-wbdsol01-disk02</t>
    <phoneticPr fontId="1" type="noConversion"/>
  </si>
  <si>
    <t>LAND</t>
    <phoneticPr fontId="1" type="noConversion"/>
  </si>
  <si>
    <t>hazr-l-com-scmsol01</t>
    <phoneticPr fontId="1" type="noConversion"/>
  </si>
  <si>
    <t>10.155.161.134</t>
    <phoneticPr fontId="1" type="noConversion"/>
  </si>
  <si>
    <t>l-com-scmsol01-disk01</t>
    <phoneticPr fontId="1" type="noConversion"/>
  </si>
  <si>
    <t>l-com-scmsol01-disk02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</si>
</sst>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3"/>
      <charset val="129"/>
      <scheme val="minor"/>
    </font>
    <font>
      <b/>
      <sz val="10"/>
      <color rgb="FFFFFF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ajor"/>
    </font>
    <font>
      <sz val="11"/>
      <color rgb="FF006100"/>
      <name val="맑은 고딕"/>
      <family val="2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6" fillId="9" borderId="0" applyNumberFormat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7" fillId="2" borderId="2" xfId="0" applyFont="1" applyFill="1" applyBorder="1" applyAlignment="1">
      <alignment horizontal="left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2" fillId="0" borderId="4" xfId="0" applyFont="1" applyBorder="1">
      <alignment vertical="center"/>
    </xf>
    <xf numFmtId="0" fontId="2" fillId="3" borderId="4" xfId="0" applyFont="1" applyFill="1" applyBorder="1">
      <alignment vertical="center"/>
    </xf>
    <xf numFmtId="0" fontId="2" fillId="3" borderId="5" xfId="0" applyFont="1" applyFill="1" applyBorder="1">
      <alignment vertical="center"/>
    </xf>
    <xf numFmtId="0" fontId="2" fillId="3" borderId="6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4" fillId="3" borderId="8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2" fillId="0" borderId="10" xfId="0" applyFont="1" applyBorder="1">
      <alignment vertical="center"/>
    </xf>
    <xf numFmtId="0" fontId="2" fillId="0" borderId="8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4" fillId="0" borderId="13" xfId="0" applyFont="1" applyBorder="1">
      <alignment vertical="center"/>
    </xf>
    <xf numFmtId="0" fontId="2" fillId="3" borderId="7" xfId="0" applyFont="1" applyFill="1" applyBorder="1">
      <alignment vertical="center"/>
    </xf>
    <xf numFmtId="0" fontId="2" fillId="3" borderId="9" xfId="0" applyFont="1" applyFill="1" applyBorder="1">
      <alignment vertical="center"/>
    </xf>
    <xf numFmtId="0" fontId="5" fillId="3" borderId="9" xfId="0" applyFont="1" applyFill="1" applyBorder="1">
      <alignment vertical="center"/>
    </xf>
    <xf numFmtId="0" fontId="2" fillId="0" borderId="11" xfId="0" applyFont="1" applyBorder="1">
      <alignment vertical="center"/>
    </xf>
    <xf numFmtId="0" fontId="2" fillId="0" borderId="9" xfId="0" applyFont="1" applyBorder="1">
      <alignment vertical="center"/>
    </xf>
    <xf numFmtId="0" fontId="5" fillId="0" borderId="14" xfId="0" applyFont="1" applyBorder="1">
      <alignment vertical="center"/>
    </xf>
    <xf numFmtId="49" fontId="2" fillId="3" borderId="6" xfId="0" applyNumberFormat="1" applyFont="1" applyFill="1" applyBorder="1">
      <alignment vertical="center"/>
    </xf>
    <xf numFmtId="49" fontId="2" fillId="3" borderId="1" xfId="0" applyNumberFormat="1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2" fillId="0" borderId="4" xfId="0" applyNumberFormat="1" applyFont="1" applyBorder="1">
      <alignment vertical="center"/>
    </xf>
    <xf numFmtId="49" fontId="2" fillId="0" borderId="1" xfId="0" applyNumberFormat="1" applyFont="1" applyBorder="1">
      <alignment vertical="center"/>
    </xf>
    <xf numFmtId="49" fontId="5" fillId="0" borderId="13" xfId="0" applyNumberFormat="1" applyFont="1" applyBorder="1">
      <alignment vertical="center"/>
    </xf>
    <xf numFmtId="49" fontId="2" fillId="3" borderId="4" xfId="0" applyNumberFormat="1" applyFont="1" applyFill="1" applyBorder="1">
      <alignment vertical="center"/>
    </xf>
    <xf numFmtId="49" fontId="5" fillId="0" borderId="1" xfId="0" applyNumberFormat="1" applyFont="1" applyBorder="1">
      <alignment vertical="center"/>
    </xf>
    <xf numFmtId="0" fontId="4" fillId="4" borderId="16" xfId="0" applyFont="1" applyFill="1" applyBorder="1">
      <alignment vertical="center"/>
    </xf>
    <xf numFmtId="0" fontId="5" fillId="4" borderId="17" xfId="0" applyFont="1" applyFill="1" applyBorder="1">
      <alignment vertical="center"/>
    </xf>
    <xf numFmtId="0" fontId="4" fillId="4" borderId="17" xfId="0" applyFont="1" applyFill="1" applyBorder="1">
      <alignment vertical="center"/>
    </xf>
    <xf numFmtId="49" fontId="5" fillId="4" borderId="17" xfId="0" applyNumberFormat="1" applyFont="1" applyFill="1" applyBorder="1">
      <alignment vertical="center"/>
    </xf>
    <xf numFmtId="0" fontId="5" fillId="4" borderId="18" xfId="0" applyFont="1" applyFill="1" applyBorder="1">
      <alignment vertical="center"/>
    </xf>
    <xf numFmtId="0" fontId="7" fillId="2" borderId="3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49" fontId="12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0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5" borderId="1" xfId="0" applyFont="1" applyFill="1" applyBorder="1">
      <alignment vertical="center"/>
    </xf>
    <xf numFmtId="0" fontId="2" fillId="6" borderId="1" xfId="0" applyFont="1" applyFill="1" applyBorder="1">
      <alignment vertical="center"/>
    </xf>
    <xf numFmtId="0" fontId="2" fillId="6" borderId="4" xfId="0" applyFont="1" applyFill="1" applyBorder="1">
      <alignment vertical="center"/>
    </xf>
    <xf numFmtId="49" fontId="2" fillId="6" borderId="4" xfId="0" applyNumberFormat="1" applyFont="1" applyFill="1" applyBorder="1">
      <alignment vertical="center"/>
    </xf>
    <xf numFmtId="49" fontId="2" fillId="6" borderId="1" xfId="0" applyNumberFormat="1" applyFont="1" applyFill="1" applyBorder="1">
      <alignment vertical="center"/>
    </xf>
    <xf numFmtId="0" fontId="2" fillId="6" borderId="15" xfId="0" applyFont="1" applyFill="1" applyBorder="1">
      <alignment vertical="center"/>
    </xf>
    <xf numFmtId="0" fontId="5" fillId="6" borderId="15" xfId="0" applyFont="1" applyFill="1" applyBorder="1">
      <alignment vertical="center"/>
    </xf>
    <xf numFmtId="0" fontId="4" fillId="6" borderId="15" xfId="0" applyFont="1" applyFill="1" applyBorder="1">
      <alignment vertical="center"/>
    </xf>
    <xf numFmtId="49" fontId="5" fillId="6" borderId="15" xfId="0" applyNumberFormat="1" applyFont="1" applyFill="1" applyBorder="1">
      <alignment vertical="center"/>
    </xf>
    <xf numFmtId="0" fontId="2" fillId="6" borderId="8" xfId="0" applyFont="1" applyFill="1" applyBorder="1">
      <alignment vertical="center"/>
    </xf>
    <xf numFmtId="0" fontId="2" fillId="6" borderId="11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2" xfId="0" applyFont="1" applyFill="1" applyBorder="1">
      <alignment vertical="center"/>
    </xf>
    <xf numFmtId="0" fontId="2" fillId="6" borderId="13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4" fillId="6" borderId="13" xfId="0" applyFont="1" applyFill="1" applyBorder="1">
      <alignment vertical="center"/>
    </xf>
    <xf numFmtId="49" fontId="5" fillId="6" borderId="13" xfId="0" applyNumberFormat="1" applyFont="1" applyFill="1" applyBorder="1">
      <alignment vertical="center"/>
    </xf>
    <xf numFmtId="0" fontId="5" fillId="6" borderId="14" xfId="0" applyFont="1" applyFill="1" applyBorder="1">
      <alignment vertical="center"/>
    </xf>
    <xf numFmtId="0" fontId="0" fillId="7" borderId="1" xfId="0" applyFill="1" applyBorder="1">
      <alignment vertical="center"/>
    </xf>
    <xf numFmtId="0" fontId="0" fillId="7" borderId="15" xfId="0" applyFill="1" applyBorder="1">
      <alignment vertical="center"/>
    </xf>
    <xf numFmtId="0" fontId="14" fillId="0" borderId="0" xfId="0" applyFo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49" fontId="1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49" fontId="10" fillId="2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6" fillId="0" borderId="0" xfId="1" applyFill="1">
      <alignment vertical="center"/>
    </xf>
    <xf numFmtId="0" fontId="3" fillId="0" borderId="15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7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10" borderId="1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3" fillId="7" borderId="0" xfId="0" applyFont="1" applyFill="1">
      <alignment vertical="center"/>
    </xf>
    <xf numFmtId="0" fontId="15" fillId="7" borderId="0" xfId="0" applyFont="1" applyFill="1">
      <alignment vertical="center"/>
    </xf>
    <xf numFmtId="0" fontId="0" fillId="7" borderId="19" xfId="0" applyFill="1" applyBorder="1">
      <alignment vertical="center"/>
    </xf>
    <xf numFmtId="0" fontId="3" fillId="7" borderId="1" xfId="0" applyFont="1" applyFill="1" applyBorder="1" applyAlignment="1">
      <alignment horizontal="center" vertical="center"/>
    </xf>
    <xf numFmtId="0" fontId="14" fillId="7" borderId="0" xfId="0" applyFont="1" applyFill="1">
      <alignment vertical="center"/>
    </xf>
    <xf numFmtId="0" fontId="3" fillId="0" borderId="1" xfId="0" applyFont="1" applyBorder="1" applyAlignment="1">
      <alignment horizontal="left" vertical="center"/>
    </xf>
    <xf numFmtId="49" fontId="3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</cellXfs>
  <cellStyles count="2">
    <cellStyle name="좋음" xfId="1" builtinId="26"/>
    <cellStyle name="표준" xfId="0" builtinId="0"/>
  </cellStyles>
  <dxfs count="33"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B1:AF143" totalsRowShown="0" headerRowDxfId="32" dataDxfId="31">
  <autoFilter ref="B1:AF143" xr:uid="{00000000-0009-0000-0100-000001000000}"/>
  <tableColumns count="31">
    <tableColumn id="1" xr3:uid="{00000000-0010-0000-0000-000001000000}" name="Stage" dataDxfId="30"/>
    <tableColumn id="2" xr3:uid="{DD2076C4-D866-4329-BEA8-1D816DAF3627}" name="Role" dataDxfId="29">
      <calculatedColumnFormula array="1">UPPER(INDEX(_xlfn.TEXTSPLIT($F2, "-"), 3))</calculatedColumnFormula>
    </tableColumn>
    <tableColumn id="3" xr3:uid="{00000000-0010-0000-0000-000003000000}" name="RGname" dataDxfId="28"/>
    <tableColumn id="4" xr3:uid="{00000000-0010-0000-0000-000004000000}" name="Location" dataDxfId="27"/>
    <tableColumn id="5" xr3:uid="{00000000-0010-0000-0000-000005000000}" name="Name" dataDxfId="26"/>
    <tableColumn id="6" xr3:uid="{00000000-0010-0000-0000-000006000000}" name="PrivateIP" dataDxfId="25"/>
    <tableColumn id="22" xr3:uid="{00000000-0010-0000-0000-000016000000}" name="VmSize" dataDxfId="24"/>
    <tableColumn id="23" xr3:uid="{00000000-0010-0000-0000-000017000000}" name="CPU" dataDxfId="23"/>
    <tableColumn id="34" xr3:uid="{00000000-0010-0000-0000-000022000000}" name="RAM" dataDxfId="22"/>
    <tableColumn id="7" xr3:uid="{00000000-0010-0000-0000-000007000000}" name="AdminUsername" dataDxfId="21"/>
    <tableColumn id="8" xr3:uid="{00000000-0010-0000-0000-000008000000}" name="AdminPassword" dataDxfId="20"/>
    <tableColumn id="9" xr3:uid="{00000000-0010-0000-0000-000009000000}" name="OsType" dataDxfId="19"/>
    <tableColumn id="10" xr3:uid="{5C5FDBAD-A0A4-4C75-968A-8587646674EE}" name="ImageResourceId" dataDxfId="18"/>
    <tableColumn id="12" xr3:uid="{00000000-0010-0000-0000-00000C000000}" name="OsDiskName" dataDxfId="17">
      <calculatedColumnFormula>SUBSTITUTE(F2,"hazr-","")&amp;"-osdisk"</calculatedColumnFormula>
    </tableColumn>
    <tableColumn id="13" xr3:uid="{00000000-0010-0000-0000-00000D000000}" name="OsDiskSize" dataDxfId="16"/>
    <tableColumn id="14" xr3:uid="{00000000-0010-0000-0000-00000E000000}" name="OsDiskStorageType" dataDxfId="15"/>
    <tableColumn id="24" xr3:uid="{00000000-0010-0000-0000-000018000000}" name="DataDiskName" dataDxfId="14"/>
    <tableColumn id="25" xr3:uid="{00000000-0010-0000-0000-000019000000}" name="DataDiskSize" dataDxfId="13"/>
    <tableColumn id="26" xr3:uid="{00000000-0010-0000-0000-00001A000000}" name="DataDiskStorageType" dataDxfId="12"/>
    <tableColumn id="15" xr3:uid="{00000000-0010-0000-0000-00000F000000}" name="NicName" dataDxfId="11">
      <calculatedColumnFormula>SUBSTITUTE(F2,"hazr-","")&amp;"-nic"</calculatedColumnFormula>
    </tableColumn>
    <tableColumn id="27" xr3:uid="{6FD9A0A6-7008-49AB-B2C9-4BEDF1811434}" name="EnableAcceleratedNetworking" dataDxfId="10"/>
    <tableColumn id="17" xr3:uid="{00000000-0010-0000-0000-000011000000}" name="IsStatic" dataDxfId="9"/>
    <tableColumn id="11" xr3:uid="{65903CF2-1AF4-4B86-A9E4-474DE495E3CB}" name="VnetRG" dataDxfId="8"/>
    <tableColumn id="18" xr3:uid="{00000000-0010-0000-0000-000012000000}" name="VnetName" dataDxfId="7"/>
    <tableColumn id="19" xr3:uid="{00000000-0010-0000-0000-000013000000}" name="SubnetName" dataDxfId="6"/>
    <tableColumn id="28" xr3:uid="{73185387-6B41-497F-9EB6-5675CC43B3E3}" name="UseOsDiskDoubleEncryption " dataDxfId="5"/>
    <tableColumn id="21" xr3:uid="{804782E7-599A-496A-B10D-EFCB52F3E7DB}" name="DESRG" dataDxfId="4"/>
    <tableColumn id="16" xr3:uid="{1ED2A695-2028-4644-8B0B-7B32A8F548C4}" name="DESName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B19D1-383B-4C42-B4E9-A7935F09393B}">
  <sheetPr>
    <tabColor rgb="FF00B050"/>
  </sheetPr>
  <dimension ref="A1:BK70"/>
  <sheetViews>
    <sheetView workbookViewId="0">
      <selection activeCell="F4" sqref="F4"/>
    </sheetView>
  </sheetViews>
  <sheetFormatPr defaultRowHeight="16.5" x14ac:dyDescent="0.3"/>
  <cols>
    <col min="1" max="1" width="1.25" customWidth="1"/>
    <col min="4" max="4" width="12.5" bestFit="1" customWidth="1"/>
    <col min="5" max="5" width="12.25" bestFit="1" customWidth="1"/>
    <col min="6" max="6" width="16.875" bestFit="1" customWidth="1"/>
    <col min="7" max="8" width="13.125" bestFit="1" customWidth="1"/>
    <col min="9" max="9" width="13.5" bestFit="1" customWidth="1"/>
    <col min="10" max="10" width="13.375" bestFit="1" customWidth="1"/>
    <col min="11" max="11" width="15.125" bestFit="1" customWidth="1"/>
    <col min="12" max="12" width="13.375" bestFit="1" customWidth="1"/>
    <col min="13" max="13" width="15.125" bestFit="1" customWidth="1"/>
    <col min="14" max="14" width="13.375" bestFit="1" customWidth="1"/>
    <col min="15" max="15" width="15.125" bestFit="1" customWidth="1"/>
    <col min="16" max="16" width="13.375" bestFit="1" customWidth="1"/>
    <col min="17" max="17" width="15.125" bestFit="1" customWidth="1"/>
    <col min="18" max="18" width="13.375" bestFit="1" customWidth="1"/>
    <col min="19" max="19" width="15.125" bestFit="1" customWidth="1"/>
    <col min="20" max="20" width="13.375" bestFit="1" customWidth="1"/>
    <col min="21" max="21" width="15.125" bestFit="1" customWidth="1"/>
    <col min="22" max="22" width="13.375" bestFit="1" customWidth="1"/>
    <col min="23" max="23" width="15.125" bestFit="1" customWidth="1"/>
    <col min="24" max="24" width="13.375" bestFit="1" customWidth="1"/>
    <col min="25" max="25" width="15.125" bestFit="1" customWidth="1"/>
    <col min="26" max="26" width="13.375" bestFit="1" customWidth="1"/>
    <col min="27" max="27" width="15.125" bestFit="1" customWidth="1"/>
    <col min="28" max="28" width="14.375" bestFit="1" customWidth="1"/>
    <col min="29" max="29" width="16.25" bestFit="1" customWidth="1"/>
    <col min="30" max="30" width="14.375" bestFit="1" customWidth="1"/>
    <col min="31" max="31" width="16.25" bestFit="1" customWidth="1"/>
    <col min="32" max="32" width="14.375" bestFit="1" customWidth="1"/>
    <col min="33" max="33" width="16.25" bestFit="1" customWidth="1"/>
    <col min="34" max="34" width="14.375" bestFit="1" customWidth="1"/>
    <col min="35" max="35" width="16.25" bestFit="1" customWidth="1"/>
    <col min="36" max="36" width="14.375" bestFit="1" customWidth="1"/>
    <col min="37" max="37" width="16.25" bestFit="1" customWidth="1"/>
    <col min="38" max="38" width="14.375" bestFit="1" customWidth="1"/>
    <col min="39" max="39" width="16.25" bestFit="1" customWidth="1"/>
    <col min="40" max="40" width="14.375" bestFit="1" customWidth="1"/>
    <col min="41" max="41" width="16.25" bestFit="1" customWidth="1"/>
    <col min="42" max="42" width="14.375" bestFit="1" customWidth="1"/>
    <col min="43" max="43" width="16.25" bestFit="1" customWidth="1"/>
    <col min="44" max="44" width="14.375" bestFit="1" customWidth="1"/>
    <col min="45" max="45" width="16.25" bestFit="1" customWidth="1"/>
    <col min="46" max="46" width="14.375" bestFit="1" customWidth="1"/>
    <col min="47" max="47" width="16.25" bestFit="1" customWidth="1"/>
    <col min="48" max="48" width="14.375" bestFit="1" customWidth="1"/>
    <col min="49" max="49" width="16.25" bestFit="1" customWidth="1"/>
    <col min="50" max="50" width="14.375" bestFit="1" customWidth="1"/>
    <col min="51" max="51" width="16.25" bestFit="1" customWidth="1"/>
    <col min="52" max="52" width="14.375" bestFit="1" customWidth="1"/>
    <col min="53" max="53" width="16.25" bestFit="1" customWidth="1"/>
    <col min="54" max="54" width="14.375" bestFit="1" customWidth="1"/>
    <col min="55" max="55" width="16.25" bestFit="1" customWidth="1"/>
    <col min="56" max="56" width="14.375" bestFit="1" customWidth="1"/>
    <col min="57" max="57" width="16.25" bestFit="1" customWidth="1"/>
    <col min="58" max="58" width="14.375" bestFit="1" customWidth="1"/>
    <col min="59" max="59" width="16.25" bestFit="1" customWidth="1"/>
    <col min="60" max="60" width="14.375" bestFit="1" customWidth="1"/>
    <col min="61" max="61" width="16.25" bestFit="1" customWidth="1"/>
    <col min="62" max="62" width="14.375" bestFit="1" customWidth="1"/>
    <col min="63" max="63" width="16.25" bestFit="1" customWidth="1"/>
  </cols>
  <sheetData>
    <row r="1" spans="1:63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7" t="s">
        <v>87</v>
      </c>
      <c r="G1" s="47" t="s">
        <v>88</v>
      </c>
      <c r="H1" s="47" t="s">
        <v>89</v>
      </c>
      <c r="I1" s="47" t="s">
        <v>90</v>
      </c>
      <c r="J1" s="49" t="s">
        <v>79</v>
      </c>
      <c r="K1" s="49" t="s">
        <v>80</v>
      </c>
      <c r="L1" s="49" t="s">
        <v>81</v>
      </c>
      <c r="M1" s="49" t="s">
        <v>82</v>
      </c>
      <c r="N1" s="49" t="s">
        <v>83</v>
      </c>
      <c r="O1" s="49" t="s">
        <v>84</v>
      </c>
      <c r="P1" s="49" t="s">
        <v>130</v>
      </c>
      <c r="Q1" s="49" t="s">
        <v>131</v>
      </c>
      <c r="R1" s="49" t="s">
        <v>132</v>
      </c>
      <c r="S1" s="49" t="s">
        <v>133</v>
      </c>
      <c r="T1" s="49" t="s">
        <v>134</v>
      </c>
      <c r="U1" s="49" t="s">
        <v>135</v>
      </c>
      <c r="V1" s="49" t="s">
        <v>136</v>
      </c>
      <c r="W1" s="49" t="s">
        <v>137</v>
      </c>
      <c r="X1" s="49" t="s">
        <v>138</v>
      </c>
      <c r="Y1" s="49" t="s">
        <v>139</v>
      </c>
      <c r="Z1" s="49" t="s">
        <v>140</v>
      </c>
      <c r="AA1" s="49" t="s">
        <v>141</v>
      </c>
      <c r="AB1" s="49" t="s">
        <v>142</v>
      </c>
      <c r="AC1" s="49" t="s">
        <v>143</v>
      </c>
      <c r="AD1" s="49" t="s">
        <v>144</v>
      </c>
      <c r="AE1" s="49" t="s">
        <v>145</v>
      </c>
      <c r="AF1" s="49" t="s">
        <v>146</v>
      </c>
      <c r="AG1" s="49" t="s">
        <v>147</v>
      </c>
      <c r="AH1" s="49" t="s">
        <v>148</v>
      </c>
      <c r="AI1" s="49" t="s">
        <v>149</v>
      </c>
      <c r="AJ1" s="49" t="s">
        <v>150</v>
      </c>
      <c r="AK1" s="49" t="s">
        <v>151</v>
      </c>
      <c r="AL1" s="49" t="s">
        <v>152</v>
      </c>
      <c r="AM1" s="49" t="s">
        <v>153</v>
      </c>
      <c r="AN1" s="49" t="s">
        <v>154</v>
      </c>
      <c r="AO1" s="49" t="s">
        <v>155</v>
      </c>
      <c r="AP1" s="49" t="s">
        <v>156</v>
      </c>
      <c r="AQ1" s="49" t="s">
        <v>157</v>
      </c>
      <c r="AR1" s="49" t="s">
        <v>158</v>
      </c>
      <c r="AS1" s="49" t="s">
        <v>159</v>
      </c>
      <c r="AT1" s="49" t="s">
        <v>160</v>
      </c>
      <c r="AU1" s="49" t="s">
        <v>161</v>
      </c>
      <c r="AV1" s="49" t="s">
        <v>162</v>
      </c>
      <c r="AW1" s="49" t="s">
        <v>163</v>
      </c>
      <c r="AX1" s="49" t="s">
        <v>164</v>
      </c>
      <c r="AY1" s="49" t="s">
        <v>165</v>
      </c>
      <c r="AZ1" s="49" t="s">
        <v>166</v>
      </c>
      <c r="BA1" s="49" t="s">
        <v>167</v>
      </c>
      <c r="BB1" s="49" t="s">
        <v>168</v>
      </c>
      <c r="BC1" s="49" t="s">
        <v>169</v>
      </c>
      <c r="BD1" s="49" t="s">
        <v>170</v>
      </c>
      <c r="BE1" s="49" t="s">
        <v>171</v>
      </c>
      <c r="BF1" s="49" t="s">
        <v>172</v>
      </c>
      <c r="BG1" s="49" t="s">
        <v>173</v>
      </c>
      <c r="BH1" s="49" t="s">
        <v>174</v>
      </c>
      <c r="BI1" s="49" t="s">
        <v>175</v>
      </c>
      <c r="BJ1" s="49" t="s">
        <v>176</v>
      </c>
      <c r="BK1" s="49" t="s">
        <v>177</v>
      </c>
    </row>
    <row r="2" spans="1:63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236</v>
      </c>
      <c r="E2" s="50" t="s">
        <v>24</v>
      </c>
      <c r="F2" s="50" t="s">
        <v>237</v>
      </c>
      <c r="G2" s="50" t="s">
        <v>275</v>
      </c>
      <c r="H2" s="50"/>
      <c r="I2" s="50"/>
      <c r="J2" s="50" t="s">
        <v>239</v>
      </c>
      <c r="K2" s="50" t="s">
        <v>276</v>
      </c>
      <c r="L2" s="50" t="s">
        <v>240</v>
      </c>
      <c r="M2" s="50" t="s">
        <v>277</v>
      </c>
      <c r="N2" s="50" t="s">
        <v>241</v>
      </c>
      <c r="O2" s="50" t="s">
        <v>278</v>
      </c>
      <c r="P2" s="50" t="s">
        <v>242</v>
      </c>
      <c r="Q2" s="50" t="s">
        <v>279</v>
      </c>
      <c r="R2" s="50" t="s">
        <v>243</v>
      </c>
      <c r="S2" s="50" t="s">
        <v>280</v>
      </c>
      <c r="T2" s="50" t="s">
        <v>244</v>
      </c>
      <c r="U2" s="50" t="s">
        <v>281</v>
      </c>
      <c r="V2" s="50" t="s">
        <v>245</v>
      </c>
      <c r="W2" s="50" t="s">
        <v>282</v>
      </c>
      <c r="X2" s="50" t="s">
        <v>246</v>
      </c>
      <c r="Y2" s="50" t="s">
        <v>283</v>
      </c>
      <c r="Z2" s="50" t="s">
        <v>247</v>
      </c>
      <c r="AA2" s="50" t="s">
        <v>284</v>
      </c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</row>
    <row r="3" spans="1:63" x14ac:dyDescent="0.3">
      <c r="A3" s="70"/>
      <c r="B3" s="51" t="s">
        <v>23</v>
      </c>
      <c r="C3" s="51" t="str" cm="1">
        <f t="array" ref="C3">UPPER(INDEX(_xlfn.TEXTSPLIT($D3, "-"), 3))</f>
        <v>DCH</v>
      </c>
      <c r="D3" s="51" t="s">
        <v>236</v>
      </c>
      <c r="E3" s="51" t="s">
        <v>24</v>
      </c>
      <c r="F3" s="51" t="s">
        <v>238</v>
      </c>
      <c r="G3" s="51" t="s">
        <v>285</v>
      </c>
      <c r="H3" s="51" t="s">
        <v>286</v>
      </c>
      <c r="I3" s="51" t="s">
        <v>287</v>
      </c>
      <c r="J3" s="51" t="s">
        <v>248</v>
      </c>
      <c r="K3" s="51" t="s">
        <v>288</v>
      </c>
      <c r="L3" s="51" t="s">
        <v>249</v>
      </c>
      <c r="M3" s="51" t="s">
        <v>289</v>
      </c>
      <c r="N3" s="51" t="s">
        <v>250</v>
      </c>
      <c r="O3" s="51" t="s">
        <v>290</v>
      </c>
      <c r="P3" s="51" t="s">
        <v>251</v>
      </c>
      <c r="Q3" s="51" t="s">
        <v>291</v>
      </c>
      <c r="R3" s="51" t="s">
        <v>252</v>
      </c>
      <c r="S3" s="51" t="s">
        <v>292</v>
      </c>
      <c r="T3" s="51" t="s">
        <v>253</v>
      </c>
      <c r="U3" s="51" t="s">
        <v>293</v>
      </c>
      <c r="V3" s="51" t="s">
        <v>254</v>
      </c>
      <c r="W3" s="51" t="s">
        <v>294</v>
      </c>
      <c r="X3" s="51" t="s">
        <v>255</v>
      </c>
      <c r="Y3" s="51" t="s">
        <v>295</v>
      </c>
      <c r="Z3" s="51" t="s">
        <v>256</v>
      </c>
      <c r="AA3" s="51" t="s">
        <v>296</v>
      </c>
      <c r="AB3" s="51" t="s">
        <v>257</v>
      </c>
      <c r="AC3" s="51" t="s">
        <v>297</v>
      </c>
      <c r="AD3" s="51" t="s">
        <v>258</v>
      </c>
      <c r="AE3" s="51" t="s">
        <v>298</v>
      </c>
      <c r="AF3" s="51" t="s">
        <v>259</v>
      </c>
      <c r="AG3" s="51" t="s">
        <v>299</v>
      </c>
      <c r="AH3" s="51" t="s">
        <v>260</v>
      </c>
      <c r="AI3" s="51" t="s">
        <v>300</v>
      </c>
      <c r="AJ3" s="51" t="s">
        <v>261</v>
      </c>
      <c r="AK3" s="51" t="s">
        <v>301</v>
      </c>
      <c r="AL3" s="51" t="s">
        <v>262</v>
      </c>
      <c r="AM3" s="51" t="s">
        <v>302</v>
      </c>
      <c r="AN3" s="51" t="s">
        <v>263</v>
      </c>
      <c r="AO3" s="51" t="s">
        <v>303</v>
      </c>
      <c r="AP3" s="51" t="s">
        <v>264</v>
      </c>
      <c r="AQ3" s="51" t="s">
        <v>304</v>
      </c>
      <c r="AR3" s="51" t="s">
        <v>265</v>
      </c>
      <c r="AS3" s="51" t="s">
        <v>305</v>
      </c>
      <c r="AT3" s="51" t="s">
        <v>266</v>
      </c>
      <c r="AU3" s="51" t="s">
        <v>306</v>
      </c>
      <c r="AV3" s="51" t="s">
        <v>267</v>
      </c>
      <c r="AW3" s="51" t="s">
        <v>307</v>
      </c>
      <c r="AX3" s="51" t="s">
        <v>268</v>
      </c>
      <c r="AY3" s="51" t="s">
        <v>308</v>
      </c>
      <c r="AZ3" s="51" t="s">
        <v>269</v>
      </c>
      <c r="BA3" s="51" t="s">
        <v>309</v>
      </c>
      <c r="BB3" s="51" t="s">
        <v>270</v>
      </c>
      <c r="BC3" s="51" t="s">
        <v>310</v>
      </c>
      <c r="BD3" s="51" t="s">
        <v>271</v>
      </c>
      <c r="BE3" s="51" t="s">
        <v>311</v>
      </c>
      <c r="BF3" s="51" t="s">
        <v>272</v>
      </c>
      <c r="BG3" s="51" t="s">
        <v>312</v>
      </c>
      <c r="BH3" s="51" t="s">
        <v>273</v>
      </c>
      <c r="BI3" s="51" t="s">
        <v>313</v>
      </c>
      <c r="BJ3" s="51" t="s">
        <v>274</v>
      </c>
      <c r="BK3" s="51" t="s">
        <v>314</v>
      </c>
    </row>
    <row r="4" spans="1:63" x14ac:dyDescent="0.3">
      <c r="J4" s="1"/>
      <c r="AA4" s="94"/>
    </row>
    <row r="10" spans="1:63" x14ac:dyDescent="0.3">
      <c r="J10" s="1"/>
    </row>
    <row r="11" spans="1:63" x14ac:dyDescent="0.3">
      <c r="J11" s="1"/>
    </row>
    <row r="12" spans="1:63" x14ac:dyDescent="0.3">
      <c r="J12" s="1"/>
    </row>
    <row r="13" spans="1:63" x14ac:dyDescent="0.3">
      <c r="J13" s="1"/>
    </row>
    <row r="14" spans="1:63" x14ac:dyDescent="0.3">
      <c r="J14" s="1"/>
    </row>
    <row r="15" spans="1:63" x14ac:dyDescent="0.3">
      <c r="J15" s="1"/>
    </row>
    <row r="16" spans="1:63" x14ac:dyDescent="0.3">
      <c r="J16" s="1"/>
    </row>
    <row r="17" spans="10:10" x14ac:dyDescent="0.3">
      <c r="J17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  <row r="23" spans="10:10" x14ac:dyDescent="0.3">
      <c r="J23" s="1"/>
    </row>
    <row r="24" spans="10:10" x14ac:dyDescent="0.3">
      <c r="J24" s="1"/>
    </row>
    <row r="25" spans="10:10" x14ac:dyDescent="0.3">
      <c r="J25" s="1"/>
    </row>
    <row r="26" spans="10:10" x14ac:dyDescent="0.3">
      <c r="J26" s="1"/>
    </row>
    <row r="27" spans="10:10" x14ac:dyDescent="0.3">
      <c r="J27" s="1"/>
    </row>
    <row r="28" spans="10:10" x14ac:dyDescent="0.3">
      <c r="J28" s="1"/>
    </row>
    <row r="29" spans="10:10" x14ac:dyDescent="0.3">
      <c r="J29" s="1"/>
    </row>
    <row r="30" spans="10:10" x14ac:dyDescent="0.3">
      <c r="J30" s="1"/>
    </row>
    <row r="70" spans="1:1" x14ac:dyDescent="0.3">
      <c r="A70" s="7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1C21F-24D7-4C3A-A8CD-5A629D1AA37B}">
  <sheetPr>
    <tabColor rgb="FF00B050"/>
  </sheetPr>
  <dimension ref="A1:F69"/>
  <sheetViews>
    <sheetView workbookViewId="0">
      <selection activeCell="D21" sqref="D21"/>
    </sheetView>
  </sheetViews>
  <sheetFormatPr defaultRowHeight="16.5" x14ac:dyDescent="0.3"/>
  <cols>
    <col min="1" max="1" width="1.25" customWidth="1"/>
    <col min="2" max="2" width="5.75" bestFit="1" customWidth="1"/>
    <col min="3" max="3" width="9.375" bestFit="1" customWidth="1"/>
    <col min="4" max="4" width="17.625" bestFit="1" customWidth="1"/>
    <col min="5" max="5" width="12.25" bestFit="1" customWidth="1"/>
  </cols>
  <sheetData>
    <row r="1" spans="1:6" x14ac:dyDescent="0.3">
      <c r="A1" s="48"/>
      <c r="B1" s="49" t="s">
        <v>0</v>
      </c>
      <c r="C1" s="49" t="s">
        <v>1</v>
      </c>
      <c r="D1" s="47" t="s">
        <v>2</v>
      </c>
      <c r="E1" s="47" t="s">
        <v>3</v>
      </c>
      <c r="F1" s="49" t="s">
        <v>78</v>
      </c>
    </row>
    <row r="2" spans="1:6" x14ac:dyDescent="0.3">
      <c r="A2" s="69"/>
      <c r="B2" s="50" t="s">
        <v>23</v>
      </c>
      <c r="C2" s="50" t="str" cm="1">
        <f t="array" ref="C2">UPPER(INDEX(_xlfn.TEXTSPLIT($D2, "-"), 3))</f>
        <v>DCH</v>
      </c>
      <c r="D2" s="50" t="s">
        <v>236</v>
      </c>
      <c r="E2" s="50" t="s">
        <v>24</v>
      </c>
      <c r="F2" s="50"/>
    </row>
    <row r="3" spans="1:6" x14ac:dyDescent="0.3">
      <c r="A3" s="70"/>
      <c r="B3" s="51" t="s">
        <v>23</v>
      </c>
      <c r="C3" s="51" t="str" cm="1">
        <f t="array" ref="C3">UPPER(INDEX(_xlfn.TEXTSPLIT($D3, "-"), 3))</f>
        <v>COM</v>
      </c>
      <c r="D3" s="51" t="s">
        <v>315</v>
      </c>
      <c r="E3" s="51" t="s">
        <v>24</v>
      </c>
      <c r="F3" s="51"/>
    </row>
    <row r="4" spans="1:6" x14ac:dyDescent="0.3">
      <c r="A4" s="69"/>
      <c r="B4" s="50" t="s">
        <v>23</v>
      </c>
      <c r="C4" s="50" t="str" cm="1">
        <f t="array" ref="C4">UPPER(INDEX(_xlfn.TEXTSPLIT($D4, "-"), 3))</f>
        <v>CS</v>
      </c>
      <c r="D4" s="50" t="s">
        <v>316</v>
      </c>
      <c r="E4" s="50" t="s">
        <v>24</v>
      </c>
      <c r="F4" s="50"/>
    </row>
    <row r="5" spans="1:6" x14ac:dyDescent="0.3">
      <c r="A5" s="70"/>
      <c r="B5" s="51" t="s">
        <v>23</v>
      </c>
      <c r="C5" s="51" t="str" cm="1">
        <f t="array" ref="C5">UPPER(INDEX(_xlfn.TEXTSPLIT($D5, "-"), 3))</f>
        <v>DIS</v>
      </c>
      <c r="D5" s="51" t="s">
        <v>317</v>
      </c>
      <c r="E5" s="51" t="s">
        <v>24</v>
      </c>
      <c r="F5" s="51"/>
    </row>
    <row r="6" spans="1:6" x14ac:dyDescent="0.3">
      <c r="A6" s="69"/>
      <c r="B6" s="50" t="s">
        <v>23</v>
      </c>
      <c r="C6" s="50" t="str" cm="1">
        <f t="array" ref="C6">UPPER(INDEX(_xlfn.TEXTSPLIT($D6, "-"), 3))</f>
        <v>DOIP</v>
      </c>
      <c r="D6" s="50" t="s">
        <v>318</v>
      </c>
      <c r="E6" s="50" t="s">
        <v>24</v>
      </c>
      <c r="F6" s="50"/>
    </row>
    <row r="7" spans="1:6" x14ac:dyDescent="0.3">
      <c r="A7" s="70"/>
      <c r="B7" s="51" t="s">
        <v>23</v>
      </c>
      <c r="C7" s="51" t="str" cm="1">
        <f t="array" ref="C7">UPPER(INDEX(_xlfn.TEXTSPLIT($D7, "-"), 3))</f>
        <v>DTG</v>
      </c>
      <c r="D7" s="51" t="s">
        <v>319</v>
      </c>
      <c r="E7" s="51" t="s">
        <v>24</v>
      </c>
      <c r="F7" s="51"/>
    </row>
    <row r="8" spans="1:6" x14ac:dyDescent="0.3">
      <c r="A8" s="69"/>
      <c r="B8" s="50" t="s">
        <v>23</v>
      </c>
      <c r="C8" s="50" t="str" cm="1">
        <f t="array" ref="C8">UPPER(INDEX(_xlfn.TEXTSPLIT($D8, "-"), 3))</f>
        <v>IF</v>
      </c>
      <c r="D8" s="50" t="s">
        <v>320</v>
      </c>
      <c r="E8" s="50" t="s">
        <v>24</v>
      </c>
      <c r="F8" s="50"/>
    </row>
    <row r="9" spans="1:6" x14ac:dyDescent="0.3">
      <c r="A9" s="69"/>
      <c r="B9" s="51" t="s">
        <v>23</v>
      </c>
      <c r="C9" s="51" t="str" cm="1">
        <f t="array" ref="C9">UPPER(INDEX(_xlfn.TEXTSPLIT($D9, "-"), 3))</f>
        <v>BDP</v>
      </c>
      <c r="D9" s="51" t="s">
        <v>321</v>
      </c>
      <c r="E9" s="51" t="s">
        <v>24</v>
      </c>
      <c r="F9" s="51"/>
    </row>
    <row r="10" spans="1:6" x14ac:dyDescent="0.3">
      <c r="A10" s="70"/>
      <c r="B10" s="50" t="s">
        <v>23</v>
      </c>
      <c r="C10" s="50" t="str" cm="1">
        <f t="array" ref="C10">UPPER(INDEX(_xlfn.TEXTSPLIT($D10, "-"), 3))</f>
        <v>PULS</v>
      </c>
      <c r="D10" s="50" t="s">
        <v>322</v>
      </c>
      <c r="E10" s="50" t="s">
        <v>24</v>
      </c>
      <c r="F10" s="50"/>
    </row>
    <row r="11" spans="1:6" x14ac:dyDescent="0.3">
      <c r="A11" s="70"/>
      <c r="B11" s="51" t="s">
        <v>23</v>
      </c>
      <c r="C11" s="51" t="str" cm="1">
        <f t="array" ref="C11">UPPER(INDEX(_xlfn.TEXTSPLIT($D11, "-"), 3))</f>
        <v>DIP</v>
      </c>
      <c r="D11" s="51" t="s">
        <v>928</v>
      </c>
      <c r="E11" s="51" t="s">
        <v>24</v>
      </c>
      <c r="F11" s="51"/>
    </row>
    <row r="69" spans="1:1" x14ac:dyDescent="0.3">
      <c r="A69" s="7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F143"/>
  <sheetViews>
    <sheetView zoomScaleNormal="100" zoomScaleSheetLayoutView="100" workbookViewId="0">
      <pane xSplit="6" ySplit="1" topLeftCell="G95" activePane="bottomRight" state="frozen"/>
      <selection pane="topRight"/>
      <selection pane="bottomLeft"/>
      <selection pane="bottomRight" activeCell="E122" sqref="E122"/>
    </sheetView>
  </sheetViews>
  <sheetFormatPr defaultRowHeight="16.5" x14ac:dyDescent="0.3"/>
  <cols>
    <col min="1" max="1" width="1.25" customWidth="1"/>
    <col min="2" max="2" width="13.875" bestFit="1" customWidth="1"/>
    <col min="3" max="3" width="11" customWidth="1"/>
    <col min="4" max="4" width="13.5" bestFit="1" customWidth="1"/>
    <col min="5" max="5" width="12.25" bestFit="1" customWidth="1"/>
    <col min="6" max="6" width="19.875" style="88" bestFit="1" customWidth="1"/>
    <col min="7" max="7" width="14" bestFit="1" customWidth="1"/>
    <col min="8" max="8" width="11.125" style="75" bestFit="1" customWidth="1"/>
    <col min="9" max="9" width="6.75" style="75" bestFit="1" customWidth="1"/>
    <col min="10" max="10" width="7.25" style="75" bestFit="1" customWidth="1"/>
    <col min="11" max="11" width="16.875" bestFit="1" customWidth="1"/>
    <col min="12" max="12" width="15.875" customWidth="1"/>
    <col min="13" max="13" width="16.25" style="88" bestFit="1" customWidth="1"/>
    <col min="14" max="14" width="167" style="1" bestFit="1" customWidth="1"/>
    <col min="15" max="15" width="21.5" bestFit="1" customWidth="1"/>
    <col min="16" max="16" width="11.875" bestFit="1" customWidth="1"/>
    <col min="17" max="17" width="19.25" bestFit="1" customWidth="1"/>
    <col min="18" max="19" width="15.625" bestFit="1" customWidth="1"/>
    <col min="20" max="21" width="21" bestFit="1" customWidth="1"/>
    <col min="22" max="22" width="28.125" bestFit="1" customWidth="1"/>
    <col min="23" max="23" width="9" bestFit="1" customWidth="1"/>
    <col min="24" max="24" width="13.5" bestFit="1" customWidth="1"/>
    <col min="25" max="25" width="19.375" style="75" bestFit="1" customWidth="1"/>
    <col min="26" max="26" width="15.5" style="75" bestFit="1" customWidth="1"/>
    <col min="27" max="27" width="29.75" bestFit="1" customWidth="1"/>
    <col min="28" max="28" width="13.5" bestFit="1" customWidth="1"/>
    <col min="29" max="29" width="21.125" bestFit="1" customWidth="1"/>
    <col min="30" max="30" width="10.125" bestFit="1" customWidth="1"/>
    <col min="31" max="31" width="15" customWidth="1"/>
    <col min="32" max="32" width="17" customWidth="1"/>
  </cols>
  <sheetData>
    <row r="1" spans="1:32" x14ac:dyDescent="0.3">
      <c r="A1" s="48"/>
      <c r="B1" s="88" t="s">
        <v>0</v>
      </c>
      <c r="C1" s="88" t="s">
        <v>1</v>
      </c>
      <c r="D1" s="92" t="s">
        <v>2</v>
      </c>
      <c r="E1" s="92" t="s">
        <v>3</v>
      </c>
      <c r="F1" s="92" t="s">
        <v>4</v>
      </c>
      <c r="G1" s="92" t="s">
        <v>5</v>
      </c>
      <c r="H1" s="92" t="s">
        <v>6</v>
      </c>
      <c r="I1" s="88" t="s">
        <v>7</v>
      </c>
      <c r="J1" s="88" t="s">
        <v>8</v>
      </c>
      <c r="K1" s="92" t="s">
        <v>9</v>
      </c>
      <c r="L1" s="93" t="s">
        <v>10</v>
      </c>
      <c r="M1" s="95" t="s">
        <v>86</v>
      </c>
      <c r="N1" s="92" t="s">
        <v>28</v>
      </c>
      <c r="O1" s="92" t="s">
        <v>11</v>
      </c>
      <c r="P1" s="92" t="s">
        <v>12</v>
      </c>
      <c r="Q1" s="92" t="s">
        <v>13</v>
      </c>
      <c r="R1" s="88" t="s">
        <v>14</v>
      </c>
      <c r="S1" s="88" t="s">
        <v>15</v>
      </c>
      <c r="T1" s="88" t="s">
        <v>16</v>
      </c>
      <c r="U1" s="92" t="s">
        <v>17</v>
      </c>
      <c r="V1" s="92" t="s">
        <v>193</v>
      </c>
      <c r="W1" s="92" t="s">
        <v>18</v>
      </c>
      <c r="X1" s="92" t="s">
        <v>85</v>
      </c>
      <c r="Y1" s="92" t="s">
        <v>19</v>
      </c>
      <c r="Z1" s="92" t="s">
        <v>20</v>
      </c>
      <c r="AA1" s="92" t="s">
        <v>194</v>
      </c>
      <c r="AB1" s="92" t="s">
        <v>192</v>
      </c>
      <c r="AC1" s="92" t="s">
        <v>129</v>
      </c>
      <c r="AD1" s="92" t="s">
        <v>25</v>
      </c>
      <c r="AE1" s="88" t="s">
        <v>21</v>
      </c>
      <c r="AF1" s="88" t="s">
        <v>22</v>
      </c>
    </row>
    <row r="2" spans="1:32" x14ac:dyDescent="0.3">
      <c r="A2" s="109"/>
      <c r="B2" s="74" t="s">
        <v>23</v>
      </c>
      <c r="C2" s="95" t="str" cm="1">
        <f t="array" ref="C2">UPPER(INDEX(_xlfn.TEXTSPLIT($F2, "-"), 3))</f>
        <v>DIS</v>
      </c>
      <c r="D2" s="80" t="s">
        <v>317</v>
      </c>
      <c r="E2" s="74" t="s">
        <v>24</v>
      </c>
      <c r="F2" s="74" t="s">
        <v>345</v>
      </c>
      <c r="G2" s="80" t="s">
        <v>486</v>
      </c>
      <c r="H2" s="80" t="s">
        <v>608</v>
      </c>
      <c r="I2" s="80">
        <v>4</v>
      </c>
      <c r="J2" s="80">
        <v>32</v>
      </c>
      <c r="K2" s="74" t="s">
        <v>180</v>
      </c>
      <c r="L2" s="74" t="s">
        <v>178</v>
      </c>
      <c r="M2" s="80" t="s">
        <v>619</v>
      </c>
      <c r="N2" s="98" t="s">
        <v>1041</v>
      </c>
      <c r="O2" s="74" t="str">
        <f t="shared" ref="O2:O6" si="0">SUBSTITUTE(F2,"hazr-","")&amp;"-osdisk"</f>
        <v>p-dis-ap01-osdisk</v>
      </c>
      <c r="P2" s="97">
        <v>64</v>
      </c>
      <c r="Q2" s="74" t="s">
        <v>179</v>
      </c>
      <c r="R2" s="74"/>
      <c r="S2" s="74"/>
      <c r="T2" s="74"/>
      <c r="U2" s="74" t="str">
        <f>SUBSTITUTE(F2,"hazr-","")&amp;"-nic"</f>
        <v>p-dis-ap01-nic</v>
      </c>
      <c r="V2" s="74" t="b">
        <v>1</v>
      </c>
      <c r="W2" s="74" t="b">
        <v>1</v>
      </c>
      <c r="X2" s="74" t="s">
        <v>323</v>
      </c>
      <c r="Y2" s="74" t="s">
        <v>238</v>
      </c>
      <c r="Z2" s="74" t="s">
        <v>248</v>
      </c>
      <c r="AA2" s="74" t="b">
        <v>1</v>
      </c>
      <c r="AB2" s="74" t="s">
        <v>323</v>
      </c>
      <c r="AC2" s="74" t="s">
        <v>324</v>
      </c>
      <c r="AD2" s="80">
        <v>1</v>
      </c>
      <c r="AE2" s="74"/>
      <c r="AF2" s="74"/>
    </row>
    <row r="3" spans="1:32" x14ac:dyDescent="0.3">
      <c r="A3" s="109"/>
      <c r="B3" s="74" t="s">
        <v>23</v>
      </c>
      <c r="C3" s="95" t="str" cm="1">
        <f t="array" ref="C3">UPPER(INDEX(_xlfn.TEXTSPLIT($F3, "-"), 3))</f>
        <v>DIS</v>
      </c>
      <c r="D3" s="80" t="s">
        <v>317</v>
      </c>
      <c r="E3" s="74" t="s">
        <v>24</v>
      </c>
      <c r="F3" s="74" t="s">
        <v>347</v>
      </c>
      <c r="G3" s="80" t="s">
        <v>487</v>
      </c>
      <c r="H3" s="80" t="s">
        <v>608</v>
      </c>
      <c r="I3" s="80">
        <v>4</v>
      </c>
      <c r="J3" s="80">
        <v>32</v>
      </c>
      <c r="K3" s="74" t="s">
        <v>180</v>
      </c>
      <c r="L3" s="74" t="s">
        <v>178</v>
      </c>
      <c r="M3" s="80" t="s">
        <v>619</v>
      </c>
      <c r="N3" s="98" t="s">
        <v>1041</v>
      </c>
      <c r="O3" s="74" t="str">
        <f t="shared" si="0"/>
        <v>p-dis-ap02-osdisk</v>
      </c>
      <c r="P3" s="97">
        <v>64</v>
      </c>
      <c r="Q3" s="74" t="s">
        <v>179</v>
      </c>
      <c r="R3" s="74"/>
      <c r="S3" s="74"/>
      <c r="T3" s="74"/>
      <c r="U3" s="74" t="str">
        <f t="shared" ref="U3:U62" si="1">SUBSTITUTE(F3,"hazr-","")&amp;"-nic"</f>
        <v>p-dis-ap02-nic</v>
      </c>
      <c r="V3" s="74" t="b">
        <v>1</v>
      </c>
      <c r="W3" s="74" t="b">
        <v>1</v>
      </c>
      <c r="X3" s="74" t="s">
        <v>323</v>
      </c>
      <c r="Y3" s="74" t="s">
        <v>238</v>
      </c>
      <c r="Z3" s="74" t="s">
        <v>248</v>
      </c>
      <c r="AA3" s="74" t="b">
        <v>1</v>
      </c>
      <c r="AB3" s="74" t="s">
        <v>323</v>
      </c>
      <c r="AC3" s="74" t="s">
        <v>324</v>
      </c>
      <c r="AD3" s="80">
        <v>2</v>
      </c>
      <c r="AE3" s="74"/>
      <c r="AF3" s="74"/>
    </row>
    <row r="4" spans="1:32" x14ac:dyDescent="0.3">
      <c r="A4" s="90"/>
      <c r="B4" s="74" t="s">
        <v>23</v>
      </c>
      <c r="C4" s="95" t="str" cm="1">
        <f t="array" ref="C4">UPPER(INDEX(_xlfn.TEXTSPLIT($F4, "-"), 3))</f>
        <v>DIS</v>
      </c>
      <c r="D4" s="80" t="s">
        <v>317</v>
      </c>
      <c r="E4" s="74" t="s">
        <v>24</v>
      </c>
      <c r="F4" s="74" t="s">
        <v>348</v>
      </c>
      <c r="G4" s="80" t="s">
        <v>488</v>
      </c>
      <c r="H4" s="80" t="s">
        <v>609</v>
      </c>
      <c r="I4" s="80">
        <v>2</v>
      </c>
      <c r="J4" s="80">
        <v>8</v>
      </c>
      <c r="K4" s="74" t="s">
        <v>180</v>
      </c>
      <c r="L4" s="74" t="s">
        <v>178</v>
      </c>
      <c r="M4" s="80" t="s">
        <v>619</v>
      </c>
      <c r="N4" s="98" t="s">
        <v>1042</v>
      </c>
      <c r="O4" s="74" t="str">
        <f t="shared" si="0"/>
        <v>p-dis-adm01-osdisk</v>
      </c>
      <c r="P4" s="97">
        <v>64</v>
      </c>
      <c r="Q4" s="74" t="s">
        <v>179</v>
      </c>
      <c r="R4" s="74"/>
      <c r="S4" s="74"/>
      <c r="T4" s="74"/>
      <c r="U4" s="74" t="str">
        <f t="shared" si="1"/>
        <v>p-dis-adm01-nic</v>
      </c>
      <c r="V4" s="74" t="b">
        <v>1</v>
      </c>
      <c r="W4" s="74" t="b">
        <v>1</v>
      </c>
      <c r="X4" s="74" t="s">
        <v>323</v>
      </c>
      <c r="Y4" s="74" t="s">
        <v>238</v>
      </c>
      <c r="Z4" s="74" t="s">
        <v>248</v>
      </c>
      <c r="AA4" s="74" t="b">
        <v>1</v>
      </c>
      <c r="AB4" s="74" t="s">
        <v>323</v>
      </c>
      <c r="AC4" s="74" t="s">
        <v>324</v>
      </c>
      <c r="AD4" s="80">
        <v>1</v>
      </c>
      <c r="AE4" s="74"/>
      <c r="AF4" s="74"/>
    </row>
    <row r="5" spans="1:32" x14ac:dyDescent="0.3">
      <c r="A5" s="90"/>
      <c r="B5" s="74" t="s">
        <v>23</v>
      </c>
      <c r="C5" s="95" t="str" cm="1">
        <f t="array" ref="C5">UPPER(INDEX(_xlfn.TEXTSPLIT($F5, "-"), 3))</f>
        <v>DIS</v>
      </c>
      <c r="D5" s="80" t="s">
        <v>317</v>
      </c>
      <c r="E5" s="74" t="s">
        <v>24</v>
      </c>
      <c r="F5" s="74" t="s">
        <v>349</v>
      </c>
      <c r="G5" s="80" t="s">
        <v>489</v>
      </c>
      <c r="H5" s="80" t="s">
        <v>609</v>
      </c>
      <c r="I5" s="80">
        <v>2</v>
      </c>
      <c r="J5" s="80">
        <v>8</v>
      </c>
      <c r="K5" s="74" t="s">
        <v>180</v>
      </c>
      <c r="L5" s="74" t="s">
        <v>178</v>
      </c>
      <c r="M5" s="80" t="s">
        <v>619</v>
      </c>
      <c r="N5" s="98" t="s">
        <v>1042</v>
      </c>
      <c r="O5" s="74" t="str">
        <f t="shared" si="0"/>
        <v>p-dis-adm02-osdisk</v>
      </c>
      <c r="P5" s="97">
        <v>64</v>
      </c>
      <c r="Q5" s="74" t="s">
        <v>179</v>
      </c>
      <c r="R5" s="74"/>
      <c r="S5" s="74"/>
      <c r="T5" s="74"/>
      <c r="U5" s="74" t="str">
        <f t="shared" si="1"/>
        <v>p-dis-adm02-nic</v>
      </c>
      <c r="V5" s="74" t="b">
        <v>1</v>
      </c>
      <c r="W5" s="74" t="b">
        <v>1</v>
      </c>
      <c r="X5" s="74" t="s">
        <v>323</v>
      </c>
      <c r="Y5" s="74" t="s">
        <v>238</v>
      </c>
      <c r="Z5" s="74" t="s">
        <v>248</v>
      </c>
      <c r="AA5" s="74" t="b">
        <v>1</v>
      </c>
      <c r="AB5" s="74" t="s">
        <v>323</v>
      </c>
      <c r="AC5" s="74" t="s">
        <v>324</v>
      </c>
      <c r="AD5" s="80">
        <v>2</v>
      </c>
      <c r="AE5" s="74"/>
      <c r="AF5" s="74"/>
    </row>
    <row r="6" spans="1:32" x14ac:dyDescent="0.3">
      <c r="A6" s="90"/>
      <c r="B6" s="74" t="s">
        <v>23</v>
      </c>
      <c r="C6" s="95" t="str" cm="1">
        <f t="array" ref="C6">UPPER(INDEX(_xlfn.TEXTSPLIT($F6, "-"), 3))</f>
        <v>DIS</v>
      </c>
      <c r="D6" s="80" t="s">
        <v>317</v>
      </c>
      <c r="E6" s="74" t="s">
        <v>24</v>
      </c>
      <c r="F6" s="74" t="s">
        <v>350</v>
      </c>
      <c r="G6" s="80" t="s">
        <v>490</v>
      </c>
      <c r="H6" s="80" t="s">
        <v>1059</v>
      </c>
      <c r="I6" s="80">
        <v>2</v>
      </c>
      <c r="J6" s="80">
        <v>4</v>
      </c>
      <c r="K6" s="74" t="s">
        <v>180</v>
      </c>
      <c r="L6" s="74" t="s">
        <v>178</v>
      </c>
      <c r="M6" s="80" t="s">
        <v>619</v>
      </c>
      <c r="N6" s="98" t="s">
        <v>1042</v>
      </c>
      <c r="O6" s="74" t="str">
        <f t="shared" si="0"/>
        <v>p-dis-bbiweb01-osdisk</v>
      </c>
      <c r="P6" s="97">
        <v>64</v>
      </c>
      <c r="Q6" s="74" t="s">
        <v>179</v>
      </c>
      <c r="R6" s="74"/>
      <c r="S6" s="74"/>
      <c r="T6" s="74"/>
      <c r="U6" s="74" t="str">
        <f t="shared" si="1"/>
        <v>p-dis-bbiweb01-nic</v>
      </c>
      <c r="V6" s="74" t="b">
        <v>1</v>
      </c>
      <c r="W6" s="74" t="b">
        <v>1</v>
      </c>
      <c r="X6" s="74" t="s">
        <v>323</v>
      </c>
      <c r="Y6" s="74" t="s">
        <v>237</v>
      </c>
      <c r="Z6" s="74" t="s">
        <v>239</v>
      </c>
      <c r="AA6" s="74" t="b">
        <v>1</v>
      </c>
      <c r="AB6" s="74" t="s">
        <v>323</v>
      </c>
      <c r="AC6" s="74" t="s">
        <v>324</v>
      </c>
      <c r="AD6" s="80">
        <v>1</v>
      </c>
      <c r="AE6" s="74"/>
      <c r="AF6" s="74"/>
    </row>
    <row r="7" spans="1:32" x14ac:dyDescent="0.3">
      <c r="A7" s="90"/>
      <c r="B7" s="74" t="s">
        <v>23</v>
      </c>
      <c r="C7" s="95" t="str" cm="1">
        <f t="array" ref="C7">UPPER(INDEX(_xlfn.TEXTSPLIT($F7, "-"), 3))</f>
        <v>DIS</v>
      </c>
      <c r="D7" s="80" t="s">
        <v>317</v>
      </c>
      <c r="E7" s="74" t="s">
        <v>24</v>
      </c>
      <c r="F7" s="74" t="s">
        <v>353</v>
      </c>
      <c r="G7" s="80" t="s">
        <v>491</v>
      </c>
      <c r="H7" s="80" t="s">
        <v>1059</v>
      </c>
      <c r="I7" s="80">
        <v>2</v>
      </c>
      <c r="J7" s="80">
        <v>4</v>
      </c>
      <c r="K7" s="74" t="s">
        <v>180</v>
      </c>
      <c r="L7" s="74" t="s">
        <v>178</v>
      </c>
      <c r="M7" s="80" t="s">
        <v>619</v>
      </c>
      <c r="N7" s="98" t="s">
        <v>1042</v>
      </c>
      <c r="O7" s="74" t="str">
        <f>SUBSTITUTE(F7,"hazr-","")&amp;"-osdisk"</f>
        <v>p-dis-bbiweb02-osdisk</v>
      </c>
      <c r="P7" s="97">
        <v>64</v>
      </c>
      <c r="Q7" s="74" t="s">
        <v>179</v>
      </c>
      <c r="R7" s="74"/>
      <c r="S7" s="74"/>
      <c r="T7" s="74"/>
      <c r="U7" s="74" t="str">
        <f t="shared" si="1"/>
        <v>p-dis-bbiweb02-nic</v>
      </c>
      <c r="V7" s="74" t="b">
        <v>1</v>
      </c>
      <c r="W7" s="74" t="b">
        <v>1</v>
      </c>
      <c r="X7" s="74" t="s">
        <v>323</v>
      </c>
      <c r="Y7" s="74" t="s">
        <v>237</v>
      </c>
      <c r="Z7" s="74" t="s">
        <v>239</v>
      </c>
      <c r="AA7" s="74" t="b">
        <v>1</v>
      </c>
      <c r="AB7" s="74" t="s">
        <v>323</v>
      </c>
      <c r="AC7" s="74" t="s">
        <v>324</v>
      </c>
      <c r="AD7" s="80">
        <v>2</v>
      </c>
      <c r="AE7" s="74"/>
      <c r="AF7" s="74"/>
    </row>
    <row r="8" spans="1:32" x14ac:dyDescent="0.3">
      <c r="A8" s="90"/>
      <c r="B8" s="74" t="s">
        <v>23</v>
      </c>
      <c r="C8" s="95" t="str" cm="1">
        <f t="array" ref="C8">UPPER(INDEX(_xlfn.TEXTSPLIT($F8, "-"), 3))</f>
        <v>DIS</v>
      </c>
      <c r="D8" s="80" t="s">
        <v>317</v>
      </c>
      <c r="E8" s="74" t="s">
        <v>24</v>
      </c>
      <c r="F8" s="74" t="s">
        <v>354</v>
      </c>
      <c r="G8" s="80" t="s">
        <v>492</v>
      </c>
      <c r="H8" s="80" t="s">
        <v>610</v>
      </c>
      <c r="I8" s="80">
        <v>4</v>
      </c>
      <c r="J8" s="80">
        <v>8</v>
      </c>
      <c r="K8" s="74" t="s">
        <v>180</v>
      </c>
      <c r="L8" s="74" t="s">
        <v>178</v>
      </c>
      <c r="M8" s="80" t="s">
        <v>619</v>
      </c>
      <c r="N8" s="98" t="s">
        <v>1041</v>
      </c>
      <c r="O8" s="74" t="str">
        <f t="shared" ref="O8:O35" si="2">SUBSTITUTE(F8,"hazr-","")&amp;"-osdisk"</f>
        <v>p-dis-bbicltap01-osdisk</v>
      </c>
      <c r="P8" s="97">
        <v>64</v>
      </c>
      <c r="Q8" s="74" t="s">
        <v>179</v>
      </c>
      <c r="R8" s="74"/>
      <c r="S8" s="74"/>
      <c r="T8" s="74"/>
      <c r="U8" s="74" t="str">
        <f t="shared" si="1"/>
        <v>p-dis-bbicltap01-nic</v>
      </c>
      <c r="V8" s="74" t="b">
        <v>1</v>
      </c>
      <c r="W8" s="74" t="b">
        <v>1</v>
      </c>
      <c r="X8" s="74" t="s">
        <v>323</v>
      </c>
      <c r="Y8" s="74" t="s">
        <v>238</v>
      </c>
      <c r="Z8" s="74" t="s">
        <v>248</v>
      </c>
      <c r="AA8" s="74" t="b">
        <v>1</v>
      </c>
      <c r="AB8" s="74" t="s">
        <v>323</v>
      </c>
      <c r="AC8" s="74" t="s">
        <v>324</v>
      </c>
      <c r="AD8" s="80">
        <v>1</v>
      </c>
      <c r="AE8" s="74"/>
      <c r="AF8" s="74"/>
    </row>
    <row r="9" spans="1:32" x14ac:dyDescent="0.3">
      <c r="A9" s="90"/>
      <c r="B9" s="74" t="s">
        <v>23</v>
      </c>
      <c r="C9" s="95" t="str" cm="1">
        <f t="array" ref="C9">UPPER(INDEX(_xlfn.TEXTSPLIT($F9, "-"), 3))</f>
        <v>DIS</v>
      </c>
      <c r="D9" s="80" t="s">
        <v>317</v>
      </c>
      <c r="E9" s="74" t="s">
        <v>24</v>
      </c>
      <c r="F9" s="74" t="s">
        <v>355</v>
      </c>
      <c r="G9" s="80" t="s">
        <v>493</v>
      </c>
      <c r="H9" s="80" t="s">
        <v>610</v>
      </c>
      <c r="I9" s="80">
        <v>4</v>
      </c>
      <c r="J9" s="80">
        <v>8</v>
      </c>
      <c r="K9" s="74" t="s">
        <v>180</v>
      </c>
      <c r="L9" s="74" t="s">
        <v>178</v>
      </c>
      <c r="M9" s="80" t="s">
        <v>619</v>
      </c>
      <c r="N9" s="98" t="s">
        <v>1041</v>
      </c>
      <c r="O9" s="74" t="str">
        <f t="shared" si="2"/>
        <v>p-dis-bbicltap02-osdisk</v>
      </c>
      <c r="P9" s="97">
        <v>64</v>
      </c>
      <c r="Q9" s="74" t="s">
        <v>179</v>
      </c>
      <c r="R9" s="74"/>
      <c r="S9" s="74"/>
      <c r="T9" s="74"/>
      <c r="U9" s="74" t="str">
        <f t="shared" si="1"/>
        <v>p-dis-bbicltap02-nic</v>
      </c>
      <c r="V9" s="74" t="b">
        <v>1</v>
      </c>
      <c r="W9" s="74" t="b">
        <v>1</v>
      </c>
      <c r="X9" s="74" t="s">
        <v>323</v>
      </c>
      <c r="Y9" s="74" t="s">
        <v>238</v>
      </c>
      <c r="Z9" s="74" t="s">
        <v>248</v>
      </c>
      <c r="AA9" s="74" t="b">
        <v>1</v>
      </c>
      <c r="AB9" s="74" t="s">
        <v>323</v>
      </c>
      <c r="AC9" s="74" t="s">
        <v>324</v>
      </c>
      <c r="AD9" s="80">
        <v>2</v>
      </c>
      <c r="AE9" s="74"/>
      <c r="AF9" s="74"/>
    </row>
    <row r="10" spans="1:32" x14ac:dyDescent="0.3">
      <c r="A10" s="90"/>
      <c r="B10" s="74" t="s">
        <v>23</v>
      </c>
      <c r="C10" s="95" t="str" cm="1">
        <f t="array" ref="C10">UPPER(INDEX(_xlfn.TEXTSPLIT($F10, "-"), 3))</f>
        <v>DIS</v>
      </c>
      <c r="D10" s="80" t="s">
        <v>317</v>
      </c>
      <c r="E10" s="74" t="s">
        <v>24</v>
      </c>
      <c r="F10" s="74" t="s">
        <v>356</v>
      </c>
      <c r="G10" s="80" t="s">
        <v>494</v>
      </c>
      <c r="H10" s="80" t="s">
        <v>611</v>
      </c>
      <c r="I10" s="80">
        <v>8</v>
      </c>
      <c r="J10" s="80">
        <v>16</v>
      </c>
      <c r="K10" s="74" t="s">
        <v>180</v>
      </c>
      <c r="L10" s="74" t="s">
        <v>178</v>
      </c>
      <c r="M10" s="80" t="s">
        <v>619</v>
      </c>
      <c r="N10" s="98" t="s">
        <v>1041</v>
      </c>
      <c r="O10" s="74" t="str">
        <f t="shared" si="2"/>
        <v>p-dis-bbimsgap01-osdisk</v>
      </c>
      <c r="P10" s="97">
        <v>64</v>
      </c>
      <c r="Q10" s="74" t="s">
        <v>179</v>
      </c>
      <c r="R10" s="74"/>
      <c r="S10" s="74"/>
      <c r="T10" s="74"/>
      <c r="U10" s="74" t="str">
        <f t="shared" si="1"/>
        <v>p-dis-bbimsgap01-nic</v>
      </c>
      <c r="V10" s="74" t="b">
        <v>1</v>
      </c>
      <c r="W10" s="74" t="b">
        <v>1</v>
      </c>
      <c r="X10" s="74" t="s">
        <v>323</v>
      </c>
      <c r="Y10" s="74" t="s">
        <v>238</v>
      </c>
      <c r="Z10" s="74" t="s">
        <v>248</v>
      </c>
      <c r="AA10" s="74" t="b">
        <v>1</v>
      </c>
      <c r="AB10" s="74" t="s">
        <v>323</v>
      </c>
      <c r="AC10" s="74" t="s">
        <v>324</v>
      </c>
      <c r="AD10" s="80">
        <v>1</v>
      </c>
      <c r="AE10" s="74"/>
      <c r="AF10" s="74"/>
    </row>
    <row r="11" spans="1:32" x14ac:dyDescent="0.3">
      <c r="A11" s="90"/>
      <c r="B11" s="74" t="s">
        <v>23</v>
      </c>
      <c r="C11" s="95" t="str" cm="1">
        <f t="array" ref="C11">UPPER(INDEX(_xlfn.TEXTSPLIT($F11, "-"), 3))</f>
        <v>DIS</v>
      </c>
      <c r="D11" s="80" t="s">
        <v>317</v>
      </c>
      <c r="E11" s="74" t="s">
        <v>24</v>
      </c>
      <c r="F11" s="74" t="s">
        <v>357</v>
      </c>
      <c r="G11" s="80" t="s">
        <v>495</v>
      </c>
      <c r="H11" s="80" t="s">
        <v>611</v>
      </c>
      <c r="I11" s="80">
        <v>8</v>
      </c>
      <c r="J11" s="80">
        <v>16</v>
      </c>
      <c r="K11" s="74" t="s">
        <v>180</v>
      </c>
      <c r="L11" s="74" t="s">
        <v>178</v>
      </c>
      <c r="M11" s="80" t="s">
        <v>619</v>
      </c>
      <c r="N11" s="98" t="s">
        <v>1041</v>
      </c>
      <c r="O11" s="74" t="str">
        <f t="shared" si="2"/>
        <v>p-dis-bbimsgap02-osdisk</v>
      </c>
      <c r="P11" s="97">
        <v>64</v>
      </c>
      <c r="Q11" s="74" t="s">
        <v>179</v>
      </c>
      <c r="R11" s="74"/>
      <c r="S11" s="74"/>
      <c r="T11" s="74"/>
      <c r="U11" s="74" t="str">
        <f t="shared" si="1"/>
        <v>p-dis-bbimsgap02-nic</v>
      </c>
      <c r="V11" s="74" t="b">
        <v>1</v>
      </c>
      <c r="W11" s="74" t="b">
        <v>1</v>
      </c>
      <c r="X11" s="74" t="s">
        <v>323</v>
      </c>
      <c r="Y11" s="74" t="s">
        <v>238</v>
      </c>
      <c r="Z11" s="74" t="s">
        <v>248</v>
      </c>
      <c r="AA11" s="74" t="b">
        <v>1</v>
      </c>
      <c r="AB11" s="74" t="s">
        <v>323</v>
      </c>
      <c r="AC11" s="74" t="s">
        <v>324</v>
      </c>
      <c r="AD11" s="80">
        <v>2</v>
      </c>
      <c r="AE11" s="74"/>
      <c r="AF11" s="74"/>
    </row>
    <row r="12" spans="1:32" x14ac:dyDescent="0.3">
      <c r="A12" s="90"/>
      <c r="B12" s="74" t="s">
        <v>23</v>
      </c>
      <c r="C12" s="95" t="str" cm="1">
        <f t="array" ref="C12">UPPER(INDEX(_xlfn.TEXTSPLIT($F12, "-"), 3))</f>
        <v>DIS</v>
      </c>
      <c r="D12" s="80" t="s">
        <v>317</v>
      </c>
      <c r="E12" s="74" t="s">
        <v>24</v>
      </c>
      <c r="F12" s="74" t="s">
        <v>358</v>
      </c>
      <c r="G12" s="80" t="s">
        <v>496</v>
      </c>
      <c r="H12" s="80" t="s">
        <v>609</v>
      </c>
      <c r="I12" s="80">
        <v>2</v>
      </c>
      <c r="J12" s="80">
        <v>8</v>
      </c>
      <c r="K12" s="74" t="s">
        <v>180</v>
      </c>
      <c r="L12" s="74" t="s">
        <v>178</v>
      </c>
      <c r="M12" s="80" t="s">
        <v>619</v>
      </c>
      <c r="N12" s="98" t="s">
        <v>1041</v>
      </c>
      <c r="O12" s="74" t="str">
        <f t="shared" si="2"/>
        <v>p-dis-bat01-osdisk</v>
      </c>
      <c r="P12" s="97">
        <v>64</v>
      </c>
      <c r="Q12" s="74" t="s">
        <v>179</v>
      </c>
      <c r="R12" s="74"/>
      <c r="S12" s="74"/>
      <c r="T12" s="74"/>
      <c r="U12" s="74" t="str">
        <f t="shared" si="1"/>
        <v>p-dis-bat01-nic</v>
      </c>
      <c r="V12" s="74" t="b">
        <v>1</v>
      </c>
      <c r="W12" s="74" t="b">
        <v>1</v>
      </c>
      <c r="X12" s="74" t="s">
        <v>323</v>
      </c>
      <c r="Y12" s="74" t="s">
        <v>238</v>
      </c>
      <c r="Z12" s="74" t="s">
        <v>248</v>
      </c>
      <c r="AA12" s="74" t="b">
        <v>1</v>
      </c>
      <c r="AB12" s="74" t="s">
        <v>323</v>
      </c>
      <c r="AC12" s="74" t="s">
        <v>324</v>
      </c>
      <c r="AD12" s="80">
        <v>1</v>
      </c>
      <c r="AE12" s="74"/>
      <c r="AF12" s="74"/>
    </row>
    <row r="13" spans="1:32" x14ac:dyDescent="0.3">
      <c r="A13" s="90"/>
      <c r="B13" s="74" t="s">
        <v>23</v>
      </c>
      <c r="C13" s="95" t="str" cm="1">
        <f t="array" ref="C13">UPPER(INDEX(_xlfn.TEXTSPLIT($F13, "-"), 3))</f>
        <v>DIS</v>
      </c>
      <c r="D13" s="80" t="s">
        <v>317</v>
      </c>
      <c r="E13" s="74" t="s">
        <v>24</v>
      </c>
      <c r="F13" s="74" t="s">
        <v>359</v>
      </c>
      <c r="G13" s="80" t="s">
        <v>497</v>
      </c>
      <c r="H13" s="80" t="s">
        <v>610</v>
      </c>
      <c r="I13" s="80">
        <v>4</v>
      </c>
      <c r="J13" s="80">
        <v>8</v>
      </c>
      <c r="K13" s="74" t="s">
        <v>180</v>
      </c>
      <c r="L13" s="74" t="s">
        <v>178</v>
      </c>
      <c r="M13" s="80" t="s">
        <v>619</v>
      </c>
      <c r="N13" s="98" t="s">
        <v>1041</v>
      </c>
      <c r="O13" s="74" t="str">
        <f t="shared" si="2"/>
        <v>p-dis-bat02-osdisk</v>
      </c>
      <c r="P13" s="97">
        <v>64</v>
      </c>
      <c r="Q13" s="74" t="s">
        <v>179</v>
      </c>
      <c r="R13" s="74"/>
      <c r="S13" s="74"/>
      <c r="T13" s="74"/>
      <c r="U13" s="74" t="str">
        <f t="shared" si="1"/>
        <v>p-dis-bat02-nic</v>
      </c>
      <c r="V13" s="74" t="b">
        <v>1</v>
      </c>
      <c r="W13" s="74" t="b">
        <v>1</v>
      </c>
      <c r="X13" s="74" t="s">
        <v>323</v>
      </c>
      <c r="Y13" s="74" t="s">
        <v>238</v>
      </c>
      <c r="Z13" s="74" t="s">
        <v>248</v>
      </c>
      <c r="AA13" s="74" t="b">
        <v>1</v>
      </c>
      <c r="AB13" s="74" t="s">
        <v>323</v>
      </c>
      <c r="AC13" s="74" t="s">
        <v>324</v>
      </c>
      <c r="AD13" s="80">
        <v>2</v>
      </c>
      <c r="AE13" s="74"/>
      <c r="AF13" s="74"/>
    </row>
    <row r="14" spans="1:32" x14ac:dyDescent="0.3">
      <c r="A14" s="90"/>
      <c r="B14" s="74" t="s">
        <v>23</v>
      </c>
      <c r="C14" s="95" t="str" cm="1">
        <f t="array" ref="C14">UPPER(INDEX(_xlfn.TEXTSPLIT($F14, "-"), 3))</f>
        <v>DIS</v>
      </c>
      <c r="D14" s="80" t="s">
        <v>317</v>
      </c>
      <c r="E14" s="74" t="s">
        <v>24</v>
      </c>
      <c r="F14" s="74" t="s">
        <v>360</v>
      </c>
      <c r="G14" s="80" t="s">
        <v>498</v>
      </c>
      <c r="H14" s="80" t="s">
        <v>610</v>
      </c>
      <c r="I14" s="80">
        <v>4</v>
      </c>
      <c r="J14" s="80">
        <v>8</v>
      </c>
      <c r="K14" s="74" t="s">
        <v>180</v>
      </c>
      <c r="L14" s="74" t="s">
        <v>178</v>
      </c>
      <c r="M14" s="80" t="s">
        <v>619</v>
      </c>
      <c r="N14" s="98" t="s">
        <v>1041</v>
      </c>
      <c r="O14" s="74" t="str">
        <f t="shared" si="2"/>
        <v>p-dis-bat03-osdisk</v>
      </c>
      <c r="P14" s="97">
        <v>64</v>
      </c>
      <c r="Q14" s="74" t="s">
        <v>179</v>
      </c>
      <c r="R14" s="74"/>
      <c r="S14" s="74"/>
      <c r="T14" s="74"/>
      <c r="U14" s="74" t="str">
        <f t="shared" si="1"/>
        <v>p-dis-bat03-nic</v>
      </c>
      <c r="V14" s="74" t="b">
        <v>1</v>
      </c>
      <c r="W14" s="74" t="b">
        <v>1</v>
      </c>
      <c r="X14" s="74" t="s">
        <v>323</v>
      </c>
      <c r="Y14" s="74" t="s">
        <v>238</v>
      </c>
      <c r="Z14" s="74" t="s">
        <v>248</v>
      </c>
      <c r="AA14" s="74" t="b">
        <v>1</v>
      </c>
      <c r="AB14" s="74" t="s">
        <v>323</v>
      </c>
      <c r="AC14" s="74" t="s">
        <v>324</v>
      </c>
      <c r="AD14" s="80">
        <v>3</v>
      </c>
      <c r="AE14" s="74"/>
      <c r="AF14" s="74"/>
    </row>
    <row r="15" spans="1:32" x14ac:dyDescent="0.3">
      <c r="A15" s="90"/>
      <c r="B15" s="74" t="s">
        <v>23</v>
      </c>
      <c r="C15" s="95" t="str" cm="1">
        <f t="array" ref="C15">UPPER(INDEX(_xlfn.TEXTSPLIT($F15, "-"), 3))</f>
        <v>DIS</v>
      </c>
      <c r="D15" s="80" t="s">
        <v>317</v>
      </c>
      <c r="E15" s="74" t="s">
        <v>24</v>
      </c>
      <c r="F15" s="74" t="s">
        <v>361</v>
      </c>
      <c r="G15" s="80" t="s">
        <v>499</v>
      </c>
      <c r="H15" s="80" t="s">
        <v>1059</v>
      </c>
      <c r="I15" s="80">
        <v>2</v>
      </c>
      <c r="J15" s="80">
        <v>4</v>
      </c>
      <c r="K15" s="74" t="s">
        <v>180</v>
      </c>
      <c r="L15" s="74" t="s">
        <v>178</v>
      </c>
      <c r="M15" s="80" t="s">
        <v>619</v>
      </c>
      <c r="N15" s="98" t="s">
        <v>1041</v>
      </c>
      <c r="O15" s="74" t="str">
        <f t="shared" si="2"/>
        <v>p-dis-drvcltap01-osdisk</v>
      </c>
      <c r="P15" s="97">
        <v>64</v>
      </c>
      <c r="Q15" s="74" t="s">
        <v>179</v>
      </c>
      <c r="R15" s="74"/>
      <c r="S15" s="74"/>
      <c r="T15" s="74"/>
      <c r="U15" s="74" t="str">
        <f t="shared" si="1"/>
        <v>p-dis-drvcltap01-nic</v>
      </c>
      <c r="V15" s="74" t="b">
        <v>1</v>
      </c>
      <c r="W15" s="74" t="b">
        <v>1</v>
      </c>
      <c r="X15" s="74" t="s">
        <v>323</v>
      </c>
      <c r="Y15" s="74" t="s">
        <v>238</v>
      </c>
      <c r="Z15" s="74" t="s">
        <v>248</v>
      </c>
      <c r="AA15" s="74" t="b">
        <v>1</v>
      </c>
      <c r="AB15" s="74" t="s">
        <v>323</v>
      </c>
      <c r="AC15" s="74" t="s">
        <v>324</v>
      </c>
      <c r="AD15" s="80">
        <v>1</v>
      </c>
      <c r="AE15" s="74"/>
      <c r="AF15" s="74"/>
    </row>
    <row r="16" spans="1:32" x14ac:dyDescent="0.3">
      <c r="A16" s="90"/>
      <c r="B16" s="74" t="s">
        <v>23</v>
      </c>
      <c r="C16" s="95" t="str" cm="1">
        <f t="array" ref="C16">UPPER(INDEX(_xlfn.TEXTSPLIT($F16, "-"), 3))</f>
        <v>DIS</v>
      </c>
      <c r="D16" s="80" t="s">
        <v>317</v>
      </c>
      <c r="E16" s="74" t="s">
        <v>24</v>
      </c>
      <c r="F16" s="74" t="s">
        <v>362</v>
      </c>
      <c r="G16" s="80" t="s">
        <v>500</v>
      </c>
      <c r="H16" s="80" t="s">
        <v>1059</v>
      </c>
      <c r="I16" s="80">
        <v>2</v>
      </c>
      <c r="J16" s="80">
        <v>4</v>
      </c>
      <c r="K16" s="74" t="s">
        <v>180</v>
      </c>
      <c r="L16" s="74" t="s">
        <v>178</v>
      </c>
      <c r="M16" s="80" t="s">
        <v>619</v>
      </c>
      <c r="N16" s="98" t="s">
        <v>1041</v>
      </c>
      <c r="O16" s="74" t="str">
        <f t="shared" si="2"/>
        <v>p-dis-drvcltap02-osdisk</v>
      </c>
      <c r="P16" s="97">
        <v>64</v>
      </c>
      <c r="Q16" s="74" t="s">
        <v>179</v>
      </c>
      <c r="R16" s="74"/>
      <c r="S16" s="74"/>
      <c r="T16" s="74"/>
      <c r="U16" s="74" t="str">
        <f t="shared" si="1"/>
        <v>p-dis-drvcltap02-nic</v>
      </c>
      <c r="V16" s="74" t="b">
        <v>1</v>
      </c>
      <c r="W16" s="74" t="b">
        <v>1</v>
      </c>
      <c r="X16" s="74" t="s">
        <v>323</v>
      </c>
      <c r="Y16" s="74" t="s">
        <v>238</v>
      </c>
      <c r="Z16" s="74" t="s">
        <v>248</v>
      </c>
      <c r="AA16" s="74" t="b">
        <v>1</v>
      </c>
      <c r="AB16" s="74" t="s">
        <v>323</v>
      </c>
      <c r="AC16" s="74" t="s">
        <v>324</v>
      </c>
      <c r="AD16" s="80">
        <v>2</v>
      </c>
      <c r="AE16" s="74"/>
      <c r="AF16" s="74"/>
    </row>
    <row r="17" spans="1:32" x14ac:dyDescent="0.3">
      <c r="A17" s="90"/>
      <c r="B17" s="74" t="s">
        <v>23</v>
      </c>
      <c r="C17" s="95" t="str" cm="1">
        <f t="array" ref="C17">UPPER(INDEX(_xlfn.TEXTSPLIT($F17, "-"), 3))</f>
        <v>DIS</v>
      </c>
      <c r="D17" s="80" t="s">
        <v>317</v>
      </c>
      <c r="E17" s="74" t="s">
        <v>24</v>
      </c>
      <c r="F17" s="74" t="s">
        <v>363</v>
      </c>
      <c r="G17" s="80" t="s">
        <v>501</v>
      </c>
      <c r="H17" s="80" t="s">
        <v>611</v>
      </c>
      <c r="I17" s="80">
        <v>8</v>
      </c>
      <c r="J17" s="80">
        <v>16</v>
      </c>
      <c r="K17" s="74" t="s">
        <v>180</v>
      </c>
      <c r="L17" s="74" t="s">
        <v>178</v>
      </c>
      <c r="M17" s="80" t="s">
        <v>619</v>
      </c>
      <c r="N17" s="98" t="s">
        <v>1041</v>
      </c>
      <c r="O17" s="74" t="str">
        <f t="shared" si="2"/>
        <v>p-dis-drvmsgap01-osdisk</v>
      </c>
      <c r="P17" s="97">
        <v>64</v>
      </c>
      <c r="Q17" s="74" t="s">
        <v>179</v>
      </c>
      <c r="R17" s="74"/>
      <c r="S17" s="74"/>
      <c r="T17" s="74"/>
      <c r="U17" s="74" t="str">
        <f t="shared" si="1"/>
        <v>p-dis-drvmsgap01-nic</v>
      </c>
      <c r="V17" s="74" t="b">
        <v>1</v>
      </c>
      <c r="W17" s="74" t="b">
        <v>1</v>
      </c>
      <c r="X17" s="74" t="s">
        <v>323</v>
      </c>
      <c r="Y17" s="74" t="s">
        <v>238</v>
      </c>
      <c r="Z17" s="74" t="s">
        <v>248</v>
      </c>
      <c r="AA17" s="74" t="b">
        <v>1</v>
      </c>
      <c r="AB17" s="74" t="s">
        <v>323</v>
      </c>
      <c r="AC17" s="74" t="s">
        <v>324</v>
      </c>
      <c r="AD17" s="80">
        <v>1</v>
      </c>
      <c r="AE17" s="74"/>
      <c r="AF17" s="74"/>
    </row>
    <row r="18" spans="1:32" x14ac:dyDescent="0.3">
      <c r="A18" s="90"/>
      <c r="B18" s="74" t="s">
        <v>23</v>
      </c>
      <c r="C18" s="95" t="str" cm="1">
        <f t="array" ref="C18">UPPER(INDEX(_xlfn.TEXTSPLIT($F18, "-"), 3))</f>
        <v>DIS</v>
      </c>
      <c r="D18" s="80" t="s">
        <v>317</v>
      </c>
      <c r="E18" s="74" t="s">
        <v>24</v>
      </c>
      <c r="F18" s="74" t="s">
        <v>364</v>
      </c>
      <c r="G18" s="80" t="s">
        <v>502</v>
      </c>
      <c r="H18" s="80" t="s">
        <v>611</v>
      </c>
      <c r="I18" s="80">
        <v>8</v>
      </c>
      <c r="J18" s="80">
        <v>16</v>
      </c>
      <c r="K18" s="74" t="s">
        <v>180</v>
      </c>
      <c r="L18" s="74" t="s">
        <v>178</v>
      </c>
      <c r="M18" s="80" t="s">
        <v>619</v>
      </c>
      <c r="N18" s="98" t="s">
        <v>1041</v>
      </c>
      <c r="O18" s="74" t="str">
        <f t="shared" si="2"/>
        <v>p-dis-drvmsgap02-osdisk</v>
      </c>
      <c r="P18" s="97">
        <v>64</v>
      </c>
      <c r="Q18" s="74" t="s">
        <v>179</v>
      </c>
      <c r="R18" s="74"/>
      <c r="S18" s="74"/>
      <c r="T18" s="74"/>
      <c r="U18" s="74" t="str">
        <f t="shared" si="1"/>
        <v>p-dis-drvmsgap02-nic</v>
      </c>
      <c r="V18" s="74" t="b">
        <v>1</v>
      </c>
      <c r="W18" s="74" t="b">
        <v>1</v>
      </c>
      <c r="X18" s="74" t="s">
        <v>323</v>
      </c>
      <c r="Y18" s="74" t="s">
        <v>238</v>
      </c>
      <c r="Z18" s="74" t="s">
        <v>248</v>
      </c>
      <c r="AA18" s="74" t="b">
        <v>1</v>
      </c>
      <c r="AB18" s="74" t="s">
        <v>323</v>
      </c>
      <c r="AC18" s="74" t="s">
        <v>324</v>
      </c>
      <c r="AD18" s="80">
        <v>2</v>
      </c>
      <c r="AE18" s="74"/>
      <c r="AF18" s="74"/>
    </row>
    <row r="19" spans="1:32" x14ac:dyDescent="0.3">
      <c r="A19" s="90"/>
      <c r="B19" s="74" t="s">
        <v>23</v>
      </c>
      <c r="C19" s="95" t="str" cm="1">
        <f t="array" ref="C19">UPPER(INDEX(_xlfn.TEXTSPLIT($F19, "-"), 3))</f>
        <v>DIS</v>
      </c>
      <c r="D19" s="80" t="s">
        <v>317</v>
      </c>
      <c r="E19" s="74" t="s">
        <v>24</v>
      </c>
      <c r="F19" s="74" t="s">
        <v>365</v>
      </c>
      <c r="G19" s="80" t="s">
        <v>503</v>
      </c>
      <c r="H19" s="80" t="s">
        <v>612</v>
      </c>
      <c r="I19" s="80">
        <v>4</v>
      </c>
      <c r="J19" s="80">
        <v>16</v>
      </c>
      <c r="K19" s="74" t="s">
        <v>180</v>
      </c>
      <c r="L19" s="74" t="s">
        <v>178</v>
      </c>
      <c r="M19" s="80" t="s">
        <v>619</v>
      </c>
      <c r="N19" s="98" t="s">
        <v>1042</v>
      </c>
      <c r="O19" s="74" t="str">
        <f t="shared" si="2"/>
        <v>p-dis-web01-osdisk</v>
      </c>
      <c r="P19" s="97">
        <v>64</v>
      </c>
      <c r="Q19" s="74" t="s">
        <v>179</v>
      </c>
      <c r="R19" s="74"/>
      <c r="S19" s="74"/>
      <c r="T19" s="74"/>
      <c r="U19" s="74" t="str">
        <f t="shared" si="1"/>
        <v>p-dis-web01-nic</v>
      </c>
      <c r="V19" s="74" t="b">
        <v>1</v>
      </c>
      <c r="W19" s="74" t="b">
        <v>1</v>
      </c>
      <c r="X19" s="74" t="s">
        <v>323</v>
      </c>
      <c r="Y19" s="74" t="s">
        <v>237</v>
      </c>
      <c r="Z19" s="74" t="s">
        <v>239</v>
      </c>
      <c r="AA19" s="74" t="b">
        <v>1</v>
      </c>
      <c r="AB19" s="74" t="s">
        <v>323</v>
      </c>
      <c r="AC19" s="74" t="s">
        <v>324</v>
      </c>
      <c r="AD19" s="80">
        <v>1</v>
      </c>
      <c r="AE19" s="74"/>
      <c r="AF19" s="74"/>
    </row>
    <row r="20" spans="1:32" x14ac:dyDescent="0.3">
      <c r="A20" s="90"/>
      <c r="B20" s="74" t="s">
        <v>23</v>
      </c>
      <c r="C20" s="95" t="str" cm="1">
        <f t="array" ref="C20">UPPER(INDEX(_xlfn.TEXTSPLIT($F20, "-"), 3))</f>
        <v>DIS</v>
      </c>
      <c r="D20" s="80" t="s">
        <v>317</v>
      </c>
      <c r="E20" s="74" t="s">
        <v>24</v>
      </c>
      <c r="F20" s="74" t="s">
        <v>366</v>
      </c>
      <c r="G20" s="80" t="s">
        <v>504</v>
      </c>
      <c r="H20" s="80" t="s">
        <v>612</v>
      </c>
      <c r="I20" s="80">
        <v>4</v>
      </c>
      <c r="J20" s="80">
        <v>16</v>
      </c>
      <c r="K20" s="74" t="s">
        <v>180</v>
      </c>
      <c r="L20" s="74" t="s">
        <v>178</v>
      </c>
      <c r="M20" s="80" t="s">
        <v>619</v>
      </c>
      <c r="N20" s="98" t="s">
        <v>1042</v>
      </c>
      <c r="O20" s="74" t="str">
        <f t="shared" si="2"/>
        <v>p-dis-web02-osdisk</v>
      </c>
      <c r="P20" s="97">
        <v>64</v>
      </c>
      <c r="Q20" s="74" t="s">
        <v>179</v>
      </c>
      <c r="R20" s="74"/>
      <c r="S20" s="74"/>
      <c r="T20" s="74"/>
      <c r="U20" s="74" t="str">
        <f t="shared" si="1"/>
        <v>p-dis-web02-nic</v>
      </c>
      <c r="V20" s="74" t="b">
        <v>1</v>
      </c>
      <c r="W20" s="74" t="b">
        <v>1</v>
      </c>
      <c r="X20" s="74" t="s">
        <v>323</v>
      </c>
      <c r="Y20" s="74" t="s">
        <v>237</v>
      </c>
      <c r="Z20" s="74" t="s">
        <v>239</v>
      </c>
      <c r="AA20" s="74" t="b">
        <v>1</v>
      </c>
      <c r="AB20" s="74" t="s">
        <v>323</v>
      </c>
      <c r="AC20" s="74" t="s">
        <v>324</v>
      </c>
      <c r="AD20" s="80">
        <v>2</v>
      </c>
      <c r="AE20" s="74"/>
      <c r="AF20" s="74"/>
    </row>
    <row r="21" spans="1:32" x14ac:dyDescent="0.3">
      <c r="A21" s="90"/>
      <c r="B21" s="74" t="s">
        <v>23</v>
      </c>
      <c r="C21" s="95" t="str" cm="1">
        <f t="array" ref="C21">UPPER(INDEX(_xlfn.TEXTSPLIT($F21, "-"), 3))</f>
        <v>DIS</v>
      </c>
      <c r="D21" s="80" t="s">
        <v>317</v>
      </c>
      <c r="E21" s="74" t="s">
        <v>24</v>
      </c>
      <c r="F21" s="74" t="s">
        <v>367</v>
      </c>
      <c r="G21" s="80" t="s">
        <v>505</v>
      </c>
      <c r="H21" s="80" t="s">
        <v>612</v>
      </c>
      <c r="I21" s="80">
        <v>4</v>
      </c>
      <c r="J21" s="80">
        <v>16</v>
      </c>
      <c r="K21" s="74" t="s">
        <v>180</v>
      </c>
      <c r="L21" s="74" t="s">
        <v>178</v>
      </c>
      <c r="M21" s="80" t="s">
        <v>619</v>
      </c>
      <c r="N21" s="98" t="s">
        <v>1042</v>
      </c>
      <c r="O21" s="74" t="str">
        <f t="shared" si="2"/>
        <v>p-dis-web03-osdisk</v>
      </c>
      <c r="P21" s="97">
        <v>64</v>
      </c>
      <c r="Q21" s="74" t="s">
        <v>179</v>
      </c>
      <c r="R21" s="74"/>
      <c r="S21" s="74"/>
      <c r="T21" s="74"/>
      <c r="U21" s="74" t="str">
        <f t="shared" si="1"/>
        <v>p-dis-web03-nic</v>
      </c>
      <c r="V21" s="74" t="b">
        <v>1</v>
      </c>
      <c r="W21" s="74" t="b">
        <v>1</v>
      </c>
      <c r="X21" s="74" t="s">
        <v>323</v>
      </c>
      <c r="Y21" s="74" t="s">
        <v>237</v>
      </c>
      <c r="Z21" s="74" t="s">
        <v>239</v>
      </c>
      <c r="AA21" s="74" t="b">
        <v>1</v>
      </c>
      <c r="AB21" s="74" t="s">
        <v>323</v>
      </c>
      <c r="AC21" s="74" t="s">
        <v>324</v>
      </c>
      <c r="AD21" s="80">
        <v>3</v>
      </c>
      <c r="AE21" s="74"/>
      <c r="AF21" s="74"/>
    </row>
    <row r="22" spans="1:32" x14ac:dyDescent="0.3">
      <c r="A22" s="90"/>
      <c r="B22" s="74" t="s">
        <v>23</v>
      </c>
      <c r="C22" s="95" t="str" cm="1">
        <f t="array" ref="C22">UPPER(INDEX(_xlfn.TEXTSPLIT($F22, "-"), 3))</f>
        <v>DIS</v>
      </c>
      <c r="D22" s="80" t="s">
        <v>317</v>
      </c>
      <c r="E22" s="74" t="s">
        <v>24</v>
      </c>
      <c r="F22" s="74" t="s">
        <v>368</v>
      </c>
      <c r="G22" s="80" t="s">
        <v>506</v>
      </c>
      <c r="H22" s="80" t="s">
        <v>612</v>
      </c>
      <c r="I22" s="80">
        <v>4</v>
      </c>
      <c r="J22" s="80">
        <v>16</v>
      </c>
      <c r="K22" s="74" t="s">
        <v>180</v>
      </c>
      <c r="L22" s="74" t="s">
        <v>178</v>
      </c>
      <c r="M22" s="80" t="s">
        <v>619</v>
      </c>
      <c r="N22" s="98" t="s">
        <v>1042</v>
      </c>
      <c r="O22" s="74" t="str">
        <f t="shared" si="2"/>
        <v>p-dis-web04-osdisk</v>
      </c>
      <c r="P22" s="97">
        <v>64</v>
      </c>
      <c r="Q22" s="74" t="s">
        <v>179</v>
      </c>
      <c r="R22" s="74"/>
      <c r="S22" s="74"/>
      <c r="T22" s="74"/>
      <c r="U22" s="74" t="str">
        <f t="shared" si="1"/>
        <v>p-dis-web04-nic</v>
      </c>
      <c r="V22" s="74" t="b">
        <v>1</v>
      </c>
      <c r="W22" s="74" t="b">
        <v>1</v>
      </c>
      <c r="X22" s="74" t="s">
        <v>323</v>
      </c>
      <c r="Y22" s="74" t="s">
        <v>237</v>
      </c>
      <c r="Z22" s="74" t="s">
        <v>239</v>
      </c>
      <c r="AA22" s="74" t="b">
        <v>1</v>
      </c>
      <c r="AB22" s="74" t="s">
        <v>323</v>
      </c>
      <c r="AC22" s="74" t="s">
        <v>324</v>
      </c>
      <c r="AD22" s="80">
        <v>1</v>
      </c>
      <c r="AE22" s="74"/>
      <c r="AF22" s="74"/>
    </row>
    <row r="23" spans="1:32" x14ac:dyDescent="0.3">
      <c r="A23" s="90"/>
      <c r="B23" s="74" t="s">
        <v>23</v>
      </c>
      <c r="C23" s="95" t="str" cm="1">
        <f t="array" ref="C23">UPPER(INDEX(_xlfn.TEXTSPLIT($F23, "-"), 3))</f>
        <v>DIS</v>
      </c>
      <c r="D23" s="80" t="s">
        <v>317</v>
      </c>
      <c r="E23" s="74" t="s">
        <v>24</v>
      </c>
      <c r="F23" s="74" t="s">
        <v>369</v>
      </c>
      <c r="G23" s="80" t="s">
        <v>507</v>
      </c>
      <c r="H23" s="80" t="s">
        <v>610</v>
      </c>
      <c r="I23" s="80">
        <v>4</v>
      </c>
      <c r="J23" s="80">
        <v>8</v>
      </c>
      <c r="K23" s="74" t="s">
        <v>180</v>
      </c>
      <c r="L23" s="74" t="s">
        <v>178</v>
      </c>
      <c r="M23" s="80" t="s">
        <v>619</v>
      </c>
      <c r="N23" s="98" t="s">
        <v>1042</v>
      </c>
      <c r="O23" s="74" t="str">
        <f t="shared" si="2"/>
        <v>p-dis-cmsadm01-osdisk</v>
      </c>
      <c r="P23" s="97">
        <v>64</v>
      </c>
      <c r="Q23" s="74" t="s">
        <v>179</v>
      </c>
      <c r="R23" s="74"/>
      <c r="S23" s="74"/>
      <c r="T23" s="74"/>
      <c r="U23" s="74" t="str">
        <f t="shared" si="1"/>
        <v>p-dis-cmsadm01-nic</v>
      </c>
      <c r="V23" s="74" t="b">
        <v>1</v>
      </c>
      <c r="W23" s="74" t="b">
        <v>1</v>
      </c>
      <c r="X23" s="74" t="s">
        <v>323</v>
      </c>
      <c r="Y23" s="74" t="s">
        <v>238</v>
      </c>
      <c r="Z23" s="74" t="s">
        <v>248</v>
      </c>
      <c r="AA23" s="74" t="b">
        <v>1</v>
      </c>
      <c r="AB23" s="74" t="s">
        <v>323</v>
      </c>
      <c r="AC23" s="74" t="s">
        <v>324</v>
      </c>
      <c r="AD23" s="80">
        <v>1</v>
      </c>
      <c r="AE23" s="74"/>
      <c r="AF23" s="74"/>
    </row>
    <row r="24" spans="1:32" x14ac:dyDescent="0.3">
      <c r="A24" s="90"/>
      <c r="B24" s="74" t="s">
        <v>23</v>
      </c>
      <c r="C24" s="95" t="str" cm="1">
        <f t="array" ref="C24">UPPER(INDEX(_xlfn.TEXTSPLIT($F24, "-"), 3))</f>
        <v>DIS</v>
      </c>
      <c r="D24" s="80" t="s">
        <v>317</v>
      </c>
      <c r="E24" s="74" t="s">
        <v>24</v>
      </c>
      <c r="F24" s="74" t="s">
        <v>370</v>
      </c>
      <c r="G24" s="80" t="s">
        <v>508</v>
      </c>
      <c r="H24" s="80" t="s">
        <v>610</v>
      </c>
      <c r="I24" s="80">
        <v>4</v>
      </c>
      <c r="J24" s="80">
        <v>8</v>
      </c>
      <c r="K24" s="74" t="s">
        <v>180</v>
      </c>
      <c r="L24" s="74" t="s">
        <v>178</v>
      </c>
      <c r="M24" s="80" t="s">
        <v>619</v>
      </c>
      <c r="N24" s="98" t="s">
        <v>1042</v>
      </c>
      <c r="O24" s="74" t="str">
        <f t="shared" si="2"/>
        <v>p-dis-cmsadm02-osdisk</v>
      </c>
      <c r="P24" s="97">
        <v>64</v>
      </c>
      <c r="Q24" s="74" t="s">
        <v>179</v>
      </c>
      <c r="R24" s="74"/>
      <c r="S24" s="74"/>
      <c r="T24" s="74"/>
      <c r="U24" s="74" t="str">
        <f t="shared" si="1"/>
        <v>p-dis-cmsadm02-nic</v>
      </c>
      <c r="V24" s="74" t="b">
        <v>1</v>
      </c>
      <c r="W24" s="74" t="b">
        <v>1</v>
      </c>
      <c r="X24" s="74" t="s">
        <v>323</v>
      </c>
      <c r="Y24" s="74" t="s">
        <v>238</v>
      </c>
      <c r="Z24" s="74" t="s">
        <v>248</v>
      </c>
      <c r="AA24" s="74" t="b">
        <v>1</v>
      </c>
      <c r="AB24" s="74" t="s">
        <v>323</v>
      </c>
      <c r="AC24" s="74" t="s">
        <v>324</v>
      </c>
      <c r="AD24" s="80">
        <v>2</v>
      </c>
      <c r="AE24" s="74"/>
      <c r="AF24" s="74"/>
    </row>
    <row r="25" spans="1:32" x14ac:dyDescent="0.3">
      <c r="A25" s="90"/>
      <c r="B25" s="74" t="s">
        <v>23</v>
      </c>
      <c r="C25" s="95" t="str" cm="1">
        <f t="array" ref="C25">UPPER(INDEX(_xlfn.TEXTSPLIT($F25, "-"), 3))</f>
        <v>DIS</v>
      </c>
      <c r="D25" s="80" t="s">
        <v>317</v>
      </c>
      <c r="E25" s="74" t="s">
        <v>24</v>
      </c>
      <c r="F25" s="74" t="s">
        <v>371</v>
      </c>
      <c r="G25" s="80" t="s">
        <v>509</v>
      </c>
      <c r="H25" s="80" t="s">
        <v>612</v>
      </c>
      <c r="I25" s="80">
        <v>4</v>
      </c>
      <c r="J25" s="80">
        <v>16</v>
      </c>
      <c r="K25" s="74" t="s">
        <v>180</v>
      </c>
      <c r="L25" s="74" t="s">
        <v>178</v>
      </c>
      <c r="M25" s="80" t="s">
        <v>619</v>
      </c>
      <c r="N25" s="98" t="s">
        <v>1041</v>
      </c>
      <c r="O25" s="74" t="str">
        <f t="shared" si="2"/>
        <v>p-dis-cmsap01-osdisk</v>
      </c>
      <c r="P25" s="97">
        <v>64</v>
      </c>
      <c r="Q25" s="74" t="s">
        <v>179</v>
      </c>
      <c r="R25" s="74"/>
      <c r="S25" s="74"/>
      <c r="T25" s="74"/>
      <c r="U25" s="74" t="str">
        <f t="shared" si="1"/>
        <v>p-dis-cmsap01-nic</v>
      </c>
      <c r="V25" s="74" t="b">
        <v>1</v>
      </c>
      <c r="W25" s="74" t="b">
        <v>1</v>
      </c>
      <c r="X25" s="74" t="s">
        <v>323</v>
      </c>
      <c r="Y25" s="74" t="s">
        <v>238</v>
      </c>
      <c r="Z25" s="74" t="s">
        <v>248</v>
      </c>
      <c r="AA25" s="74" t="b">
        <v>1</v>
      </c>
      <c r="AB25" s="74" t="s">
        <v>323</v>
      </c>
      <c r="AC25" s="74" t="s">
        <v>324</v>
      </c>
      <c r="AD25" s="80">
        <v>1</v>
      </c>
      <c r="AE25" s="74"/>
      <c r="AF25" s="74"/>
    </row>
    <row r="26" spans="1:32" x14ac:dyDescent="0.3">
      <c r="A26" s="90"/>
      <c r="B26" s="74" t="s">
        <v>23</v>
      </c>
      <c r="C26" s="95" t="str" cm="1">
        <f t="array" ref="C26">UPPER(INDEX(_xlfn.TEXTSPLIT($F26, "-"), 3))</f>
        <v>DIS</v>
      </c>
      <c r="D26" s="80" t="s">
        <v>317</v>
      </c>
      <c r="E26" s="74" t="s">
        <v>24</v>
      </c>
      <c r="F26" s="74" t="s">
        <v>372</v>
      </c>
      <c r="G26" s="80" t="s">
        <v>510</v>
      </c>
      <c r="H26" s="80" t="s">
        <v>612</v>
      </c>
      <c r="I26" s="80">
        <v>4</v>
      </c>
      <c r="J26" s="80">
        <v>16</v>
      </c>
      <c r="K26" s="74" t="s">
        <v>180</v>
      </c>
      <c r="L26" s="74" t="s">
        <v>178</v>
      </c>
      <c r="M26" s="80" t="s">
        <v>619</v>
      </c>
      <c r="N26" s="98" t="s">
        <v>1041</v>
      </c>
      <c r="O26" s="74" t="str">
        <f t="shared" si="2"/>
        <v>p-dis-cmsap02-osdisk</v>
      </c>
      <c r="P26" s="97">
        <v>64</v>
      </c>
      <c r="Q26" s="74" t="s">
        <v>179</v>
      </c>
      <c r="R26" s="74"/>
      <c r="S26" s="74"/>
      <c r="T26" s="74"/>
      <c r="U26" s="74" t="str">
        <f t="shared" si="1"/>
        <v>p-dis-cmsap02-nic</v>
      </c>
      <c r="V26" s="74" t="b">
        <v>1</v>
      </c>
      <c r="W26" s="74" t="b">
        <v>1</v>
      </c>
      <c r="X26" s="74" t="s">
        <v>323</v>
      </c>
      <c r="Y26" s="74" t="s">
        <v>238</v>
      </c>
      <c r="Z26" s="74" t="s">
        <v>248</v>
      </c>
      <c r="AA26" s="74" t="b">
        <v>1</v>
      </c>
      <c r="AB26" s="74" t="s">
        <v>323</v>
      </c>
      <c r="AC26" s="74" t="s">
        <v>324</v>
      </c>
      <c r="AD26" s="80">
        <v>2</v>
      </c>
      <c r="AE26" s="74"/>
      <c r="AF26" s="74"/>
    </row>
    <row r="27" spans="1:32" x14ac:dyDescent="0.3">
      <c r="A27" s="90"/>
      <c r="B27" s="74" t="s">
        <v>23</v>
      </c>
      <c r="C27" s="95" t="str" cm="1">
        <f t="array" ref="C27">UPPER(INDEX(_xlfn.TEXTSPLIT($F27, "-"), 3))</f>
        <v>DIS</v>
      </c>
      <c r="D27" s="80" t="s">
        <v>317</v>
      </c>
      <c r="E27" s="74" t="s">
        <v>24</v>
      </c>
      <c r="F27" s="74" t="s">
        <v>373</v>
      </c>
      <c r="G27" s="80" t="s">
        <v>511</v>
      </c>
      <c r="H27" s="80" t="s">
        <v>610</v>
      </c>
      <c r="I27" s="80">
        <v>4</v>
      </c>
      <c r="J27" s="80">
        <v>8</v>
      </c>
      <c r="K27" s="74" t="s">
        <v>180</v>
      </c>
      <c r="L27" s="74" t="s">
        <v>178</v>
      </c>
      <c r="M27" s="80" t="s">
        <v>619</v>
      </c>
      <c r="N27" s="98" t="s">
        <v>1042</v>
      </c>
      <c r="O27" s="74" t="str">
        <f t="shared" si="2"/>
        <v>p-dis-cmsweb01-osdisk</v>
      </c>
      <c r="P27" s="97">
        <v>64</v>
      </c>
      <c r="Q27" s="74" t="s">
        <v>179</v>
      </c>
      <c r="R27" s="74"/>
      <c r="S27" s="74"/>
      <c r="T27" s="74"/>
      <c r="U27" s="74" t="str">
        <f t="shared" si="1"/>
        <v>p-dis-cmsweb01-nic</v>
      </c>
      <c r="V27" s="74" t="b">
        <v>1</v>
      </c>
      <c r="W27" s="74" t="b">
        <v>1</v>
      </c>
      <c r="X27" s="74" t="s">
        <v>323</v>
      </c>
      <c r="Y27" s="74" t="s">
        <v>237</v>
      </c>
      <c r="Z27" s="74" t="s">
        <v>239</v>
      </c>
      <c r="AA27" s="74" t="b">
        <v>1</v>
      </c>
      <c r="AB27" s="74" t="s">
        <v>323</v>
      </c>
      <c r="AC27" s="74" t="s">
        <v>324</v>
      </c>
      <c r="AD27" s="80">
        <v>1</v>
      </c>
      <c r="AE27" s="74"/>
      <c r="AF27" s="74"/>
    </row>
    <row r="28" spans="1:32" x14ac:dyDescent="0.3">
      <c r="A28" s="90"/>
      <c r="B28" s="74" t="s">
        <v>23</v>
      </c>
      <c r="C28" s="95" t="str" cm="1">
        <f t="array" ref="C28">UPPER(INDEX(_xlfn.TEXTSPLIT($F28, "-"), 3))</f>
        <v>DIS</v>
      </c>
      <c r="D28" s="80" t="s">
        <v>317</v>
      </c>
      <c r="E28" s="74" t="s">
        <v>24</v>
      </c>
      <c r="F28" s="74" t="s">
        <v>374</v>
      </c>
      <c r="G28" s="80" t="s">
        <v>512</v>
      </c>
      <c r="H28" s="80" t="s">
        <v>610</v>
      </c>
      <c r="I28" s="80">
        <v>4</v>
      </c>
      <c r="J28" s="80">
        <v>8</v>
      </c>
      <c r="K28" s="74" t="s">
        <v>180</v>
      </c>
      <c r="L28" s="74" t="s">
        <v>178</v>
      </c>
      <c r="M28" s="80" t="s">
        <v>619</v>
      </c>
      <c r="N28" s="98" t="s">
        <v>1042</v>
      </c>
      <c r="O28" s="74" t="str">
        <f t="shared" si="2"/>
        <v>p-dis-cmsweb02-osdisk</v>
      </c>
      <c r="P28" s="97">
        <v>64</v>
      </c>
      <c r="Q28" s="74" t="s">
        <v>179</v>
      </c>
      <c r="R28" s="74"/>
      <c r="S28" s="74"/>
      <c r="T28" s="74"/>
      <c r="U28" s="74" t="str">
        <f t="shared" si="1"/>
        <v>p-dis-cmsweb02-nic</v>
      </c>
      <c r="V28" s="74" t="b">
        <v>1</v>
      </c>
      <c r="W28" s="74" t="b">
        <v>1</v>
      </c>
      <c r="X28" s="74" t="s">
        <v>323</v>
      </c>
      <c r="Y28" s="74" t="s">
        <v>237</v>
      </c>
      <c r="Z28" s="74" t="s">
        <v>239</v>
      </c>
      <c r="AA28" s="74" t="b">
        <v>1</v>
      </c>
      <c r="AB28" s="74" t="s">
        <v>323</v>
      </c>
      <c r="AC28" s="74" t="s">
        <v>324</v>
      </c>
      <c r="AD28" s="80">
        <v>2</v>
      </c>
      <c r="AE28" s="74"/>
      <c r="AF28" s="74"/>
    </row>
    <row r="29" spans="1:32" x14ac:dyDescent="0.3">
      <c r="A29" s="90"/>
      <c r="B29" s="74" t="s">
        <v>23</v>
      </c>
      <c r="C29" s="95" t="str" cm="1">
        <f t="array" ref="C29">UPPER(INDEX(_xlfn.TEXTSPLIT($F29, "-"), 3))</f>
        <v>DIS</v>
      </c>
      <c r="D29" s="80" t="s">
        <v>317</v>
      </c>
      <c r="E29" s="74" t="s">
        <v>24</v>
      </c>
      <c r="F29" s="74" t="s">
        <v>375</v>
      </c>
      <c r="G29" s="80" t="s">
        <v>513</v>
      </c>
      <c r="H29" s="80" t="s">
        <v>612</v>
      </c>
      <c r="I29" s="80">
        <v>4</v>
      </c>
      <c r="J29" s="80">
        <v>16</v>
      </c>
      <c r="K29" s="74" t="s">
        <v>180</v>
      </c>
      <c r="L29" s="74" t="s">
        <v>178</v>
      </c>
      <c r="M29" s="80" t="s">
        <v>619</v>
      </c>
      <c r="N29" s="98" t="s">
        <v>1041</v>
      </c>
      <c r="O29" s="74" t="str">
        <f t="shared" si="2"/>
        <v>p-dis-cmbsap01-osdisk</v>
      </c>
      <c r="P29" s="97">
        <v>64</v>
      </c>
      <c r="Q29" s="74" t="s">
        <v>179</v>
      </c>
      <c r="R29" s="74"/>
      <c r="S29" s="74"/>
      <c r="T29" s="74"/>
      <c r="U29" s="74" t="str">
        <f t="shared" si="1"/>
        <v>p-dis-cmbsap01-nic</v>
      </c>
      <c r="V29" s="74" t="b">
        <v>1</v>
      </c>
      <c r="W29" s="74" t="b">
        <v>1</v>
      </c>
      <c r="X29" s="74" t="s">
        <v>323</v>
      </c>
      <c r="Y29" s="74" t="s">
        <v>238</v>
      </c>
      <c r="Z29" s="74" t="s">
        <v>248</v>
      </c>
      <c r="AA29" s="74" t="b">
        <v>1</v>
      </c>
      <c r="AB29" s="74" t="s">
        <v>323</v>
      </c>
      <c r="AC29" s="74" t="s">
        <v>324</v>
      </c>
      <c r="AD29" s="80">
        <v>1</v>
      </c>
      <c r="AE29" s="74"/>
      <c r="AF29" s="74"/>
    </row>
    <row r="30" spans="1:32" x14ac:dyDescent="0.3">
      <c r="A30" s="90"/>
      <c r="B30" s="74" t="s">
        <v>23</v>
      </c>
      <c r="C30" s="95" t="str" cm="1">
        <f t="array" ref="C30">UPPER(INDEX(_xlfn.TEXTSPLIT($F30, "-"), 3))</f>
        <v>DIS</v>
      </c>
      <c r="D30" s="80" t="s">
        <v>317</v>
      </c>
      <c r="E30" s="74" t="s">
        <v>24</v>
      </c>
      <c r="F30" s="74" t="s">
        <v>376</v>
      </c>
      <c r="G30" s="80" t="s">
        <v>514</v>
      </c>
      <c r="H30" s="80" t="s">
        <v>612</v>
      </c>
      <c r="I30" s="80">
        <v>4</v>
      </c>
      <c r="J30" s="80">
        <v>16</v>
      </c>
      <c r="K30" s="74" t="s">
        <v>180</v>
      </c>
      <c r="L30" s="74" t="s">
        <v>178</v>
      </c>
      <c r="M30" s="80" t="s">
        <v>619</v>
      </c>
      <c r="N30" s="98" t="s">
        <v>1041</v>
      </c>
      <c r="O30" s="74" t="str">
        <f t="shared" si="2"/>
        <v>p-dis-cmbsap02-osdisk</v>
      </c>
      <c r="P30" s="97">
        <v>64</v>
      </c>
      <c r="Q30" s="74" t="s">
        <v>179</v>
      </c>
      <c r="R30" s="74"/>
      <c r="S30" s="74"/>
      <c r="T30" s="74"/>
      <c r="U30" s="74" t="str">
        <f t="shared" si="1"/>
        <v>p-dis-cmbsap02-nic</v>
      </c>
      <c r="V30" s="74" t="b">
        <v>1</v>
      </c>
      <c r="W30" s="74" t="b">
        <v>1</v>
      </c>
      <c r="X30" s="74" t="s">
        <v>323</v>
      </c>
      <c r="Y30" s="74" t="s">
        <v>238</v>
      </c>
      <c r="Z30" s="74" t="s">
        <v>248</v>
      </c>
      <c r="AA30" s="74" t="b">
        <v>1</v>
      </c>
      <c r="AB30" s="74" t="s">
        <v>323</v>
      </c>
      <c r="AC30" s="74" t="s">
        <v>324</v>
      </c>
      <c r="AD30" s="80">
        <v>2</v>
      </c>
      <c r="AE30" s="74"/>
      <c r="AF30" s="74"/>
    </row>
    <row r="31" spans="1:32" x14ac:dyDescent="0.3">
      <c r="A31" s="90"/>
      <c r="B31" s="74" t="s">
        <v>23</v>
      </c>
      <c r="C31" s="95" t="str" cm="1">
        <f t="array" ref="C31">UPPER(INDEX(_xlfn.TEXTSPLIT($F31, "-"), 3))</f>
        <v>DIS</v>
      </c>
      <c r="D31" s="80" t="s">
        <v>317</v>
      </c>
      <c r="E31" s="74" t="s">
        <v>24</v>
      </c>
      <c r="F31" s="74" t="s">
        <v>377</v>
      </c>
      <c r="G31" s="80" t="s">
        <v>515</v>
      </c>
      <c r="H31" s="80" t="s">
        <v>610</v>
      </c>
      <c r="I31" s="80">
        <v>4</v>
      </c>
      <c r="J31" s="80">
        <v>8</v>
      </c>
      <c r="K31" s="74" t="s">
        <v>180</v>
      </c>
      <c r="L31" s="74" t="s">
        <v>178</v>
      </c>
      <c r="M31" s="80" t="s">
        <v>620</v>
      </c>
      <c r="N31" s="98" t="s">
        <v>1060</v>
      </c>
      <c r="O31" s="74" t="str">
        <f t="shared" si="2"/>
        <v>p-dis-dfir01-osdisk</v>
      </c>
      <c r="P31" s="97">
        <v>128</v>
      </c>
      <c r="Q31" s="74" t="s">
        <v>179</v>
      </c>
      <c r="R31" s="74"/>
      <c r="S31" s="74"/>
      <c r="T31" s="74"/>
      <c r="U31" s="74" t="str">
        <f t="shared" si="1"/>
        <v>p-dis-dfir01-nic</v>
      </c>
      <c r="V31" s="74" t="b">
        <v>1</v>
      </c>
      <c r="W31" s="74" t="b">
        <v>1</v>
      </c>
      <c r="X31" s="74" t="s">
        <v>323</v>
      </c>
      <c r="Y31" s="74" t="s">
        <v>238</v>
      </c>
      <c r="Z31" s="74" t="s">
        <v>248</v>
      </c>
      <c r="AA31" s="74" t="b">
        <v>1</v>
      </c>
      <c r="AB31" s="74" t="s">
        <v>323</v>
      </c>
      <c r="AC31" s="74" t="s">
        <v>324</v>
      </c>
      <c r="AD31" s="80">
        <v>1</v>
      </c>
      <c r="AE31" s="74"/>
      <c r="AF31" s="74"/>
    </row>
    <row r="32" spans="1:32" x14ac:dyDescent="0.3">
      <c r="A32" s="90"/>
      <c r="B32" s="74" t="s">
        <v>23</v>
      </c>
      <c r="C32" s="95" t="str" cm="1">
        <f t="array" ref="C32">UPPER(INDEX(_xlfn.TEXTSPLIT($F32, "-"), 3))</f>
        <v>DTG</v>
      </c>
      <c r="D32" s="80" t="s">
        <v>319</v>
      </c>
      <c r="E32" s="74" t="s">
        <v>24</v>
      </c>
      <c r="F32" s="74" t="s">
        <v>378</v>
      </c>
      <c r="G32" s="80" t="s">
        <v>516</v>
      </c>
      <c r="H32" s="80" t="s">
        <v>612</v>
      </c>
      <c r="I32" s="80">
        <v>4</v>
      </c>
      <c r="J32" s="80">
        <v>16</v>
      </c>
      <c r="K32" s="74" t="s">
        <v>180</v>
      </c>
      <c r="L32" s="74" t="s">
        <v>178</v>
      </c>
      <c r="M32" s="80" t="s">
        <v>619</v>
      </c>
      <c r="N32" s="98" t="s">
        <v>1041</v>
      </c>
      <c r="O32" s="74" t="str">
        <f t="shared" si="2"/>
        <v>p-dtg-ingap01-osdisk</v>
      </c>
      <c r="P32" s="97">
        <v>64</v>
      </c>
      <c r="Q32" s="74" t="s">
        <v>179</v>
      </c>
      <c r="R32" s="74"/>
      <c r="S32" s="74"/>
      <c r="T32" s="74"/>
      <c r="U32" s="74" t="str">
        <f t="shared" si="1"/>
        <v>p-dtg-ingap01-nic</v>
      </c>
      <c r="V32" s="74" t="b">
        <v>1</v>
      </c>
      <c r="W32" s="74" t="b">
        <v>1</v>
      </c>
      <c r="X32" s="74" t="s">
        <v>323</v>
      </c>
      <c r="Y32" s="74" t="s">
        <v>238</v>
      </c>
      <c r="Z32" s="74" t="s">
        <v>257</v>
      </c>
      <c r="AA32" s="74" t="b">
        <v>1</v>
      </c>
      <c r="AB32" s="74" t="s">
        <v>323</v>
      </c>
      <c r="AC32" s="74" t="s">
        <v>324</v>
      </c>
      <c r="AD32" s="80">
        <v>1</v>
      </c>
      <c r="AE32" s="74"/>
      <c r="AF32" s="74"/>
    </row>
    <row r="33" spans="1:32" x14ac:dyDescent="0.3">
      <c r="A33" s="90"/>
      <c r="B33" s="74" t="s">
        <v>23</v>
      </c>
      <c r="C33" s="95" t="str" cm="1">
        <f t="array" ref="C33">UPPER(INDEX(_xlfn.TEXTSPLIT($F33, "-"), 3))</f>
        <v>DTG</v>
      </c>
      <c r="D33" s="80" t="s">
        <v>319</v>
      </c>
      <c r="E33" s="74" t="s">
        <v>24</v>
      </c>
      <c r="F33" s="74" t="s">
        <v>379</v>
      </c>
      <c r="G33" s="80" t="s">
        <v>517</v>
      </c>
      <c r="H33" s="80" t="s">
        <v>612</v>
      </c>
      <c r="I33" s="80">
        <v>4</v>
      </c>
      <c r="J33" s="80">
        <v>16</v>
      </c>
      <c r="K33" s="74" t="s">
        <v>180</v>
      </c>
      <c r="L33" s="74" t="s">
        <v>178</v>
      </c>
      <c r="M33" s="80" t="s">
        <v>619</v>
      </c>
      <c r="N33" s="98" t="s">
        <v>1041</v>
      </c>
      <c r="O33" s="74" t="str">
        <f t="shared" si="2"/>
        <v>p-dtg-ingap02-osdisk</v>
      </c>
      <c r="P33" s="97">
        <v>64</v>
      </c>
      <c r="Q33" s="74" t="s">
        <v>179</v>
      </c>
      <c r="R33" s="74"/>
      <c r="S33" s="74"/>
      <c r="T33" s="74"/>
      <c r="U33" s="74" t="str">
        <f t="shared" si="1"/>
        <v>p-dtg-ingap02-nic</v>
      </c>
      <c r="V33" s="74" t="b">
        <v>1</v>
      </c>
      <c r="W33" s="74" t="b">
        <v>1</v>
      </c>
      <c r="X33" s="74" t="s">
        <v>323</v>
      </c>
      <c r="Y33" s="74" t="s">
        <v>238</v>
      </c>
      <c r="Z33" s="74" t="s">
        <v>257</v>
      </c>
      <c r="AA33" s="74" t="b">
        <v>1</v>
      </c>
      <c r="AB33" s="74" t="s">
        <v>323</v>
      </c>
      <c r="AC33" s="74" t="s">
        <v>324</v>
      </c>
      <c r="AD33" s="80">
        <v>2</v>
      </c>
      <c r="AE33" s="74"/>
      <c r="AF33" s="74"/>
    </row>
    <row r="34" spans="1:32" x14ac:dyDescent="0.3">
      <c r="A34" s="90"/>
      <c r="B34" s="74" t="s">
        <v>23</v>
      </c>
      <c r="C34" s="95" t="str" cm="1">
        <f t="array" ref="C34">UPPER(INDEX(_xlfn.TEXTSPLIT($F34, "-"), 3))</f>
        <v>DTG</v>
      </c>
      <c r="D34" s="80" t="s">
        <v>319</v>
      </c>
      <c r="E34" s="74" t="s">
        <v>24</v>
      </c>
      <c r="F34" s="74" t="s">
        <v>380</v>
      </c>
      <c r="G34" s="80" t="s">
        <v>518</v>
      </c>
      <c r="H34" s="80" t="s">
        <v>612</v>
      </c>
      <c r="I34" s="80">
        <v>4</v>
      </c>
      <c r="J34" s="80">
        <v>16</v>
      </c>
      <c r="K34" s="74" t="s">
        <v>180</v>
      </c>
      <c r="L34" s="74" t="s">
        <v>178</v>
      </c>
      <c r="M34" s="80" t="s">
        <v>619</v>
      </c>
      <c r="N34" s="98" t="s">
        <v>1041</v>
      </c>
      <c r="O34" s="74" t="str">
        <f t="shared" si="2"/>
        <v>p-dtg-ingap03-osdisk</v>
      </c>
      <c r="P34" s="97">
        <v>64</v>
      </c>
      <c r="Q34" s="74" t="s">
        <v>179</v>
      </c>
      <c r="R34" s="74"/>
      <c r="S34" s="74"/>
      <c r="T34" s="74"/>
      <c r="U34" s="74" t="str">
        <f t="shared" si="1"/>
        <v>p-dtg-ingap03-nic</v>
      </c>
      <c r="V34" s="74" t="b">
        <v>1</v>
      </c>
      <c r="W34" s="74" t="b">
        <v>1</v>
      </c>
      <c r="X34" s="74" t="s">
        <v>323</v>
      </c>
      <c r="Y34" s="74" t="s">
        <v>238</v>
      </c>
      <c r="Z34" s="74" t="s">
        <v>257</v>
      </c>
      <c r="AA34" s="74" t="b">
        <v>1</v>
      </c>
      <c r="AB34" s="74" t="s">
        <v>323</v>
      </c>
      <c r="AC34" s="74" t="s">
        <v>324</v>
      </c>
      <c r="AD34" s="80">
        <v>3</v>
      </c>
      <c r="AE34" s="74"/>
      <c r="AF34" s="74"/>
    </row>
    <row r="35" spans="1:32" x14ac:dyDescent="0.3">
      <c r="A35" s="90"/>
      <c r="B35" s="74" t="s">
        <v>23</v>
      </c>
      <c r="C35" s="95" t="str" cm="1">
        <f t="array" ref="C35">UPPER(INDEX(_xlfn.TEXTSPLIT($F35, "-"), 3))</f>
        <v>DTG</v>
      </c>
      <c r="D35" s="80" t="s">
        <v>319</v>
      </c>
      <c r="E35" s="74" t="s">
        <v>24</v>
      </c>
      <c r="F35" s="74" t="s">
        <v>381</v>
      </c>
      <c r="G35" s="80" t="s">
        <v>519</v>
      </c>
      <c r="H35" s="80" t="s">
        <v>612</v>
      </c>
      <c r="I35" s="80">
        <v>4</v>
      </c>
      <c r="J35" s="80">
        <v>16</v>
      </c>
      <c r="K35" s="74" t="s">
        <v>180</v>
      </c>
      <c r="L35" s="74" t="s">
        <v>178</v>
      </c>
      <c r="M35" s="80" t="s">
        <v>619</v>
      </c>
      <c r="N35" s="98" t="s">
        <v>1041</v>
      </c>
      <c r="O35" s="74" t="str">
        <f t="shared" si="2"/>
        <v>p-dtg-ingap04-osdisk</v>
      </c>
      <c r="P35" s="97">
        <v>64</v>
      </c>
      <c r="Q35" s="74" t="s">
        <v>179</v>
      </c>
      <c r="R35" s="74"/>
      <c r="S35" s="74"/>
      <c r="T35" s="74"/>
      <c r="U35" s="74" t="str">
        <f t="shared" si="1"/>
        <v>p-dtg-ingap04-nic</v>
      </c>
      <c r="V35" s="74" t="b">
        <v>1</v>
      </c>
      <c r="W35" s="74" t="b">
        <v>1</v>
      </c>
      <c r="X35" s="74" t="s">
        <v>323</v>
      </c>
      <c r="Y35" s="74" t="s">
        <v>238</v>
      </c>
      <c r="Z35" s="74" t="s">
        <v>257</v>
      </c>
      <c r="AA35" s="74" t="b">
        <v>1</v>
      </c>
      <c r="AB35" s="74" t="s">
        <v>323</v>
      </c>
      <c r="AC35" s="74" t="s">
        <v>324</v>
      </c>
      <c r="AD35" s="80">
        <v>1</v>
      </c>
      <c r="AE35" s="74"/>
      <c r="AF35" s="74"/>
    </row>
    <row r="36" spans="1:32" x14ac:dyDescent="0.3">
      <c r="A36" s="90"/>
      <c r="B36" s="74" t="s">
        <v>23</v>
      </c>
      <c r="C36" s="95" t="str" cm="1">
        <f t="array" ref="C36">UPPER(INDEX(_xlfn.TEXTSPLIT($F36, "-"), 3))</f>
        <v>DTG</v>
      </c>
      <c r="D36" s="80" t="s">
        <v>319</v>
      </c>
      <c r="E36" s="74" t="s">
        <v>24</v>
      </c>
      <c r="F36" s="74" t="s">
        <v>382</v>
      </c>
      <c r="G36" s="80" t="s">
        <v>520</v>
      </c>
      <c r="H36" s="80" t="s">
        <v>608</v>
      </c>
      <c r="I36" s="80">
        <v>4</v>
      </c>
      <c r="J36" s="80">
        <v>32</v>
      </c>
      <c r="K36" s="74" t="s">
        <v>180</v>
      </c>
      <c r="L36" s="74" t="s">
        <v>178</v>
      </c>
      <c r="M36" s="80" t="s">
        <v>619</v>
      </c>
      <c r="N36" s="98" t="s">
        <v>1041</v>
      </c>
      <c r="O36" s="74" t="str">
        <f t="shared" ref="O36:O60" si="3">SUBSTITUTE(F36,"hazr-","")&amp;"-osdisk"</f>
        <v>p-dtg-ap01-osdisk</v>
      </c>
      <c r="P36" s="97">
        <v>64</v>
      </c>
      <c r="Q36" s="74" t="s">
        <v>179</v>
      </c>
      <c r="R36" s="74"/>
      <c r="S36" s="74"/>
      <c r="T36" s="74"/>
      <c r="U36" s="74" t="str">
        <f t="shared" si="1"/>
        <v>p-dtg-ap01-nic</v>
      </c>
      <c r="V36" s="74" t="b">
        <v>1</v>
      </c>
      <c r="W36" s="74" t="b">
        <v>1</v>
      </c>
      <c r="X36" s="74" t="s">
        <v>323</v>
      </c>
      <c r="Y36" s="74" t="s">
        <v>238</v>
      </c>
      <c r="Z36" s="74" t="s">
        <v>257</v>
      </c>
      <c r="AA36" s="74" t="b">
        <v>1</v>
      </c>
      <c r="AB36" s="74" t="s">
        <v>323</v>
      </c>
      <c r="AC36" s="74" t="s">
        <v>324</v>
      </c>
      <c r="AD36" s="80">
        <v>1</v>
      </c>
      <c r="AE36" s="74"/>
      <c r="AF36" s="74"/>
    </row>
    <row r="37" spans="1:32" x14ac:dyDescent="0.3">
      <c r="A37" s="90"/>
      <c r="B37" s="74" t="s">
        <v>23</v>
      </c>
      <c r="C37" s="95" t="str" cm="1">
        <f t="array" ref="C37">UPPER(INDEX(_xlfn.TEXTSPLIT($F37, "-"), 3))</f>
        <v>DTG</v>
      </c>
      <c r="D37" s="80" t="s">
        <v>319</v>
      </c>
      <c r="E37" s="74" t="s">
        <v>24</v>
      </c>
      <c r="F37" s="74" t="s">
        <v>383</v>
      </c>
      <c r="G37" s="80" t="s">
        <v>521</v>
      </c>
      <c r="H37" s="80" t="s">
        <v>608</v>
      </c>
      <c r="I37" s="80">
        <v>4</v>
      </c>
      <c r="J37" s="80">
        <v>32</v>
      </c>
      <c r="K37" s="74" t="s">
        <v>180</v>
      </c>
      <c r="L37" s="74" t="s">
        <v>178</v>
      </c>
      <c r="M37" s="80" t="s">
        <v>619</v>
      </c>
      <c r="N37" s="98" t="s">
        <v>1041</v>
      </c>
      <c r="O37" s="74" t="str">
        <f t="shared" si="3"/>
        <v>p-dtg-ap02-osdisk</v>
      </c>
      <c r="P37" s="97">
        <v>64</v>
      </c>
      <c r="Q37" s="74" t="s">
        <v>179</v>
      </c>
      <c r="R37" s="74"/>
      <c r="S37" s="74"/>
      <c r="T37" s="74"/>
      <c r="U37" s="74" t="str">
        <f t="shared" si="1"/>
        <v>p-dtg-ap02-nic</v>
      </c>
      <c r="V37" s="74" t="b">
        <v>1</v>
      </c>
      <c r="W37" s="74" t="b">
        <v>1</v>
      </c>
      <c r="X37" s="74" t="s">
        <v>323</v>
      </c>
      <c r="Y37" s="74" t="s">
        <v>238</v>
      </c>
      <c r="Z37" s="74" t="s">
        <v>257</v>
      </c>
      <c r="AA37" s="74" t="b">
        <v>1</v>
      </c>
      <c r="AB37" s="74" t="s">
        <v>323</v>
      </c>
      <c r="AC37" s="74" t="s">
        <v>324</v>
      </c>
      <c r="AD37" s="80">
        <v>2</v>
      </c>
      <c r="AE37" s="74"/>
      <c r="AF37" s="74"/>
    </row>
    <row r="38" spans="1:32" x14ac:dyDescent="0.3">
      <c r="A38" s="90"/>
      <c r="B38" s="74" t="s">
        <v>23</v>
      </c>
      <c r="C38" s="95" t="str" cm="1">
        <f t="array" ref="C38">UPPER(INDEX(_xlfn.TEXTSPLIT($F38, "-"), 3))</f>
        <v>DTG</v>
      </c>
      <c r="D38" s="80" t="s">
        <v>319</v>
      </c>
      <c r="E38" s="74" t="s">
        <v>24</v>
      </c>
      <c r="F38" s="74" t="s">
        <v>384</v>
      </c>
      <c r="G38" s="80" t="s">
        <v>522</v>
      </c>
      <c r="H38" s="80" t="s">
        <v>611</v>
      </c>
      <c r="I38" s="80">
        <v>8</v>
      </c>
      <c r="J38" s="80">
        <v>16</v>
      </c>
      <c r="K38" s="74" t="s">
        <v>180</v>
      </c>
      <c r="L38" s="74" t="s">
        <v>178</v>
      </c>
      <c r="M38" s="80" t="s">
        <v>619</v>
      </c>
      <c r="N38" s="98" t="s">
        <v>1042</v>
      </c>
      <c r="O38" s="74" t="str">
        <f t="shared" si="3"/>
        <v>p-dtg-extgeoap01-osdisk</v>
      </c>
      <c r="P38" s="97">
        <v>64</v>
      </c>
      <c r="Q38" s="74" t="s">
        <v>179</v>
      </c>
      <c r="R38" s="74"/>
      <c r="S38" s="74"/>
      <c r="T38" s="74"/>
      <c r="U38" s="74" t="str">
        <f t="shared" si="1"/>
        <v>p-dtg-extgeoap01-nic</v>
      </c>
      <c r="V38" s="74" t="b">
        <v>1</v>
      </c>
      <c r="W38" s="74" t="b">
        <v>1</v>
      </c>
      <c r="X38" s="74" t="s">
        <v>323</v>
      </c>
      <c r="Y38" s="74" t="s">
        <v>238</v>
      </c>
      <c r="Z38" s="74" t="s">
        <v>257</v>
      </c>
      <c r="AA38" s="74" t="b">
        <v>1</v>
      </c>
      <c r="AB38" s="74" t="s">
        <v>323</v>
      </c>
      <c r="AC38" s="74" t="s">
        <v>324</v>
      </c>
      <c r="AD38" s="80">
        <v>1</v>
      </c>
      <c r="AE38" s="74"/>
      <c r="AF38" s="74"/>
    </row>
    <row r="39" spans="1:32" x14ac:dyDescent="0.3">
      <c r="A39" s="90"/>
      <c r="B39" s="74" t="s">
        <v>23</v>
      </c>
      <c r="C39" s="95" t="str" cm="1">
        <f t="array" ref="C39">UPPER(INDEX(_xlfn.TEXTSPLIT($F39, "-"), 3))</f>
        <v>DTG</v>
      </c>
      <c r="D39" s="80" t="s">
        <v>319</v>
      </c>
      <c r="E39" s="74" t="s">
        <v>24</v>
      </c>
      <c r="F39" s="74" t="s">
        <v>385</v>
      </c>
      <c r="G39" s="80" t="s">
        <v>523</v>
      </c>
      <c r="H39" s="80" t="s">
        <v>611</v>
      </c>
      <c r="I39" s="80">
        <v>8</v>
      </c>
      <c r="J39" s="80">
        <v>16</v>
      </c>
      <c r="K39" s="74" t="s">
        <v>180</v>
      </c>
      <c r="L39" s="74" t="s">
        <v>178</v>
      </c>
      <c r="M39" s="80" t="s">
        <v>619</v>
      </c>
      <c r="N39" s="98" t="s">
        <v>1042</v>
      </c>
      <c r="O39" s="74" t="str">
        <f t="shared" si="3"/>
        <v>p-dtg-extgeoap02-osdisk</v>
      </c>
      <c r="P39" s="97">
        <v>64</v>
      </c>
      <c r="Q39" s="74" t="s">
        <v>179</v>
      </c>
      <c r="R39" s="74"/>
      <c r="S39" s="74"/>
      <c r="T39" s="74"/>
      <c r="U39" s="74" t="str">
        <f t="shared" si="1"/>
        <v>p-dtg-extgeoap02-nic</v>
      </c>
      <c r="V39" s="74" t="b">
        <v>1</v>
      </c>
      <c r="W39" s="74" t="b">
        <v>1</v>
      </c>
      <c r="X39" s="74" t="s">
        <v>323</v>
      </c>
      <c r="Y39" s="74" t="s">
        <v>238</v>
      </c>
      <c r="Z39" s="74" t="s">
        <v>257</v>
      </c>
      <c r="AA39" s="74" t="b">
        <v>1</v>
      </c>
      <c r="AB39" s="74" t="s">
        <v>323</v>
      </c>
      <c r="AC39" s="74" t="s">
        <v>324</v>
      </c>
      <c r="AD39" s="80">
        <v>2</v>
      </c>
      <c r="AE39" s="74"/>
      <c r="AF39" s="74"/>
    </row>
    <row r="40" spans="1:32" x14ac:dyDescent="0.3">
      <c r="A40" s="90"/>
      <c r="B40" s="74" t="s">
        <v>23</v>
      </c>
      <c r="C40" s="95" t="str" cm="1">
        <f t="array" ref="C40">UPPER(INDEX(_xlfn.TEXTSPLIT($F40, "-"), 3))</f>
        <v>DTG</v>
      </c>
      <c r="D40" s="80" t="s">
        <v>319</v>
      </c>
      <c r="E40" s="74" t="s">
        <v>24</v>
      </c>
      <c r="F40" s="74" t="s">
        <v>386</v>
      </c>
      <c r="G40" s="80" t="s">
        <v>524</v>
      </c>
      <c r="H40" s="80" t="s">
        <v>611</v>
      </c>
      <c r="I40" s="80">
        <v>8</v>
      </c>
      <c r="J40" s="80">
        <v>16</v>
      </c>
      <c r="K40" s="74" t="s">
        <v>180</v>
      </c>
      <c r="L40" s="74" t="s">
        <v>178</v>
      </c>
      <c r="M40" s="80" t="s">
        <v>619</v>
      </c>
      <c r="N40" s="98" t="s">
        <v>1042</v>
      </c>
      <c r="O40" s="74" t="str">
        <f t="shared" si="3"/>
        <v>p-dtg-extgeoap03-osdisk</v>
      </c>
      <c r="P40" s="97">
        <v>64</v>
      </c>
      <c r="Q40" s="74" t="s">
        <v>179</v>
      </c>
      <c r="R40" s="74"/>
      <c r="S40" s="74"/>
      <c r="T40" s="74"/>
      <c r="U40" s="74" t="str">
        <f t="shared" si="1"/>
        <v>p-dtg-extgeoap03-nic</v>
      </c>
      <c r="V40" s="74" t="b">
        <v>1</v>
      </c>
      <c r="W40" s="74" t="b">
        <v>1</v>
      </c>
      <c r="X40" s="74" t="s">
        <v>323</v>
      </c>
      <c r="Y40" s="74" t="s">
        <v>238</v>
      </c>
      <c r="Z40" s="74" t="s">
        <v>257</v>
      </c>
      <c r="AA40" s="74" t="b">
        <v>1</v>
      </c>
      <c r="AB40" s="74" t="s">
        <v>323</v>
      </c>
      <c r="AC40" s="74" t="s">
        <v>324</v>
      </c>
      <c r="AD40" s="80">
        <v>3</v>
      </c>
      <c r="AE40" s="74"/>
      <c r="AF40" s="74"/>
    </row>
    <row r="41" spans="1:32" x14ac:dyDescent="0.3">
      <c r="A41" s="90"/>
      <c r="B41" s="74" t="s">
        <v>23</v>
      </c>
      <c r="C41" s="95" t="str" cm="1">
        <f t="array" ref="C41">UPPER(INDEX(_xlfn.TEXTSPLIT($F41, "-"), 3))</f>
        <v>DTG</v>
      </c>
      <c r="D41" s="80" t="s">
        <v>319</v>
      </c>
      <c r="E41" s="74" t="s">
        <v>24</v>
      </c>
      <c r="F41" s="74" t="s">
        <v>387</v>
      </c>
      <c r="G41" s="80" t="s">
        <v>525</v>
      </c>
      <c r="H41" s="80" t="s">
        <v>611</v>
      </c>
      <c r="I41" s="80">
        <v>8</v>
      </c>
      <c r="J41" s="80">
        <v>16</v>
      </c>
      <c r="K41" s="74" t="s">
        <v>180</v>
      </c>
      <c r="L41" s="74" t="s">
        <v>178</v>
      </c>
      <c r="M41" s="80" t="s">
        <v>619</v>
      </c>
      <c r="N41" s="98" t="s">
        <v>1042</v>
      </c>
      <c r="O41" s="74" t="str">
        <f t="shared" si="3"/>
        <v>p-dtg-extgeoap04-osdisk</v>
      </c>
      <c r="P41" s="97">
        <v>64</v>
      </c>
      <c r="Q41" s="74" t="s">
        <v>179</v>
      </c>
      <c r="R41" s="74"/>
      <c r="S41" s="74"/>
      <c r="T41" s="74"/>
      <c r="U41" s="74" t="str">
        <f t="shared" si="1"/>
        <v>p-dtg-extgeoap04-nic</v>
      </c>
      <c r="V41" s="74" t="b">
        <v>1</v>
      </c>
      <c r="W41" s="74" t="b">
        <v>1</v>
      </c>
      <c r="X41" s="74" t="s">
        <v>323</v>
      </c>
      <c r="Y41" s="74" t="s">
        <v>238</v>
      </c>
      <c r="Z41" s="74" t="s">
        <v>257</v>
      </c>
      <c r="AA41" s="74" t="b">
        <v>1</v>
      </c>
      <c r="AB41" s="74" t="s">
        <v>323</v>
      </c>
      <c r="AC41" s="74" t="s">
        <v>324</v>
      </c>
      <c r="AD41" s="80">
        <v>1</v>
      </c>
      <c r="AE41" s="74"/>
      <c r="AF41" s="74"/>
    </row>
    <row r="42" spans="1:32" x14ac:dyDescent="0.3">
      <c r="A42" s="90"/>
      <c r="B42" s="74" t="s">
        <v>23</v>
      </c>
      <c r="C42" s="95" t="str" cm="1">
        <f t="array" ref="C42">UPPER(INDEX(_xlfn.TEXTSPLIT($F42, "-"), 3))</f>
        <v>DTG</v>
      </c>
      <c r="D42" s="80" t="s">
        <v>319</v>
      </c>
      <c r="E42" s="74" t="s">
        <v>24</v>
      </c>
      <c r="F42" s="74" t="s">
        <v>388</v>
      </c>
      <c r="G42" s="80" t="s">
        <v>526</v>
      </c>
      <c r="H42" s="80" t="s">
        <v>611</v>
      </c>
      <c r="I42" s="80">
        <v>8</v>
      </c>
      <c r="J42" s="80">
        <v>16</v>
      </c>
      <c r="K42" s="74" t="s">
        <v>180</v>
      </c>
      <c r="L42" s="74" t="s">
        <v>178</v>
      </c>
      <c r="M42" s="80" t="s">
        <v>619</v>
      </c>
      <c r="N42" s="98" t="s">
        <v>1042</v>
      </c>
      <c r="O42" s="74" t="str">
        <f t="shared" si="3"/>
        <v>p-dtg-extgeoap05-osdisk</v>
      </c>
      <c r="P42" s="97">
        <v>64</v>
      </c>
      <c r="Q42" s="74" t="s">
        <v>179</v>
      </c>
      <c r="R42" s="74"/>
      <c r="S42" s="74"/>
      <c r="T42" s="74"/>
      <c r="U42" s="74" t="str">
        <f t="shared" si="1"/>
        <v>p-dtg-extgeoap05-nic</v>
      </c>
      <c r="V42" s="74" t="b">
        <v>1</v>
      </c>
      <c r="W42" s="74" t="b">
        <v>1</v>
      </c>
      <c r="X42" s="74" t="s">
        <v>323</v>
      </c>
      <c r="Y42" s="74" t="s">
        <v>238</v>
      </c>
      <c r="Z42" s="74" t="s">
        <v>257</v>
      </c>
      <c r="AA42" s="74" t="b">
        <v>1</v>
      </c>
      <c r="AB42" s="74" t="s">
        <v>323</v>
      </c>
      <c r="AC42" s="74" t="s">
        <v>324</v>
      </c>
      <c r="AD42" s="80">
        <v>2</v>
      </c>
      <c r="AE42" s="74"/>
      <c r="AF42" s="74"/>
    </row>
    <row r="43" spans="1:32" x14ac:dyDescent="0.3">
      <c r="A43" s="90"/>
      <c r="B43" s="74" t="s">
        <v>23</v>
      </c>
      <c r="C43" s="95" t="str" cm="1">
        <f t="array" ref="C43">UPPER(INDEX(_xlfn.TEXTSPLIT($F43, "-"), 3))</f>
        <v>DTG</v>
      </c>
      <c r="D43" s="80" t="s">
        <v>319</v>
      </c>
      <c r="E43" s="74" t="s">
        <v>24</v>
      </c>
      <c r="F43" s="74" t="s">
        <v>389</v>
      </c>
      <c r="G43" s="80" t="s">
        <v>527</v>
      </c>
      <c r="H43" s="80" t="s">
        <v>611</v>
      </c>
      <c r="I43" s="80">
        <v>8</v>
      </c>
      <c r="J43" s="80">
        <v>16</v>
      </c>
      <c r="K43" s="74" t="s">
        <v>180</v>
      </c>
      <c r="L43" s="74" t="s">
        <v>178</v>
      </c>
      <c r="M43" s="80" t="s">
        <v>619</v>
      </c>
      <c r="N43" s="98" t="s">
        <v>1042</v>
      </c>
      <c r="O43" s="74" t="str">
        <f t="shared" si="3"/>
        <v>p-dtg-extgeoap06-osdisk</v>
      </c>
      <c r="P43" s="97">
        <v>64</v>
      </c>
      <c r="Q43" s="74" t="s">
        <v>179</v>
      </c>
      <c r="R43" s="74"/>
      <c r="S43" s="74"/>
      <c r="T43" s="74"/>
      <c r="U43" s="74" t="str">
        <f t="shared" si="1"/>
        <v>p-dtg-extgeoap06-nic</v>
      </c>
      <c r="V43" s="74" t="b">
        <v>1</v>
      </c>
      <c r="W43" s="74" t="b">
        <v>1</v>
      </c>
      <c r="X43" s="74" t="s">
        <v>323</v>
      </c>
      <c r="Y43" s="74" t="s">
        <v>238</v>
      </c>
      <c r="Z43" s="74" t="s">
        <v>257</v>
      </c>
      <c r="AA43" s="74" t="b">
        <v>1</v>
      </c>
      <c r="AB43" s="74" t="s">
        <v>323</v>
      </c>
      <c r="AC43" s="74" t="s">
        <v>324</v>
      </c>
      <c r="AD43" s="80">
        <v>3</v>
      </c>
      <c r="AE43" s="74"/>
      <c r="AF43" s="74"/>
    </row>
    <row r="44" spans="1:32" x14ac:dyDescent="0.3">
      <c r="A44" s="90"/>
      <c r="B44" s="74" t="s">
        <v>23</v>
      </c>
      <c r="C44" s="95" t="str" cm="1">
        <f t="array" ref="C44">UPPER(INDEX(_xlfn.TEXTSPLIT($F44, "-"), 3))</f>
        <v>DTG</v>
      </c>
      <c r="D44" s="80" t="s">
        <v>319</v>
      </c>
      <c r="E44" s="74" t="s">
        <v>24</v>
      </c>
      <c r="F44" s="74" t="s">
        <v>390</v>
      </c>
      <c r="G44" s="80" t="s">
        <v>528</v>
      </c>
      <c r="H44" s="80" t="s">
        <v>613</v>
      </c>
      <c r="I44" s="80">
        <v>8</v>
      </c>
      <c r="J44" s="80">
        <v>32</v>
      </c>
      <c r="K44" s="74" t="s">
        <v>180</v>
      </c>
      <c r="L44" s="74" t="s">
        <v>178</v>
      </c>
      <c r="M44" s="80" t="s">
        <v>619</v>
      </c>
      <c r="N44" s="98" t="s">
        <v>1041</v>
      </c>
      <c r="O44" s="74" t="str">
        <f t="shared" si="3"/>
        <v>p-dtg-geoap01-osdisk</v>
      </c>
      <c r="P44" s="97">
        <v>64</v>
      </c>
      <c r="Q44" s="74" t="s">
        <v>179</v>
      </c>
      <c r="R44" s="74"/>
      <c r="S44" s="74"/>
      <c r="T44" s="74"/>
      <c r="U44" s="74" t="str">
        <f t="shared" si="1"/>
        <v>p-dtg-geoap01-nic</v>
      </c>
      <c r="V44" s="74" t="b">
        <v>1</v>
      </c>
      <c r="W44" s="74" t="b">
        <v>1</v>
      </c>
      <c r="X44" s="74" t="s">
        <v>323</v>
      </c>
      <c r="Y44" s="74" t="s">
        <v>238</v>
      </c>
      <c r="Z44" s="74" t="s">
        <v>257</v>
      </c>
      <c r="AA44" s="74" t="b">
        <v>1</v>
      </c>
      <c r="AB44" s="74" t="s">
        <v>323</v>
      </c>
      <c r="AC44" s="74" t="s">
        <v>324</v>
      </c>
      <c r="AD44" s="80">
        <v>1</v>
      </c>
      <c r="AE44" s="74"/>
      <c r="AF44" s="74"/>
    </row>
    <row r="45" spans="1:32" x14ac:dyDescent="0.3">
      <c r="A45" s="90"/>
      <c r="B45" s="74" t="s">
        <v>23</v>
      </c>
      <c r="C45" s="95" t="str" cm="1">
        <f t="array" ref="C45">UPPER(INDEX(_xlfn.TEXTSPLIT($F45, "-"), 3))</f>
        <v>DTG</v>
      </c>
      <c r="D45" s="80" t="s">
        <v>319</v>
      </c>
      <c r="E45" s="74" t="s">
        <v>24</v>
      </c>
      <c r="F45" s="74" t="s">
        <v>391</v>
      </c>
      <c r="G45" s="80" t="s">
        <v>529</v>
      </c>
      <c r="H45" s="80" t="s">
        <v>613</v>
      </c>
      <c r="I45" s="80">
        <v>8</v>
      </c>
      <c r="J45" s="80">
        <v>32</v>
      </c>
      <c r="K45" s="74" t="s">
        <v>180</v>
      </c>
      <c r="L45" s="74" t="s">
        <v>178</v>
      </c>
      <c r="M45" s="80" t="s">
        <v>619</v>
      </c>
      <c r="N45" s="98" t="s">
        <v>1041</v>
      </c>
      <c r="O45" s="74" t="str">
        <f t="shared" si="3"/>
        <v>p-dtg-geoap02-osdisk</v>
      </c>
      <c r="P45" s="97">
        <v>64</v>
      </c>
      <c r="Q45" s="74" t="s">
        <v>179</v>
      </c>
      <c r="R45" s="74"/>
      <c r="S45" s="74"/>
      <c r="T45" s="74"/>
      <c r="U45" s="74" t="str">
        <f t="shared" si="1"/>
        <v>p-dtg-geoap02-nic</v>
      </c>
      <c r="V45" s="74" t="b">
        <v>1</v>
      </c>
      <c r="W45" s="74" t="b">
        <v>1</v>
      </c>
      <c r="X45" s="74" t="s">
        <v>323</v>
      </c>
      <c r="Y45" s="74" t="s">
        <v>238</v>
      </c>
      <c r="Z45" s="74" t="s">
        <v>257</v>
      </c>
      <c r="AA45" s="74" t="b">
        <v>1</v>
      </c>
      <c r="AB45" s="74" t="s">
        <v>323</v>
      </c>
      <c r="AC45" s="74" t="s">
        <v>324</v>
      </c>
      <c r="AD45" s="80">
        <v>2</v>
      </c>
      <c r="AE45" s="74"/>
      <c r="AF45" s="74"/>
    </row>
    <row r="46" spans="1:32" x14ac:dyDescent="0.3">
      <c r="A46" s="90"/>
      <c r="B46" s="74" t="s">
        <v>23</v>
      </c>
      <c r="C46" s="95" t="str" cm="1">
        <f t="array" ref="C46">UPPER(INDEX(_xlfn.TEXTSPLIT($F46, "-"), 3))</f>
        <v>DTG</v>
      </c>
      <c r="D46" s="80" t="s">
        <v>319</v>
      </c>
      <c r="E46" s="74" t="s">
        <v>24</v>
      </c>
      <c r="F46" s="74" t="s">
        <v>392</v>
      </c>
      <c r="G46" s="80" t="s">
        <v>530</v>
      </c>
      <c r="H46" s="80" t="s">
        <v>613</v>
      </c>
      <c r="I46" s="80">
        <v>8</v>
      </c>
      <c r="J46" s="80">
        <v>32</v>
      </c>
      <c r="K46" s="74" t="s">
        <v>180</v>
      </c>
      <c r="L46" s="74" t="s">
        <v>178</v>
      </c>
      <c r="M46" s="80" t="s">
        <v>619</v>
      </c>
      <c r="N46" s="98" t="s">
        <v>1041</v>
      </c>
      <c r="O46" s="74" t="str">
        <f t="shared" si="3"/>
        <v>p-dtg-geoap03-osdisk</v>
      </c>
      <c r="P46" s="97">
        <v>64</v>
      </c>
      <c r="Q46" s="74" t="s">
        <v>179</v>
      </c>
      <c r="R46" s="74"/>
      <c r="S46" s="74"/>
      <c r="T46" s="74"/>
      <c r="U46" s="74" t="str">
        <f t="shared" si="1"/>
        <v>p-dtg-geoap03-nic</v>
      </c>
      <c r="V46" s="74" t="b">
        <v>1</v>
      </c>
      <c r="W46" s="74" t="b">
        <v>1</v>
      </c>
      <c r="X46" s="74" t="s">
        <v>323</v>
      </c>
      <c r="Y46" s="74" t="s">
        <v>238</v>
      </c>
      <c r="Z46" s="74" t="s">
        <v>257</v>
      </c>
      <c r="AA46" s="74" t="b">
        <v>1</v>
      </c>
      <c r="AB46" s="74" t="s">
        <v>323</v>
      </c>
      <c r="AC46" s="74" t="s">
        <v>324</v>
      </c>
      <c r="AD46" s="80">
        <v>3</v>
      </c>
      <c r="AE46" s="74"/>
      <c r="AF46" s="74"/>
    </row>
    <row r="47" spans="1:32" x14ac:dyDescent="0.3">
      <c r="A47" s="90"/>
      <c r="B47" s="74" t="s">
        <v>23</v>
      </c>
      <c r="C47" s="95" t="str" cm="1">
        <f t="array" ref="C47">UPPER(INDEX(_xlfn.TEXTSPLIT($F47, "-"), 3))</f>
        <v>DTG</v>
      </c>
      <c r="D47" s="80" t="s">
        <v>319</v>
      </c>
      <c r="E47" s="74" t="s">
        <v>24</v>
      </c>
      <c r="F47" s="74" t="s">
        <v>393</v>
      </c>
      <c r="G47" s="80" t="s">
        <v>531</v>
      </c>
      <c r="H47" s="80" t="s">
        <v>613</v>
      </c>
      <c r="I47" s="80">
        <v>8</v>
      </c>
      <c r="J47" s="80">
        <v>32</v>
      </c>
      <c r="K47" s="74" t="s">
        <v>180</v>
      </c>
      <c r="L47" s="74" t="s">
        <v>178</v>
      </c>
      <c r="M47" s="80" t="s">
        <v>619</v>
      </c>
      <c r="N47" s="98" t="s">
        <v>1041</v>
      </c>
      <c r="O47" s="74" t="str">
        <f t="shared" si="3"/>
        <v>p-dtg-geoap04-osdisk</v>
      </c>
      <c r="P47" s="97">
        <v>64</v>
      </c>
      <c r="Q47" s="74" t="s">
        <v>179</v>
      </c>
      <c r="R47" s="74"/>
      <c r="S47" s="74"/>
      <c r="T47" s="74"/>
      <c r="U47" s="74" t="str">
        <f t="shared" si="1"/>
        <v>p-dtg-geoap04-nic</v>
      </c>
      <c r="V47" s="74" t="b">
        <v>1</v>
      </c>
      <c r="W47" s="74" t="b">
        <v>1</v>
      </c>
      <c r="X47" s="74" t="s">
        <v>323</v>
      </c>
      <c r="Y47" s="74" t="s">
        <v>238</v>
      </c>
      <c r="Z47" s="74" t="s">
        <v>257</v>
      </c>
      <c r="AA47" s="74" t="b">
        <v>1</v>
      </c>
      <c r="AB47" s="74" t="s">
        <v>323</v>
      </c>
      <c r="AC47" s="74" t="s">
        <v>324</v>
      </c>
      <c r="AD47" s="80">
        <v>1</v>
      </c>
      <c r="AE47" s="74"/>
      <c r="AF47" s="74"/>
    </row>
    <row r="48" spans="1:32" x14ac:dyDescent="0.3">
      <c r="A48" s="90"/>
      <c r="B48" s="74" t="s">
        <v>23</v>
      </c>
      <c r="C48" s="95" t="str" cm="1">
        <f t="array" ref="C48">UPPER(INDEX(_xlfn.TEXTSPLIT($F48, "-"), 3))</f>
        <v>DTG</v>
      </c>
      <c r="D48" s="80" t="s">
        <v>319</v>
      </c>
      <c r="E48" s="74" t="s">
        <v>24</v>
      </c>
      <c r="F48" s="74" t="s">
        <v>394</v>
      </c>
      <c r="G48" s="80" t="s">
        <v>532</v>
      </c>
      <c r="H48" s="80" t="s">
        <v>613</v>
      </c>
      <c r="I48" s="80">
        <v>8</v>
      </c>
      <c r="J48" s="80">
        <v>32</v>
      </c>
      <c r="K48" s="74" t="s">
        <v>180</v>
      </c>
      <c r="L48" s="74" t="s">
        <v>178</v>
      </c>
      <c r="M48" s="80" t="s">
        <v>619</v>
      </c>
      <c r="N48" s="98" t="s">
        <v>1041</v>
      </c>
      <c r="O48" s="74" t="str">
        <f t="shared" si="3"/>
        <v>p-dtg-geoap05-osdisk</v>
      </c>
      <c r="P48" s="97">
        <v>64</v>
      </c>
      <c r="Q48" s="74" t="s">
        <v>179</v>
      </c>
      <c r="R48" s="74"/>
      <c r="S48" s="74"/>
      <c r="T48" s="74"/>
      <c r="U48" s="74" t="str">
        <f t="shared" si="1"/>
        <v>p-dtg-geoap05-nic</v>
      </c>
      <c r="V48" s="74" t="b">
        <v>1</v>
      </c>
      <c r="W48" s="74" t="b">
        <v>1</v>
      </c>
      <c r="X48" s="74" t="s">
        <v>323</v>
      </c>
      <c r="Y48" s="74" t="s">
        <v>238</v>
      </c>
      <c r="Z48" s="74" t="s">
        <v>257</v>
      </c>
      <c r="AA48" s="74" t="b">
        <v>1</v>
      </c>
      <c r="AB48" s="74" t="s">
        <v>323</v>
      </c>
      <c r="AC48" s="74" t="s">
        <v>324</v>
      </c>
      <c r="AD48" s="80">
        <v>2</v>
      </c>
      <c r="AE48" s="74"/>
      <c r="AF48" s="74"/>
    </row>
    <row r="49" spans="1:32" x14ac:dyDescent="0.3">
      <c r="A49" s="90"/>
      <c r="B49" s="74" t="s">
        <v>23</v>
      </c>
      <c r="C49" s="95" t="str" cm="1">
        <f t="array" ref="C49">UPPER(INDEX(_xlfn.TEXTSPLIT($F49, "-"), 3))</f>
        <v>DTG</v>
      </c>
      <c r="D49" s="80" t="s">
        <v>319</v>
      </c>
      <c r="E49" s="74" t="s">
        <v>24</v>
      </c>
      <c r="F49" s="74" t="s">
        <v>395</v>
      </c>
      <c r="G49" s="80" t="s">
        <v>533</v>
      </c>
      <c r="H49" s="80" t="s">
        <v>613</v>
      </c>
      <c r="I49" s="80">
        <v>8</v>
      </c>
      <c r="J49" s="80">
        <v>32</v>
      </c>
      <c r="K49" s="74" t="s">
        <v>180</v>
      </c>
      <c r="L49" s="74" t="s">
        <v>178</v>
      </c>
      <c r="M49" s="80" t="s">
        <v>619</v>
      </c>
      <c r="N49" s="98" t="s">
        <v>1041</v>
      </c>
      <c r="O49" s="74" t="str">
        <f t="shared" si="3"/>
        <v>p-dtg-geoap06-osdisk</v>
      </c>
      <c r="P49" s="97">
        <v>64</v>
      </c>
      <c r="Q49" s="74" t="s">
        <v>179</v>
      </c>
      <c r="R49" s="74"/>
      <c r="S49" s="74"/>
      <c r="T49" s="74"/>
      <c r="U49" s="74" t="str">
        <f t="shared" si="1"/>
        <v>p-dtg-geoap06-nic</v>
      </c>
      <c r="V49" s="74" t="b">
        <v>1</v>
      </c>
      <c r="W49" s="74" t="b">
        <v>1</v>
      </c>
      <c r="X49" s="74" t="s">
        <v>323</v>
      </c>
      <c r="Y49" s="74" t="s">
        <v>238</v>
      </c>
      <c r="Z49" s="74" t="s">
        <v>257</v>
      </c>
      <c r="AA49" s="74" t="b">
        <v>1</v>
      </c>
      <c r="AB49" s="74" t="s">
        <v>323</v>
      </c>
      <c r="AC49" s="74" t="s">
        <v>324</v>
      </c>
      <c r="AD49" s="80">
        <v>3</v>
      </c>
      <c r="AE49" s="74"/>
      <c r="AF49" s="74"/>
    </row>
    <row r="50" spans="1:32" x14ac:dyDescent="0.3">
      <c r="A50" s="90"/>
      <c r="B50" s="74" t="s">
        <v>23</v>
      </c>
      <c r="C50" s="95" t="str" cm="1">
        <f t="array" ref="C50">UPPER(INDEX(_xlfn.TEXTSPLIT($F50, "-"), 3))</f>
        <v>DTG</v>
      </c>
      <c r="D50" s="80" t="s">
        <v>319</v>
      </c>
      <c r="E50" s="74" t="s">
        <v>24</v>
      </c>
      <c r="F50" s="74" t="s">
        <v>396</v>
      </c>
      <c r="G50" s="80" t="s">
        <v>534</v>
      </c>
      <c r="H50" s="80" t="s">
        <v>613</v>
      </c>
      <c r="I50" s="80">
        <v>8</v>
      </c>
      <c r="J50" s="80">
        <v>32</v>
      </c>
      <c r="K50" s="74" t="s">
        <v>180</v>
      </c>
      <c r="L50" s="74" t="s">
        <v>178</v>
      </c>
      <c r="M50" s="80" t="s">
        <v>619</v>
      </c>
      <c r="N50" s="98" t="s">
        <v>1041</v>
      </c>
      <c r="O50" s="74" t="str">
        <f t="shared" si="3"/>
        <v>p-dtg-geoap07-osdisk</v>
      </c>
      <c r="P50" s="97">
        <v>64</v>
      </c>
      <c r="Q50" s="74" t="s">
        <v>179</v>
      </c>
      <c r="R50" s="74"/>
      <c r="S50" s="74"/>
      <c r="T50" s="74"/>
      <c r="U50" s="74" t="str">
        <f t="shared" si="1"/>
        <v>p-dtg-geoap07-nic</v>
      </c>
      <c r="V50" s="74" t="b">
        <v>1</v>
      </c>
      <c r="W50" s="74" t="b">
        <v>1</v>
      </c>
      <c r="X50" s="74" t="s">
        <v>323</v>
      </c>
      <c r="Y50" s="74" t="s">
        <v>238</v>
      </c>
      <c r="Z50" s="74" t="s">
        <v>257</v>
      </c>
      <c r="AA50" s="74" t="b">
        <v>1</v>
      </c>
      <c r="AB50" s="74" t="s">
        <v>323</v>
      </c>
      <c r="AC50" s="74" t="s">
        <v>324</v>
      </c>
      <c r="AD50" s="80">
        <v>1</v>
      </c>
      <c r="AE50" s="74"/>
      <c r="AF50" s="74"/>
    </row>
    <row r="51" spans="1:32" x14ac:dyDescent="0.3">
      <c r="A51" s="90"/>
      <c r="B51" s="74" t="s">
        <v>23</v>
      </c>
      <c r="C51" s="95" t="str" cm="1">
        <f t="array" ref="C51">UPPER(INDEX(_xlfn.TEXTSPLIT($F51, "-"), 3))</f>
        <v>DTG</v>
      </c>
      <c r="D51" s="80" t="s">
        <v>319</v>
      </c>
      <c r="E51" s="74" t="s">
        <v>24</v>
      </c>
      <c r="F51" s="74" t="s">
        <v>397</v>
      </c>
      <c r="G51" s="80" t="s">
        <v>535</v>
      </c>
      <c r="H51" s="80" t="s">
        <v>613</v>
      </c>
      <c r="I51" s="80">
        <v>8</v>
      </c>
      <c r="J51" s="80">
        <v>32</v>
      </c>
      <c r="K51" s="74" t="s">
        <v>180</v>
      </c>
      <c r="L51" s="74" t="s">
        <v>178</v>
      </c>
      <c r="M51" s="80" t="s">
        <v>619</v>
      </c>
      <c r="N51" s="98" t="s">
        <v>1041</v>
      </c>
      <c r="O51" s="74" t="str">
        <f t="shared" si="3"/>
        <v>p-dtg-geoap08-osdisk</v>
      </c>
      <c r="P51" s="97">
        <v>64</v>
      </c>
      <c r="Q51" s="74" t="s">
        <v>179</v>
      </c>
      <c r="R51" s="74"/>
      <c r="S51" s="74"/>
      <c r="T51" s="74"/>
      <c r="U51" s="74" t="str">
        <f t="shared" si="1"/>
        <v>p-dtg-geoap08-nic</v>
      </c>
      <c r="V51" s="74" t="b">
        <v>1</v>
      </c>
      <c r="W51" s="74" t="b">
        <v>1</v>
      </c>
      <c r="X51" s="74" t="s">
        <v>323</v>
      </c>
      <c r="Y51" s="74" t="s">
        <v>238</v>
      </c>
      <c r="Z51" s="74" t="s">
        <v>257</v>
      </c>
      <c r="AA51" s="74" t="b">
        <v>1</v>
      </c>
      <c r="AB51" s="74" t="s">
        <v>323</v>
      </c>
      <c r="AC51" s="74" t="s">
        <v>324</v>
      </c>
      <c r="AD51" s="80">
        <v>2</v>
      </c>
      <c r="AE51" s="74"/>
      <c r="AF51" s="74"/>
    </row>
    <row r="52" spans="1:32" x14ac:dyDescent="0.3">
      <c r="A52" s="90"/>
      <c r="B52" s="74" t="s">
        <v>23</v>
      </c>
      <c r="C52" s="95" t="str" cm="1">
        <f t="array" ref="C52">UPPER(INDEX(_xlfn.TEXTSPLIT($F52, "-"), 3))</f>
        <v>DTG</v>
      </c>
      <c r="D52" s="80" t="s">
        <v>319</v>
      </c>
      <c r="E52" s="74" t="s">
        <v>24</v>
      </c>
      <c r="F52" s="74" t="s">
        <v>398</v>
      </c>
      <c r="G52" s="80" t="s">
        <v>536</v>
      </c>
      <c r="H52" s="80" t="s">
        <v>613</v>
      </c>
      <c r="I52" s="80">
        <v>8</v>
      </c>
      <c r="J52" s="80">
        <v>32</v>
      </c>
      <c r="K52" s="74" t="s">
        <v>180</v>
      </c>
      <c r="L52" s="74" t="s">
        <v>178</v>
      </c>
      <c r="M52" s="80" t="s">
        <v>619</v>
      </c>
      <c r="N52" s="98" t="s">
        <v>1041</v>
      </c>
      <c r="O52" s="74" t="str">
        <f t="shared" si="3"/>
        <v>p-dtg-geoap09-osdisk</v>
      </c>
      <c r="P52" s="97">
        <v>64</v>
      </c>
      <c r="Q52" s="74" t="s">
        <v>179</v>
      </c>
      <c r="R52" s="74"/>
      <c r="S52" s="74"/>
      <c r="T52" s="74"/>
      <c r="U52" s="74" t="str">
        <f t="shared" si="1"/>
        <v>p-dtg-geoap09-nic</v>
      </c>
      <c r="V52" s="74" t="b">
        <v>1</v>
      </c>
      <c r="W52" s="74" t="b">
        <v>1</v>
      </c>
      <c r="X52" s="74" t="s">
        <v>323</v>
      </c>
      <c r="Y52" s="74" t="s">
        <v>238</v>
      </c>
      <c r="Z52" s="74" t="s">
        <v>257</v>
      </c>
      <c r="AA52" s="74" t="b">
        <v>1</v>
      </c>
      <c r="AB52" s="74" t="s">
        <v>323</v>
      </c>
      <c r="AC52" s="74" t="s">
        <v>324</v>
      </c>
      <c r="AD52" s="80">
        <v>3</v>
      </c>
      <c r="AE52" s="74"/>
      <c r="AF52" s="74"/>
    </row>
    <row r="53" spans="1:32" x14ac:dyDescent="0.3">
      <c r="A53" s="90"/>
      <c r="B53" s="74" t="s">
        <v>23</v>
      </c>
      <c r="C53" s="95" t="str" cm="1">
        <f t="array" ref="C53">UPPER(INDEX(_xlfn.TEXTSPLIT($F53, "-"), 3))</f>
        <v>DTG</v>
      </c>
      <c r="D53" s="80" t="s">
        <v>319</v>
      </c>
      <c r="E53" s="74" t="s">
        <v>24</v>
      </c>
      <c r="F53" s="74" t="s">
        <v>399</v>
      </c>
      <c r="G53" s="80" t="s">
        <v>537</v>
      </c>
      <c r="H53" s="80" t="s">
        <v>612</v>
      </c>
      <c r="I53" s="80">
        <v>4</v>
      </c>
      <c r="J53" s="80">
        <v>16</v>
      </c>
      <c r="K53" s="74" t="s">
        <v>180</v>
      </c>
      <c r="L53" s="74" t="s">
        <v>178</v>
      </c>
      <c r="M53" s="80" t="s">
        <v>619</v>
      </c>
      <c r="N53" s="98" t="s">
        <v>1041</v>
      </c>
      <c r="O53" s="74" t="str">
        <f t="shared" si="3"/>
        <v>p-dtg-mq01-osdisk</v>
      </c>
      <c r="P53" s="97">
        <v>64</v>
      </c>
      <c r="Q53" s="74" t="s">
        <v>179</v>
      </c>
      <c r="R53" s="74"/>
      <c r="S53" s="74"/>
      <c r="T53" s="74"/>
      <c r="U53" s="74" t="str">
        <f t="shared" si="1"/>
        <v>p-dtg-mq01-nic</v>
      </c>
      <c r="V53" s="74" t="b">
        <v>1</v>
      </c>
      <c r="W53" s="74" t="b">
        <v>1</v>
      </c>
      <c r="X53" s="74" t="s">
        <v>323</v>
      </c>
      <c r="Y53" s="74" t="s">
        <v>237</v>
      </c>
      <c r="Z53" s="74" t="s">
        <v>242</v>
      </c>
      <c r="AA53" s="74" t="b">
        <v>1</v>
      </c>
      <c r="AB53" s="74" t="s">
        <v>323</v>
      </c>
      <c r="AC53" s="74" t="s">
        <v>324</v>
      </c>
      <c r="AD53" s="80">
        <v>1</v>
      </c>
      <c r="AE53" s="74"/>
      <c r="AF53" s="74"/>
    </row>
    <row r="54" spans="1:32" x14ac:dyDescent="0.3">
      <c r="A54" s="90"/>
      <c r="B54" s="74" t="s">
        <v>23</v>
      </c>
      <c r="C54" s="95" t="str" cm="1">
        <f t="array" ref="C54">UPPER(INDEX(_xlfn.TEXTSPLIT($F54, "-"), 3))</f>
        <v>DTG</v>
      </c>
      <c r="D54" s="80" t="s">
        <v>319</v>
      </c>
      <c r="E54" s="74" t="s">
        <v>24</v>
      </c>
      <c r="F54" s="74" t="s">
        <v>400</v>
      </c>
      <c r="G54" s="80" t="s">
        <v>538</v>
      </c>
      <c r="H54" s="80" t="s">
        <v>612</v>
      </c>
      <c r="I54" s="80">
        <v>4</v>
      </c>
      <c r="J54" s="80">
        <v>16</v>
      </c>
      <c r="K54" s="74" t="s">
        <v>180</v>
      </c>
      <c r="L54" s="74" t="s">
        <v>178</v>
      </c>
      <c r="M54" s="80" t="s">
        <v>619</v>
      </c>
      <c r="N54" s="98" t="s">
        <v>1041</v>
      </c>
      <c r="O54" s="74" t="str">
        <f t="shared" si="3"/>
        <v>p-dtg-mq02-osdisk</v>
      </c>
      <c r="P54" s="97">
        <v>64</v>
      </c>
      <c r="Q54" s="74" t="s">
        <v>179</v>
      </c>
      <c r="R54" s="74"/>
      <c r="S54" s="74"/>
      <c r="T54" s="74"/>
      <c r="U54" s="74" t="str">
        <f t="shared" si="1"/>
        <v>p-dtg-mq02-nic</v>
      </c>
      <c r="V54" s="74" t="b">
        <v>1</v>
      </c>
      <c r="W54" s="74" t="b">
        <v>1</v>
      </c>
      <c r="X54" s="74" t="s">
        <v>323</v>
      </c>
      <c r="Y54" s="74" t="s">
        <v>237</v>
      </c>
      <c r="Z54" s="74" t="s">
        <v>242</v>
      </c>
      <c r="AA54" s="74" t="b">
        <v>1</v>
      </c>
      <c r="AB54" s="74" t="s">
        <v>323</v>
      </c>
      <c r="AC54" s="74" t="s">
        <v>324</v>
      </c>
      <c r="AD54" s="80">
        <v>2</v>
      </c>
      <c r="AE54" s="74"/>
      <c r="AF54" s="74"/>
    </row>
    <row r="55" spans="1:32" x14ac:dyDescent="0.3">
      <c r="A55" s="90"/>
      <c r="B55" s="74" t="s">
        <v>23</v>
      </c>
      <c r="C55" s="95" t="str" cm="1">
        <f t="array" ref="C55">UPPER(INDEX(_xlfn.TEXTSPLIT($F55, "-"), 3))</f>
        <v>DTG</v>
      </c>
      <c r="D55" s="80" t="s">
        <v>319</v>
      </c>
      <c r="E55" s="74" t="s">
        <v>24</v>
      </c>
      <c r="F55" s="74" t="s">
        <v>401</v>
      </c>
      <c r="G55" s="80" t="s">
        <v>539</v>
      </c>
      <c r="H55" s="80" t="s">
        <v>612</v>
      </c>
      <c r="I55" s="80">
        <v>4</v>
      </c>
      <c r="J55" s="80">
        <v>16</v>
      </c>
      <c r="K55" s="74" t="s">
        <v>180</v>
      </c>
      <c r="L55" s="74" t="s">
        <v>178</v>
      </c>
      <c r="M55" s="80" t="s">
        <v>619</v>
      </c>
      <c r="N55" s="98" t="s">
        <v>1041</v>
      </c>
      <c r="O55" s="74" t="str">
        <f t="shared" si="3"/>
        <v>p-dtg-mq03-osdisk</v>
      </c>
      <c r="P55" s="97">
        <v>64</v>
      </c>
      <c r="Q55" s="74" t="s">
        <v>179</v>
      </c>
      <c r="R55" s="74"/>
      <c r="S55" s="74"/>
      <c r="T55" s="74"/>
      <c r="U55" s="74" t="str">
        <f t="shared" si="1"/>
        <v>p-dtg-mq03-nic</v>
      </c>
      <c r="V55" s="74" t="b">
        <v>1</v>
      </c>
      <c r="W55" s="74" t="b">
        <v>1</v>
      </c>
      <c r="X55" s="74" t="s">
        <v>323</v>
      </c>
      <c r="Y55" s="74" t="s">
        <v>237</v>
      </c>
      <c r="Z55" s="74" t="s">
        <v>242</v>
      </c>
      <c r="AA55" s="74" t="b">
        <v>1</v>
      </c>
      <c r="AB55" s="74" t="s">
        <v>323</v>
      </c>
      <c r="AC55" s="74" t="s">
        <v>324</v>
      </c>
      <c r="AD55" s="80">
        <v>3</v>
      </c>
      <c r="AE55" s="74"/>
      <c r="AF55" s="74"/>
    </row>
    <row r="56" spans="1:32" x14ac:dyDescent="0.3">
      <c r="A56" s="90"/>
      <c r="B56" s="74" t="s">
        <v>23</v>
      </c>
      <c r="C56" s="95" t="str" cm="1">
        <f t="array" ref="C56">UPPER(INDEX(_xlfn.TEXTSPLIT($F56, "-"), 3))</f>
        <v>DTG</v>
      </c>
      <c r="D56" s="80" t="s">
        <v>319</v>
      </c>
      <c r="E56" s="74" t="s">
        <v>24</v>
      </c>
      <c r="F56" s="74" t="s">
        <v>402</v>
      </c>
      <c r="G56" s="80" t="s">
        <v>1074</v>
      </c>
      <c r="H56" s="80" t="s">
        <v>612</v>
      </c>
      <c r="I56" s="80">
        <v>4</v>
      </c>
      <c r="J56" s="80">
        <v>16</v>
      </c>
      <c r="K56" s="74" t="s">
        <v>180</v>
      </c>
      <c r="L56" s="74" t="s">
        <v>178</v>
      </c>
      <c r="M56" s="80" t="s">
        <v>619</v>
      </c>
      <c r="N56" s="98" t="s">
        <v>1041</v>
      </c>
      <c r="O56" s="74" t="str">
        <f t="shared" si="3"/>
        <v>p-dtg-mq04-osdisk</v>
      </c>
      <c r="P56" s="97">
        <v>64</v>
      </c>
      <c r="Q56" s="74" t="s">
        <v>179</v>
      </c>
      <c r="R56" s="74"/>
      <c r="S56" s="74"/>
      <c r="T56" s="74"/>
      <c r="U56" s="74" t="str">
        <f t="shared" si="1"/>
        <v>p-dtg-mq04-nic</v>
      </c>
      <c r="V56" s="74" t="b">
        <v>1</v>
      </c>
      <c r="W56" s="74" t="b">
        <v>1</v>
      </c>
      <c r="X56" s="74" t="s">
        <v>323</v>
      </c>
      <c r="Y56" s="74" t="s">
        <v>237</v>
      </c>
      <c r="Z56" s="74" t="s">
        <v>242</v>
      </c>
      <c r="AA56" s="74" t="b">
        <v>1</v>
      </c>
      <c r="AB56" s="74" t="s">
        <v>323</v>
      </c>
      <c r="AC56" s="74" t="s">
        <v>324</v>
      </c>
      <c r="AD56" s="80">
        <v>1</v>
      </c>
      <c r="AE56" s="74"/>
      <c r="AF56" s="74"/>
    </row>
    <row r="57" spans="1:32" x14ac:dyDescent="0.3">
      <c r="A57" s="90"/>
      <c r="B57" s="74" t="s">
        <v>23</v>
      </c>
      <c r="C57" s="95" t="str" cm="1">
        <f t="array" ref="C57">UPPER(INDEX(_xlfn.TEXTSPLIT($F57, "-"), 3))</f>
        <v>DTG</v>
      </c>
      <c r="D57" s="80" t="s">
        <v>319</v>
      </c>
      <c r="E57" s="74" t="s">
        <v>24</v>
      </c>
      <c r="F57" s="74" t="s">
        <v>403</v>
      </c>
      <c r="G57" s="80" t="s">
        <v>1075</v>
      </c>
      <c r="H57" s="80" t="s">
        <v>612</v>
      </c>
      <c r="I57" s="80">
        <v>4</v>
      </c>
      <c r="J57" s="80">
        <v>16</v>
      </c>
      <c r="K57" s="74" t="s">
        <v>180</v>
      </c>
      <c r="L57" s="74" t="s">
        <v>178</v>
      </c>
      <c r="M57" s="80" t="s">
        <v>619</v>
      </c>
      <c r="N57" s="98" t="s">
        <v>1041</v>
      </c>
      <c r="O57" s="74" t="str">
        <f t="shared" si="3"/>
        <v>p-dtg-mq05-osdisk</v>
      </c>
      <c r="P57" s="97">
        <v>64</v>
      </c>
      <c r="Q57" s="74" t="s">
        <v>179</v>
      </c>
      <c r="R57" s="74"/>
      <c r="S57" s="74"/>
      <c r="T57" s="74"/>
      <c r="U57" s="74" t="str">
        <f t="shared" si="1"/>
        <v>p-dtg-mq05-nic</v>
      </c>
      <c r="V57" s="74" t="b">
        <v>1</v>
      </c>
      <c r="W57" s="74" t="b">
        <v>1</v>
      </c>
      <c r="X57" s="74" t="s">
        <v>323</v>
      </c>
      <c r="Y57" s="74" t="s">
        <v>237</v>
      </c>
      <c r="Z57" s="74" t="s">
        <v>242</v>
      </c>
      <c r="AA57" s="74" t="b">
        <v>1</v>
      </c>
      <c r="AB57" s="74" t="s">
        <v>323</v>
      </c>
      <c r="AC57" s="74" t="s">
        <v>324</v>
      </c>
      <c r="AD57" s="80">
        <v>2</v>
      </c>
      <c r="AE57" s="74"/>
      <c r="AF57" s="74"/>
    </row>
    <row r="58" spans="1:32" x14ac:dyDescent="0.3">
      <c r="A58" s="90"/>
      <c r="B58" s="74" t="s">
        <v>23</v>
      </c>
      <c r="C58" s="95" t="str" cm="1">
        <f t="array" ref="C58">UPPER(INDEX(_xlfn.TEXTSPLIT($F58, "-"), 3))</f>
        <v>DTG</v>
      </c>
      <c r="D58" s="80" t="s">
        <v>319</v>
      </c>
      <c r="E58" s="74" t="s">
        <v>24</v>
      </c>
      <c r="F58" s="74" t="s">
        <v>404</v>
      </c>
      <c r="G58" s="80" t="s">
        <v>1076</v>
      </c>
      <c r="H58" s="80" t="s">
        <v>612</v>
      </c>
      <c r="I58" s="80">
        <v>4</v>
      </c>
      <c r="J58" s="80">
        <v>16</v>
      </c>
      <c r="K58" s="74" t="s">
        <v>180</v>
      </c>
      <c r="L58" s="74" t="s">
        <v>178</v>
      </c>
      <c r="M58" s="80" t="s">
        <v>619</v>
      </c>
      <c r="N58" s="98" t="s">
        <v>1041</v>
      </c>
      <c r="O58" s="74" t="str">
        <f t="shared" si="3"/>
        <v>p-dtg-mq06-osdisk</v>
      </c>
      <c r="P58" s="97">
        <v>64</v>
      </c>
      <c r="Q58" s="74" t="s">
        <v>179</v>
      </c>
      <c r="R58" s="74"/>
      <c r="S58" s="74"/>
      <c r="T58" s="74"/>
      <c r="U58" s="74" t="str">
        <f t="shared" si="1"/>
        <v>p-dtg-mq06-nic</v>
      </c>
      <c r="V58" s="74" t="b">
        <v>1</v>
      </c>
      <c r="W58" s="74" t="b">
        <v>1</v>
      </c>
      <c r="X58" s="74" t="s">
        <v>323</v>
      </c>
      <c r="Y58" s="74" t="s">
        <v>237</v>
      </c>
      <c r="Z58" s="74" t="s">
        <v>242</v>
      </c>
      <c r="AA58" s="74" t="b">
        <v>1</v>
      </c>
      <c r="AB58" s="74" t="s">
        <v>323</v>
      </c>
      <c r="AC58" s="74" t="s">
        <v>324</v>
      </c>
      <c r="AD58" s="80">
        <v>3</v>
      </c>
      <c r="AE58" s="74"/>
      <c r="AF58" s="74"/>
    </row>
    <row r="59" spans="1:32" x14ac:dyDescent="0.3">
      <c r="A59" s="90"/>
      <c r="B59" s="74" t="s">
        <v>23</v>
      </c>
      <c r="C59" s="95" t="str" cm="1">
        <f t="array" ref="C59">UPPER(INDEX(_xlfn.TEXTSPLIT($F59, "-"), 3))</f>
        <v>DTG</v>
      </c>
      <c r="D59" s="80" t="s">
        <v>319</v>
      </c>
      <c r="E59" s="74" t="s">
        <v>24</v>
      </c>
      <c r="F59" s="74" t="s">
        <v>405</v>
      </c>
      <c r="G59" s="80" t="s">
        <v>1077</v>
      </c>
      <c r="H59" s="80" t="s">
        <v>612</v>
      </c>
      <c r="I59" s="80">
        <v>4</v>
      </c>
      <c r="J59" s="80">
        <v>16</v>
      </c>
      <c r="K59" s="74" t="s">
        <v>180</v>
      </c>
      <c r="L59" s="74" t="s">
        <v>178</v>
      </c>
      <c r="M59" s="80" t="s">
        <v>619</v>
      </c>
      <c r="N59" s="98" t="s">
        <v>1041</v>
      </c>
      <c r="O59" s="74" t="str">
        <f t="shared" si="3"/>
        <v>p-dtg-mq07-osdisk</v>
      </c>
      <c r="P59" s="97">
        <v>64</v>
      </c>
      <c r="Q59" s="74" t="s">
        <v>179</v>
      </c>
      <c r="R59" s="74"/>
      <c r="S59" s="74"/>
      <c r="T59" s="74"/>
      <c r="U59" s="74" t="str">
        <f t="shared" si="1"/>
        <v>p-dtg-mq07-nic</v>
      </c>
      <c r="V59" s="74" t="b">
        <v>1</v>
      </c>
      <c r="W59" s="74" t="b">
        <v>1</v>
      </c>
      <c r="X59" s="74" t="s">
        <v>323</v>
      </c>
      <c r="Y59" s="74" t="s">
        <v>237</v>
      </c>
      <c r="Z59" s="74" t="s">
        <v>242</v>
      </c>
      <c r="AA59" s="74" t="b">
        <v>1</v>
      </c>
      <c r="AB59" s="74" t="s">
        <v>323</v>
      </c>
      <c r="AC59" s="74" t="s">
        <v>324</v>
      </c>
      <c r="AD59" s="80">
        <v>1</v>
      </c>
      <c r="AE59" s="74"/>
      <c r="AF59" s="74"/>
    </row>
    <row r="60" spans="1:32" x14ac:dyDescent="0.3">
      <c r="A60" s="90"/>
      <c r="B60" s="74" t="s">
        <v>23</v>
      </c>
      <c r="C60" s="95" t="str" cm="1">
        <f t="array" ref="C60">UPPER(INDEX(_xlfn.TEXTSPLIT($F60, "-"), 3))</f>
        <v>DTG</v>
      </c>
      <c r="D60" s="80" t="s">
        <v>319</v>
      </c>
      <c r="E60" s="74" t="s">
        <v>24</v>
      </c>
      <c r="F60" s="74" t="s">
        <v>406</v>
      </c>
      <c r="G60" s="80" t="s">
        <v>1078</v>
      </c>
      <c r="H60" s="80" t="s">
        <v>612</v>
      </c>
      <c r="I60" s="80">
        <v>4</v>
      </c>
      <c r="J60" s="80">
        <v>16</v>
      </c>
      <c r="K60" s="74" t="s">
        <v>180</v>
      </c>
      <c r="L60" s="74" t="s">
        <v>178</v>
      </c>
      <c r="M60" s="80" t="s">
        <v>619</v>
      </c>
      <c r="N60" s="98" t="s">
        <v>1041</v>
      </c>
      <c r="O60" s="74" t="str">
        <f t="shared" si="3"/>
        <v>p-dtg-mq08-osdisk</v>
      </c>
      <c r="P60" s="97">
        <v>64</v>
      </c>
      <c r="Q60" s="74" t="s">
        <v>179</v>
      </c>
      <c r="R60" s="74"/>
      <c r="S60" s="74"/>
      <c r="T60" s="74"/>
      <c r="U60" s="74" t="str">
        <f t="shared" si="1"/>
        <v>p-dtg-mq08-nic</v>
      </c>
      <c r="V60" s="74" t="b">
        <v>1</v>
      </c>
      <c r="W60" s="74" t="b">
        <v>1</v>
      </c>
      <c r="X60" s="74" t="s">
        <v>323</v>
      </c>
      <c r="Y60" s="74" t="s">
        <v>237</v>
      </c>
      <c r="Z60" s="74" t="s">
        <v>242</v>
      </c>
      <c r="AA60" s="74" t="b">
        <v>1</v>
      </c>
      <c r="AB60" s="74" t="s">
        <v>323</v>
      </c>
      <c r="AC60" s="74" t="s">
        <v>324</v>
      </c>
      <c r="AD60" s="80">
        <v>2</v>
      </c>
      <c r="AE60" s="74"/>
      <c r="AF60" s="74"/>
    </row>
    <row r="61" spans="1:32" x14ac:dyDescent="0.3">
      <c r="A61" s="90"/>
      <c r="B61" s="74" t="s">
        <v>23</v>
      </c>
      <c r="C61" s="95" t="str" cm="1">
        <f t="array" ref="C61">UPPER(INDEX(_xlfn.TEXTSPLIT($F61, "-"), 3))</f>
        <v>DTG</v>
      </c>
      <c r="D61" s="80" t="s">
        <v>319</v>
      </c>
      <c r="E61" s="74" t="s">
        <v>24</v>
      </c>
      <c r="F61" s="74" t="s">
        <v>407</v>
      </c>
      <c r="G61" s="80" t="s">
        <v>1079</v>
      </c>
      <c r="H61" s="80" t="s">
        <v>612</v>
      </c>
      <c r="I61" s="80">
        <v>4</v>
      </c>
      <c r="J61" s="80">
        <v>16</v>
      </c>
      <c r="K61" s="74" t="s">
        <v>180</v>
      </c>
      <c r="L61" s="74" t="s">
        <v>178</v>
      </c>
      <c r="M61" s="80" t="s">
        <v>619</v>
      </c>
      <c r="N61" s="98" t="s">
        <v>1041</v>
      </c>
      <c r="O61" s="74" t="str">
        <f t="shared" ref="O61:O66" si="4">SUBSTITUTE(F61,"hazr-","")&amp;"-osdisk"</f>
        <v>p-dtg-mq09-osdisk</v>
      </c>
      <c r="P61" s="97">
        <v>64</v>
      </c>
      <c r="Q61" s="74" t="s">
        <v>179</v>
      </c>
      <c r="R61" s="74"/>
      <c r="S61" s="74"/>
      <c r="T61" s="74"/>
      <c r="U61" s="74" t="str">
        <f t="shared" si="1"/>
        <v>p-dtg-mq09-nic</v>
      </c>
      <c r="V61" s="74" t="b">
        <v>1</v>
      </c>
      <c r="W61" s="74" t="b">
        <v>1</v>
      </c>
      <c r="X61" s="74" t="s">
        <v>323</v>
      </c>
      <c r="Y61" s="74" t="s">
        <v>237</v>
      </c>
      <c r="Z61" s="74" t="s">
        <v>242</v>
      </c>
      <c r="AA61" s="74" t="b">
        <v>1</v>
      </c>
      <c r="AB61" s="74" t="s">
        <v>323</v>
      </c>
      <c r="AC61" s="74" t="s">
        <v>324</v>
      </c>
      <c r="AD61" s="80">
        <v>3</v>
      </c>
      <c r="AE61" s="74"/>
      <c r="AF61" s="74"/>
    </row>
    <row r="62" spans="1:32" x14ac:dyDescent="0.3">
      <c r="A62" s="90"/>
      <c r="B62" s="74" t="s">
        <v>23</v>
      </c>
      <c r="C62" s="95" t="str" cm="1">
        <f t="array" ref="C62">UPPER(INDEX(_xlfn.TEXTSPLIT($F62, "-"), 3))</f>
        <v>DTG</v>
      </c>
      <c r="D62" s="80" t="s">
        <v>319</v>
      </c>
      <c r="E62" s="74" t="s">
        <v>24</v>
      </c>
      <c r="F62" s="74" t="s">
        <v>408</v>
      </c>
      <c r="G62" s="80" t="s">
        <v>540</v>
      </c>
      <c r="H62" s="80" t="s">
        <v>614</v>
      </c>
      <c r="I62" s="80">
        <v>2</v>
      </c>
      <c r="J62" s="80">
        <v>16</v>
      </c>
      <c r="K62" s="74" t="s">
        <v>180</v>
      </c>
      <c r="L62" s="74" t="s">
        <v>178</v>
      </c>
      <c r="M62" s="80" t="s">
        <v>619</v>
      </c>
      <c r="N62" s="98" t="s">
        <v>1042</v>
      </c>
      <c r="O62" s="74" t="str">
        <f t="shared" si="4"/>
        <v>p-dtg-admweb01-osdisk</v>
      </c>
      <c r="P62" s="97">
        <v>64</v>
      </c>
      <c r="Q62" s="74" t="s">
        <v>179</v>
      </c>
      <c r="R62" s="74"/>
      <c r="S62" s="74"/>
      <c r="T62" s="74"/>
      <c r="U62" s="74" t="str">
        <f t="shared" si="1"/>
        <v>p-dtg-admweb01-nic</v>
      </c>
      <c r="V62" s="74" t="b">
        <v>1</v>
      </c>
      <c r="W62" s="74" t="b">
        <v>1</v>
      </c>
      <c r="X62" s="74" t="s">
        <v>323</v>
      </c>
      <c r="Y62" s="74" t="s">
        <v>238</v>
      </c>
      <c r="Z62" s="74" t="s">
        <v>257</v>
      </c>
      <c r="AA62" s="74" t="b">
        <v>1</v>
      </c>
      <c r="AB62" s="74" t="s">
        <v>323</v>
      </c>
      <c r="AC62" s="74" t="s">
        <v>324</v>
      </c>
      <c r="AD62" s="80">
        <v>1</v>
      </c>
      <c r="AE62" s="74"/>
      <c r="AF62" s="74"/>
    </row>
    <row r="63" spans="1:32" x14ac:dyDescent="0.3">
      <c r="A63" s="90"/>
      <c r="B63" s="74" t="s">
        <v>23</v>
      </c>
      <c r="C63" s="95" t="str" cm="1">
        <f t="array" ref="C63">UPPER(INDEX(_xlfn.TEXTSPLIT($F63, "-"), 3))</f>
        <v>DTG</v>
      </c>
      <c r="D63" s="80" t="s">
        <v>319</v>
      </c>
      <c r="E63" s="74" t="s">
        <v>24</v>
      </c>
      <c r="F63" s="74" t="s">
        <v>409</v>
      </c>
      <c r="G63" s="80" t="s">
        <v>541</v>
      </c>
      <c r="H63" s="80" t="s">
        <v>614</v>
      </c>
      <c r="I63" s="80">
        <v>2</v>
      </c>
      <c r="J63" s="80">
        <v>16</v>
      </c>
      <c r="K63" s="74" t="s">
        <v>180</v>
      </c>
      <c r="L63" s="74" t="s">
        <v>178</v>
      </c>
      <c r="M63" s="80" t="s">
        <v>619</v>
      </c>
      <c r="N63" s="98" t="s">
        <v>1042</v>
      </c>
      <c r="O63" s="74" t="str">
        <f t="shared" si="4"/>
        <v>p-dtg-admweb02-osdisk</v>
      </c>
      <c r="P63" s="97">
        <v>64</v>
      </c>
      <c r="Q63" s="74" t="s">
        <v>179</v>
      </c>
      <c r="R63" s="74"/>
      <c r="S63" s="74"/>
      <c r="T63" s="74"/>
      <c r="U63" s="74" t="str">
        <f t="shared" ref="U63:U66" si="5">SUBSTITUTE(F63,"hazr-","")&amp;"-nic"</f>
        <v>p-dtg-admweb02-nic</v>
      </c>
      <c r="V63" s="74" t="b">
        <v>1</v>
      </c>
      <c r="W63" s="74" t="b">
        <v>1</v>
      </c>
      <c r="X63" s="74" t="s">
        <v>323</v>
      </c>
      <c r="Y63" s="74" t="s">
        <v>238</v>
      </c>
      <c r="Z63" s="74" t="s">
        <v>257</v>
      </c>
      <c r="AA63" s="74" t="b">
        <v>1</v>
      </c>
      <c r="AB63" s="74" t="s">
        <v>323</v>
      </c>
      <c r="AC63" s="74" t="s">
        <v>324</v>
      </c>
      <c r="AD63" s="80">
        <v>2</v>
      </c>
      <c r="AE63" s="74"/>
      <c r="AF63" s="74"/>
    </row>
    <row r="64" spans="1:32" x14ac:dyDescent="0.3">
      <c r="A64" s="90"/>
      <c r="B64" s="74" t="s">
        <v>23</v>
      </c>
      <c r="C64" s="95" t="str" cm="1">
        <f t="array" ref="C64">UPPER(INDEX(_xlfn.TEXTSPLIT($F64, "-"), 3))</f>
        <v>DTG</v>
      </c>
      <c r="D64" s="80" t="s">
        <v>319</v>
      </c>
      <c r="E64" s="74" t="s">
        <v>24</v>
      </c>
      <c r="F64" s="74" t="s">
        <v>410</v>
      </c>
      <c r="G64" s="80" t="s">
        <v>542</v>
      </c>
      <c r="H64" s="80" t="s">
        <v>614</v>
      </c>
      <c r="I64" s="80">
        <v>2</v>
      </c>
      <c r="J64" s="80">
        <v>16</v>
      </c>
      <c r="K64" s="74" t="s">
        <v>180</v>
      </c>
      <c r="L64" s="74" t="s">
        <v>178</v>
      </c>
      <c r="M64" s="80" t="s">
        <v>619</v>
      </c>
      <c r="N64" s="98" t="s">
        <v>1041</v>
      </c>
      <c r="O64" s="74" t="str">
        <f t="shared" si="4"/>
        <v>p-dtg-admap01-osdisk</v>
      </c>
      <c r="P64" s="97">
        <v>64</v>
      </c>
      <c r="Q64" s="74" t="s">
        <v>179</v>
      </c>
      <c r="R64" s="74"/>
      <c r="S64" s="74"/>
      <c r="T64" s="74"/>
      <c r="U64" s="74" t="str">
        <f t="shared" si="5"/>
        <v>p-dtg-admap01-nic</v>
      </c>
      <c r="V64" s="74" t="b">
        <v>1</v>
      </c>
      <c r="W64" s="74" t="b">
        <v>1</v>
      </c>
      <c r="X64" s="74" t="s">
        <v>323</v>
      </c>
      <c r="Y64" s="74" t="s">
        <v>238</v>
      </c>
      <c r="Z64" s="74" t="s">
        <v>257</v>
      </c>
      <c r="AA64" s="74" t="b">
        <v>1</v>
      </c>
      <c r="AB64" s="74" t="s">
        <v>323</v>
      </c>
      <c r="AC64" s="74" t="s">
        <v>324</v>
      </c>
      <c r="AD64" s="80">
        <v>1</v>
      </c>
      <c r="AE64" s="74"/>
      <c r="AF64" s="74"/>
    </row>
    <row r="65" spans="1:32" x14ac:dyDescent="0.3">
      <c r="A65" s="90"/>
      <c r="B65" s="74" t="s">
        <v>23</v>
      </c>
      <c r="C65" s="95" t="str" cm="1">
        <f t="array" ref="C65">UPPER(INDEX(_xlfn.TEXTSPLIT($F65, "-"), 3))</f>
        <v>DTG</v>
      </c>
      <c r="D65" s="80" t="s">
        <v>319</v>
      </c>
      <c r="E65" s="74" t="s">
        <v>24</v>
      </c>
      <c r="F65" s="74" t="s">
        <v>411</v>
      </c>
      <c r="G65" s="80" t="s">
        <v>543</v>
      </c>
      <c r="H65" s="80" t="s">
        <v>614</v>
      </c>
      <c r="I65" s="80">
        <v>2</v>
      </c>
      <c r="J65" s="80">
        <v>16</v>
      </c>
      <c r="K65" s="74" t="s">
        <v>180</v>
      </c>
      <c r="L65" s="74" t="s">
        <v>178</v>
      </c>
      <c r="M65" s="80" t="s">
        <v>619</v>
      </c>
      <c r="N65" s="98" t="s">
        <v>1041</v>
      </c>
      <c r="O65" s="74" t="str">
        <f t="shared" si="4"/>
        <v>p-dtg-admap02-osdisk</v>
      </c>
      <c r="P65" s="97">
        <v>64</v>
      </c>
      <c r="Q65" s="74" t="s">
        <v>179</v>
      </c>
      <c r="R65" s="74"/>
      <c r="S65" s="74"/>
      <c r="T65" s="74"/>
      <c r="U65" s="74" t="str">
        <f t="shared" si="5"/>
        <v>p-dtg-admap02-nic</v>
      </c>
      <c r="V65" s="74" t="b">
        <v>1</v>
      </c>
      <c r="W65" s="74" t="b">
        <v>1</v>
      </c>
      <c r="X65" s="74" t="s">
        <v>323</v>
      </c>
      <c r="Y65" s="74" t="s">
        <v>238</v>
      </c>
      <c r="Z65" s="74" t="s">
        <v>257</v>
      </c>
      <c r="AA65" s="74" t="b">
        <v>1</v>
      </c>
      <c r="AB65" s="74" t="s">
        <v>323</v>
      </c>
      <c r="AC65" s="74" t="s">
        <v>324</v>
      </c>
      <c r="AD65" s="80">
        <v>2</v>
      </c>
      <c r="AE65" s="74"/>
      <c r="AF65" s="74"/>
    </row>
    <row r="66" spans="1:32" x14ac:dyDescent="0.3">
      <c r="A66" s="90"/>
      <c r="B66" s="74" t="s">
        <v>23</v>
      </c>
      <c r="C66" s="95" t="str" cm="1">
        <f t="array" ref="C66">UPPER(INDEX(_xlfn.TEXTSPLIT($F66, "-"), 3))</f>
        <v>DTG</v>
      </c>
      <c r="D66" s="80" t="s">
        <v>319</v>
      </c>
      <c r="E66" s="74" t="s">
        <v>24</v>
      </c>
      <c r="F66" s="74" t="s">
        <v>412</v>
      </c>
      <c r="G66" s="80" t="s">
        <v>544</v>
      </c>
      <c r="H66" s="80" t="s">
        <v>610</v>
      </c>
      <c r="I66" s="80">
        <v>4</v>
      </c>
      <c r="J66" s="80">
        <v>8</v>
      </c>
      <c r="K66" s="74" t="s">
        <v>180</v>
      </c>
      <c r="L66" s="74" t="s">
        <v>178</v>
      </c>
      <c r="M66" s="80" t="s">
        <v>619</v>
      </c>
      <c r="N66" s="98" t="s">
        <v>1042</v>
      </c>
      <c r="O66" s="74" t="str">
        <f t="shared" si="4"/>
        <v>p-dtg-dtoms01-osdisk</v>
      </c>
      <c r="P66" s="97">
        <v>64</v>
      </c>
      <c r="Q66" s="74" t="s">
        <v>179</v>
      </c>
      <c r="R66" s="74"/>
      <c r="S66" s="74"/>
      <c r="T66" s="74"/>
      <c r="U66" s="74" t="str">
        <f t="shared" si="5"/>
        <v>p-dtg-dtoms01-nic</v>
      </c>
      <c r="V66" s="74" t="b">
        <v>1</v>
      </c>
      <c r="W66" s="74" t="b">
        <v>1</v>
      </c>
      <c r="X66" s="74" t="s">
        <v>323</v>
      </c>
      <c r="Y66" s="74" t="s">
        <v>238</v>
      </c>
      <c r="Z66" s="74" t="s">
        <v>257</v>
      </c>
      <c r="AA66" s="74" t="b">
        <v>1</v>
      </c>
      <c r="AB66" s="74" t="s">
        <v>323</v>
      </c>
      <c r="AC66" s="74" t="s">
        <v>324</v>
      </c>
      <c r="AD66" s="80">
        <v>1</v>
      </c>
      <c r="AE66" s="74"/>
      <c r="AF66" s="74"/>
    </row>
    <row r="67" spans="1:32" x14ac:dyDescent="0.3">
      <c r="A67" s="90"/>
      <c r="B67" s="74" t="s">
        <v>23</v>
      </c>
      <c r="C67" s="95" t="str" cm="1">
        <f t="array" ref="C67">UPPER(INDEX(_xlfn.TEXTSPLIT($F67, "-"), 3))</f>
        <v>DTG</v>
      </c>
      <c r="D67" s="80" t="s">
        <v>319</v>
      </c>
      <c r="E67" s="74" t="s">
        <v>24</v>
      </c>
      <c r="F67" s="74" t="s">
        <v>413</v>
      </c>
      <c r="G67" s="80" t="s">
        <v>545</v>
      </c>
      <c r="H67" s="80" t="s">
        <v>615</v>
      </c>
      <c r="I67" s="80">
        <v>16</v>
      </c>
      <c r="J67" s="80">
        <v>64</v>
      </c>
      <c r="K67" s="74" t="s">
        <v>180</v>
      </c>
      <c r="L67" s="74" t="s">
        <v>224</v>
      </c>
      <c r="M67" s="80" t="s">
        <v>619</v>
      </c>
      <c r="N67" s="98" t="s">
        <v>1041</v>
      </c>
      <c r="O67" s="74" t="str">
        <f t="shared" ref="O67:O98" si="6">SUBSTITUTE(F67,"hazr-","")&amp;"-osdisk"</f>
        <v>p-dtg-tsdb01-osdisk</v>
      </c>
      <c r="P67" s="97">
        <v>64</v>
      </c>
      <c r="Q67" s="74" t="s">
        <v>179</v>
      </c>
      <c r="R67" s="74"/>
      <c r="S67" s="74"/>
      <c r="T67" s="74"/>
      <c r="U67" s="74" t="str">
        <f t="shared" ref="U67:U98" si="7">SUBSTITUTE(F67,"hazr-","")&amp;"-nic"</f>
        <v>p-dtg-tsdb01-nic</v>
      </c>
      <c r="V67" s="74" t="b">
        <v>1</v>
      </c>
      <c r="W67" s="74" t="b">
        <v>1</v>
      </c>
      <c r="X67" s="74" t="s">
        <v>323</v>
      </c>
      <c r="Y67" s="74" t="s">
        <v>238</v>
      </c>
      <c r="Z67" s="74" t="s">
        <v>258</v>
      </c>
      <c r="AA67" s="74" t="b">
        <v>1</v>
      </c>
      <c r="AB67" s="74" t="s">
        <v>323</v>
      </c>
      <c r="AC67" s="74" t="s">
        <v>324</v>
      </c>
      <c r="AD67" s="80">
        <v>1</v>
      </c>
      <c r="AE67" s="74"/>
      <c r="AF67" s="74"/>
    </row>
    <row r="68" spans="1:32" x14ac:dyDescent="0.3">
      <c r="A68" s="90"/>
      <c r="B68" s="74" t="s">
        <v>23</v>
      </c>
      <c r="C68" s="95" t="str" cm="1">
        <f t="array" ref="C68">UPPER(INDEX(_xlfn.TEXTSPLIT($F68, "-"), 3))</f>
        <v>DTG</v>
      </c>
      <c r="D68" s="80" t="s">
        <v>319</v>
      </c>
      <c r="E68" s="74" t="s">
        <v>24</v>
      </c>
      <c r="F68" s="74" t="s">
        <v>414</v>
      </c>
      <c r="G68" s="80" t="s">
        <v>546</v>
      </c>
      <c r="H68" s="80" t="s">
        <v>615</v>
      </c>
      <c r="I68" s="80">
        <v>16</v>
      </c>
      <c r="J68" s="80">
        <v>64</v>
      </c>
      <c r="K68" s="74" t="s">
        <v>180</v>
      </c>
      <c r="L68" s="74" t="s">
        <v>224</v>
      </c>
      <c r="M68" s="80" t="s">
        <v>619</v>
      </c>
      <c r="N68" s="98" t="s">
        <v>1041</v>
      </c>
      <c r="O68" s="74" t="str">
        <f t="shared" si="6"/>
        <v>p-dtg-tsdb02-osdisk</v>
      </c>
      <c r="P68" s="97">
        <v>64</v>
      </c>
      <c r="Q68" s="74" t="s">
        <v>179</v>
      </c>
      <c r="R68" s="74"/>
      <c r="S68" s="74"/>
      <c r="T68" s="74"/>
      <c r="U68" s="74" t="str">
        <f t="shared" si="7"/>
        <v>p-dtg-tsdb02-nic</v>
      </c>
      <c r="V68" s="74" t="b">
        <v>1</v>
      </c>
      <c r="W68" s="74" t="b">
        <v>1</v>
      </c>
      <c r="X68" s="74" t="s">
        <v>323</v>
      </c>
      <c r="Y68" s="74" t="s">
        <v>238</v>
      </c>
      <c r="Z68" s="74" t="s">
        <v>258</v>
      </c>
      <c r="AA68" s="74" t="b">
        <v>1</v>
      </c>
      <c r="AB68" s="74" t="s">
        <v>323</v>
      </c>
      <c r="AC68" s="74" t="s">
        <v>324</v>
      </c>
      <c r="AD68" s="80">
        <v>2</v>
      </c>
      <c r="AE68" s="74"/>
      <c r="AF68" s="74"/>
    </row>
    <row r="69" spans="1:32" x14ac:dyDescent="0.3">
      <c r="A69" s="90"/>
      <c r="B69" s="74" t="s">
        <v>23</v>
      </c>
      <c r="C69" s="95" t="str" cm="1">
        <f t="array" ref="C69">UPPER(INDEX(_xlfn.TEXTSPLIT($F69, "-"), 3))</f>
        <v>DTG</v>
      </c>
      <c r="D69" s="80" t="s">
        <v>319</v>
      </c>
      <c r="E69" s="74" t="s">
        <v>24</v>
      </c>
      <c r="F69" s="74" t="s">
        <v>415</v>
      </c>
      <c r="G69" s="80" t="s">
        <v>547</v>
      </c>
      <c r="H69" s="80" t="s">
        <v>615</v>
      </c>
      <c r="I69" s="80">
        <v>16</v>
      </c>
      <c r="J69" s="80">
        <v>64</v>
      </c>
      <c r="K69" s="74" t="s">
        <v>180</v>
      </c>
      <c r="L69" s="74" t="s">
        <v>224</v>
      </c>
      <c r="M69" s="80" t="s">
        <v>619</v>
      </c>
      <c r="N69" s="98" t="s">
        <v>1041</v>
      </c>
      <c r="O69" s="74" t="str">
        <f t="shared" si="6"/>
        <v>p-dtg-tsdb03-osdisk</v>
      </c>
      <c r="P69" s="97">
        <v>64</v>
      </c>
      <c r="Q69" s="74" t="s">
        <v>179</v>
      </c>
      <c r="R69" s="74"/>
      <c r="S69" s="74"/>
      <c r="T69" s="74"/>
      <c r="U69" s="74" t="str">
        <f t="shared" si="7"/>
        <v>p-dtg-tsdb03-nic</v>
      </c>
      <c r="V69" s="74" t="b">
        <v>1</v>
      </c>
      <c r="W69" s="74" t="b">
        <v>1</v>
      </c>
      <c r="X69" s="74" t="s">
        <v>323</v>
      </c>
      <c r="Y69" s="74" t="s">
        <v>238</v>
      </c>
      <c r="Z69" s="74" t="s">
        <v>258</v>
      </c>
      <c r="AA69" s="74" t="b">
        <v>1</v>
      </c>
      <c r="AB69" s="74" t="s">
        <v>323</v>
      </c>
      <c r="AC69" s="74" t="s">
        <v>324</v>
      </c>
      <c r="AD69" s="80">
        <v>3</v>
      </c>
      <c r="AE69" s="74"/>
      <c r="AF69" s="74"/>
    </row>
    <row r="70" spans="1:32" x14ac:dyDescent="0.3">
      <c r="A70" s="90"/>
      <c r="B70" s="74" t="s">
        <v>23</v>
      </c>
      <c r="C70" s="95" t="str" cm="1">
        <f t="array" ref="C70">UPPER(INDEX(_xlfn.TEXTSPLIT($F70, "-"), 3))</f>
        <v>DTG</v>
      </c>
      <c r="D70" s="80" t="s">
        <v>319</v>
      </c>
      <c r="E70" s="74" t="s">
        <v>24</v>
      </c>
      <c r="F70" s="74" t="s">
        <v>416</v>
      </c>
      <c r="G70" s="80" t="s">
        <v>548</v>
      </c>
      <c r="H70" s="80" t="s">
        <v>615</v>
      </c>
      <c r="I70" s="80">
        <v>16</v>
      </c>
      <c r="J70" s="80">
        <v>64</v>
      </c>
      <c r="K70" s="74" t="s">
        <v>180</v>
      </c>
      <c r="L70" s="74" t="s">
        <v>224</v>
      </c>
      <c r="M70" s="80" t="s">
        <v>619</v>
      </c>
      <c r="N70" s="98" t="s">
        <v>1041</v>
      </c>
      <c r="O70" s="74" t="str">
        <f t="shared" si="6"/>
        <v>p-dtg-tsdb04-osdisk</v>
      </c>
      <c r="P70" s="97">
        <v>64</v>
      </c>
      <c r="Q70" s="74" t="s">
        <v>179</v>
      </c>
      <c r="R70" s="74"/>
      <c r="S70" s="74"/>
      <c r="T70" s="74"/>
      <c r="U70" s="74" t="str">
        <f t="shared" si="7"/>
        <v>p-dtg-tsdb04-nic</v>
      </c>
      <c r="V70" s="74" t="b">
        <v>1</v>
      </c>
      <c r="W70" s="74" t="b">
        <v>1</v>
      </c>
      <c r="X70" s="74" t="s">
        <v>323</v>
      </c>
      <c r="Y70" s="74" t="s">
        <v>238</v>
      </c>
      <c r="Z70" s="74" t="s">
        <v>258</v>
      </c>
      <c r="AA70" s="74" t="b">
        <v>1</v>
      </c>
      <c r="AB70" s="74" t="s">
        <v>323</v>
      </c>
      <c r="AC70" s="74" t="s">
        <v>324</v>
      </c>
      <c r="AD70" s="80">
        <v>1</v>
      </c>
      <c r="AE70" s="74"/>
      <c r="AF70" s="74"/>
    </row>
    <row r="71" spans="1:32" x14ac:dyDescent="0.3">
      <c r="A71" s="90"/>
      <c r="B71" s="74" t="s">
        <v>23</v>
      </c>
      <c r="C71" s="95" t="str" cm="1">
        <f t="array" ref="C71">UPPER(INDEX(_xlfn.TEXTSPLIT($F71, "-"), 3))</f>
        <v>DTG</v>
      </c>
      <c r="D71" s="80" t="s">
        <v>319</v>
      </c>
      <c r="E71" s="74" t="s">
        <v>24</v>
      </c>
      <c r="F71" s="74" t="s">
        <v>417</v>
      </c>
      <c r="G71" s="80" t="s">
        <v>549</v>
      </c>
      <c r="H71" s="80" t="s">
        <v>610</v>
      </c>
      <c r="I71" s="80">
        <v>4</v>
      </c>
      <c r="J71" s="80">
        <v>8</v>
      </c>
      <c r="K71" s="74" t="s">
        <v>180</v>
      </c>
      <c r="L71" s="74" t="s">
        <v>224</v>
      </c>
      <c r="M71" s="80" t="s">
        <v>619</v>
      </c>
      <c r="N71" s="98" t="s">
        <v>1042</v>
      </c>
      <c r="O71" s="74" t="str">
        <f t="shared" si="6"/>
        <v>p-dtg-web01-osdisk</v>
      </c>
      <c r="P71" s="97">
        <v>64</v>
      </c>
      <c r="Q71" s="74" t="s">
        <v>179</v>
      </c>
      <c r="R71" s="74"/>
      <c r="S71" s="74"/>
      <c r="T71" s="74"/>
      <c r="U71" s="74" t="str">
        <f t="shared" si="7"/>
        <v>p-dtg-web01-nic</v>
      </c>
      <c r="V71" s="74" t="b">
        <v>1</v>
      </c>
      <c r="W71" s="74" t="b">
        <v>1</v>
      </c>
      <c r="X71" s="74" t="s">
        <v>323</v>
      </c>
      <c r="Y71" s="74" t="s">
        <v>237</v>
      </c>
      <c r="Z71" s="74" t="s">
        <v>242</v>
      </c>
      <c r="AA71" s="74" t="b">
        <v>1</v>
      </c>
      <c r="AB71" s="74" t="s">
        <v>323</v>
      </c>
      <c r="AC71" s="74" t="s">
        <v>324</v>
      </c>
      <c r="AD71" s="80">
        <v>1</v>
      </c>
      <c r="AE71" s="74"/>
      <c r="AF71" s="74"/>
    </row>
    <row r="72" spans="1:32" x14ac:dyDescent="0.3">
      <c r="A72" s="90"/>
      <c r="B72" s="74" t="s">
        <v>23</v>
      </c>
      <c r="C72" s="95" t="str" cm="1">
        <f t="array" ref="C72">UPPER(INDEX(_xlfn.TEXTSPLIT($F72, "-"), 3))</f>
        <v>DTG</v>
      </c>
      <c r="D72" s="80" t="s">
        <v>319</v>
      </c>
      <c r="E72" s="74" t="s">
        <v>24</v>
      </c>
      <c r="F72" s="74" t="s">
        <v>418</v>
      </c>
      <c r="G72" s="80" t="s">
        <v>550</v>
      </c>
      <c r="H72" s="80" t="s">
        <v>610</v>
      </c>
      <c r="I72" s="80">
        <v>4</v>
      </c>
      <c r="J72" s="80">
        <v>8</v>
      </c>
      <c r="K72" s="74" t="s">
        <v>180</v>
      </c>
      <c r="L72" s="74" t="s">
        <v>224</v>
      </c>
      <c r="M72" s="80" t="s">
        <v>619</v>
      </c>
      <c r="N72" s="98" t="s">
        <v>1042</v>
      </c>
      <c r="O72" s="74" t="str">
        <f t="shared" si="6"/>
        <v>p-dtg-web02-osdisk</v>
      </c>
      <c r="P72" s="97">
        <v>64</v>
      </c>
      <c r="Q72" s="74" t="s">
        <v>179</v>
      </c>
      <c r="R72" s="74"/>
      <c r="S72" s="74"/>
      <c r="T72" s="74"/>
      <c r="U72" s="74" t="str">
        <f t="shared" si="7"/>
        <v>p-dtg-web02-nic</v>
      </c>
      <c r="V72" s="74" t="b">
        <v>1</v>
      </c>
      <c r="W72" s="74" t="b">
        <v>1</v>
      </c>
      <c r="X72" s="74" t="s">
        <v>323</v>
      </c>
      <c r="Y72" s="74" t="s">
        <v>237</v>
      </c>
      <c r="Z72" s="74" t="s">
        <v>242</v>
      </c>
      <c r="AA72" s="74" t="b">
        <v>1</v>
      </c>
      <c r="AB72" s="74" t="s">
        <v>323</v>
      </c>
      <c r="AC72" s="74" t="s">
        <v>324</v>
      </c>
      <c r="AD72" s="80">
        <v>2</v>
      </c>
      <c r="AE72" s="74"/>
      <c r="AF72" s="74"/>
    </row>
    <row r="73" spans="1:32" x14ac:dyDescent="0.3">
      <c r="A73" s="90"/>
      <c r="B73" s="74" t="s">
        <v>23</v>
      </c>
      <c r="C73" s="95" t="str" cm="1">
        <f t="array" ref="C73">UPPER(INDEX(_xlfn.TEXTSPLIT($F73, "-"), 3))</f>
        <v>DTG</v>
      </c>
      <c r="D73" s="80" t="s">
        <v>319</v>
      </c>
      <c r="E73" s="74" t="s">
        <v>24</v>
      </c>
      <c r="F73" s="74" t="s">
        <v>419</v>
      </c>
      <c r="G73" s="80" t="s">
        <v>551</v>
      </c>
      <c r="H73" s="80" t="s">
        <v>610</v>
      </c>
      <c r="I73" s="80">
        <v>4</v>
      </c>
      <c r="J73" s="80">
        <v>8</v>
      </c>
      <c r="K73" s="74" t="s">
        <v>180</v>
      </c>
      <c r="L73" s="74" t="s">
        <v>224</v>
      </c>
      <c r="M73" s="80" t="s">
        <v>619</v>
      </c>
      <c r="N73" s="98" t="s">
        <v>1041</v>
      </c>
      <c r="O73" s="74" t="str">
        <f t="shared" si="6"/>
        <v>p-dtg-zkp01-osdisk</v>
      </c>
      <c r="P73" s="97">
        <v>64</v>
      </c>
      <c r="Q73" s="74" t="s">
        <v>179</v>
      </c>
      <c r="R73" s="74"/>
      <c r="S73" s="74"/>
      <c r="T73" s="74"/>
      <c r="U73" s="74" t="str">
        <f t="shared" si="7"/>
        <v>p-dtg-zkp01-nic</v>
      </c>
      <c r="V73" s="74" t="b">
        <v>1</v>
      </c>
      <c r="W73" s="74" t="b">
        <v>1</v>
      </c>
      <c r="X73" s="74" t="s">
        <v>323</v>
      </c>
      <c r="Y73" s="74" t="s">
        <v>238</v>
      </c>
      <c r="Z73" s="74" t="s">
        <v>257</v>
      </c>
      <c r="AA73" s="74" t="b">
        <v>1</v>
      </c>
      <c r="AB73" s="74" t="s">
        <v>323</v>
      </c>
      <c r="AC73" s="74" t="s">
        <v>324</v>
      </c>
      <c r="AD73" s="80">
        <v>1</v>
      </c>
      <c r="AE73" s="74"/>
      <c r="AF73" s="74"/>
    </row>
    <row r="74" spans="1:32" x14ac:dyDescent="0.3">
      <c r="A74" s="90"/>
      <c r="B74" s="74" t="s">
        <v>23</v>
      </c>
      <c r="C74" s="95" t="str" cm="1">
        <f t="array" ref="C74">UPPER(INDEX(_xlfn.TEXTSPLIT($F74, "-"), 3))</f>
        <v>DTG</v>
      </c>
      <c r="D74" s="80" t="s">
        <v>319</v>
      </c>
      <c r="E74" s="74" t="s">
        <v>24</v>
      </c>
      <c r="F74" s="74" t="s">
        <v>420</v>
      </c>
      <c r="G74" s="80" t="s">
        <v>552</v>
      </c>
      <c r="H74" s="80" t="s">
        <v>610</v>
      </c>
      <c r="I74" s="80">
        <v>4</v>
      </c>
      <c r="J74" s="80">
        <v>8</v>
      </c>
      <c r="K74" s="74" t="s">
        <v>180</v>
      </c>
      <c r="L74" s="74" t="s">
        <v>224</v>
      </c>
      <c r="M74" s="80" t="s">
        <v>619</v>
      </c>
      <c r="N74" s="98" t="s">
        <v>1041</v>
      </c>
      <c r="O74" s="74" t="str">
        <f t="shared" si="6"/>
        <v>p-dtg-zkp02-osdisk</v>
      </c>
      <c r="P74" s="97">
        <v>64</v>
      </c>
      <c r="Q74" s="74" t="s">
        <v>179</v>
      </c>
      <c r="R74" s="74"/>
      <c r="S74" s="74"/>
      <c r="T74" s="74"/>
      <c r="U74" s="74" t="str">
        <f t="shared" si="7"/>
        <v>p-dtg-zkp02-nic</v>
      </c>
      <c r="V74" s="74" t="b">
        <v>1</v>
      </c>
      <c r="W74" s="74" t="b">
        <v>1</v>
      </c>
      <c r="X74" s="74" t="s">
        <v>323</v>
      </c>
      <c r="Y74" s="74" t="s">
        <v>238</v>
      </c>
      <c r="Z74" s="74" t="s">
        <v>257</v>
      </c>
      <c r="AA74" s="74" t="b">
        <v>1</v>
      </c>
      <c r="AB74" s="74" t="s">
        <v>323</v>
      </c>
      <c r="AC74" s="74" t="s">
        <v>324</v>
      </c>
      <c r="AD74" s="80">
        <v>2</v>
      </c>
      <c r="AE74" s="74"/>
      <c r="AF74" s="74"/>
    </row>
    <row r="75" spans="1:32" x14ac:dyDescent="0.3">
      <c r="A75" s="90"/>
      <c r="B75" s="74" t="s">
        <v>23</v>
      </c>
      <c r="C75" s="95" t="str" cm="1">
        <f t="array" ref="C75">UPPER(INDEX(_xlfn.TEXTSPLIT($F75, "-"), 3))</f>
        <v>DTG</v>
      </c>
      <c r="D75" s="80" t="s">
        <v>319</v>
      </c>
      <c r="E75" s="74" t="s">
        <v>24</v>
      </c>
      <c r="F75" s="74" t="s">
        <v>421</v>
      </c>
      <c r="G75" s="80" t="s">
        <v>553</v>
      </c>
      <c r="H75" s="80" t="s">
        <v>610</v>
      </c>
      <c r="I75" s="80">
        <v>4</v>
      </c>
      <c r="J75" s="80">
        <v>8</v>
      </c>
      <c r="K75" s="74" t="s">
        <v>180</v>
      </c>
      <c r="L75" s="74" t="s">
        <v>224</v>
      </c>
      <c r="M75" s="80" t="s">
        <v>619</v>
      </c>
      <c r="N75" s="98" t="s">
        <v>1041</v>
      </c>
      <c r="O75" s="74" t="str">
        <f t="shared" si="6"/>
        <v>p-dtg-zkp03-osdisk</v>
      </c>
      <c r="P75" s="97">
        <v>64</v>
      </c>
      <c r="Q75" s="74" t="s">
        <v>179</v>
      </c>
      <c r="R75" s="74"/>
      <c r="S75" s="74"/>
      <c r="T75" s="74"/>
      <c r="U75" s="74" t="str">
        <f t="shared" si="7"/>
        <v>p-dtg-zkp03-nic</v>
      </c>
      <c r="V75" s="74" t="b">
        <v>1</v>
      </c>
      <c r="W75" s="74" t="b">
        <v>1</v>
      </c>
      <c r="X75" s="74" t="s">
        <v>323</v>
      </c>
      <c r="Y75" s="74" t="s">
        <v>238</v>
      </c>
      <c r="Z75" s="74" t="s">
        <v>257</v>
      </c>
      <c r="AA75" s="74" t="b">
        <v>1</v>
      </c>
      <c r="AB75" s="74" t="s">
        <v>323</v>
      </c>
      <c r="AC75" s="74" t="s">
        <v>324</v>
      </c>
      <c r="AD75" s="80">
        <v>3</v>
      </c>
      <c r="AE75" s="74"/>
      <c r="AF75" s="74"/>
    </row>
    <row r="76" spans="1:32" x14ac:dyDescent="0.3">
      <c r="A76" s="90"/>
      <c r="B76" s="74" t="s">
        <v>23</v>
      </c>
      <c r="C76" s="95" t="str" cm="1">
        <f t="array" ref="C76">UPPER(INDEX(_xlfn.TEXTSPLIT($F76, "-"), 3))</f>
        <v>DTG</v>
      </c>
      <c r="D76" s="80" t="s">
        <v>319</v>
      </c>
      <c r="E76" s="74" t="s">
        <v>24</v>
      </c>
      <c r="F76" s="74" t="s">
        <v>422</v>
      </c>
      <c r="G76" s="80" t="s">
        <v>554</v>
      </c>
      <c r="H76" s="80" t="s">
        <v>610</v>
      </c>
      <c r="I76" s="80">
        <v>4</v>
      </c>
      <c r="J76" s="80">
        <v>8</v>
      </c>
      <c r="K76" s="74" t="s">
        <v>180</v>
      </c>
      <c r="L76" s="74" t="s">
        <v>224</v>
      </c>
      <c r="M76" s="80" t="s">
        <v>619</v>
      </c>
      <c r="N76" s="98" t="s">
        <v>1041</v>
      </c>
      <c r="O76" s="74" t="str">
        <f t="shared" si="6"/>
        <v>p-dtg-zkp04-osdisk</v>
      </c>
      <c r="P76" s="97">
        <v>64</v>
      </c>
      <c r="Q76" s="74" t="s">
        <v>179</v>
      </c>
      <c r="R76" s="74"/>
      <c r="S76" s="74"/>
      <c r="T76" s="74"/>
      <c r="U76" s="74" t="str">
        <f t="shared" si="7"/>
        <v>p-dtg-zkp04-nic</v>
      </c>
      <c r="V76" s="74" t="b">
        <v>1</v>
      </c>
      <c r="W76" s="74" t="b">
        <v>1</v>
      </c>
      <c r="X76" s="74" t="s">
        <v>323</v>
      </c>
      <c r="Y76" s="74" t="s">
        <v>238</v>
      </c>
      <c r="Z76" s="74" t="s">
        <v>257</v>
      </c>
      <c r="AA76" s="74" t="b">
        <v>1</v>
      </c>
      <c r="AB76" s="74" t="s">
        <v>323</v>
      </c>
      <c r="AC76" s="74" t="s">
        <v>324</v>
      </c>
      <c r="AD76" s="80">
        <v>1</v>
      </c>
      <c r="AE76" s="74"/>
      <c r="AF76" s="74"/>
    </row>
    <row r="77" spans="1:32" x14ac:dyDescent="0.3">
      <c r="A77" s="90"/>
      <c r="B77" s="74" t="s">
        <v>23</v>
      </c>
      <c r="C77" s="95" t="str" cm="1">
        <f t="array" ref="C77">UPPER(INDEX(_xlfn.TEXTSPLIT($F77, "-"), 3))</f>
        <v>DTG</v>
      </c>
      <c r="D77" s="80" t="s">
        <v>319</v>
      </c>
      <c r="E77" s="74" t="s">
        <v>24</v>
      </c>
      <c r="F77" s="74" t="s">
        <v>423</v>
      </c>
      <c r="G77" s="80" t="s">
        <v>555</v>
      </c>
      <c r="H77" s="80" t="s">
        <v>610</v>
      </c>
      <c r="I77" s="80">
        <v>4</v>
      </c>
      <c r="J77" s="80">
        <v>8</v>
      </c>
      <c r="K77" s="74" t="s">
        <v>180</v>
      </c>
      <c r="L77" s="74" t="s">
        <v>224</v>
      </c>
      <c r="M77" s="80" t="s">
        <v>619</v>
      </c>
      <c r="N77" s="98" t="s">
        <v>1041</v>
      </c>
      <c r="O77" s="74" t="str">
        <f t="shared" si="6"/>
        <v>p-dtg-zkp05-osdisk</v>
      </c>
      <c r="P77" s="97">
        <v>64</v>
      </c>
      <c r="Q77" s="74" t="s">
        <v>179</v>
      </c>
      <c r="R77" s="74"/>
      <c r="S77" s="74"/>
      <c r="T77" s="74"/>
      <c r="U77" s="74" t="str">
        <f t="shared" si="7"/>
        <v>p-dtg-zkp05-nic</v>
      </c>
      <c r="V77" s="74" t="b">
        <v>1</v>
      </c>
      <c r="W77" s="74" t="b">
        <v>1</v>
      </c>
      <c r="X77" s="74" t="s">
        <v>323</v>
      </c>
      <c r="Y77" s="74" t="s">
        <v>238</v>
      </c>
      <c r="Z77" s="74" t="s">
        <v>257</v>
      </c>
      <c r="AA77" s="74" t="b">
        <v>1</v>
      </c>
      <c r="AB77" s="74" t="s">
        <v>323</v>
      </c>
      <c r="AC77" s="74" t="s">
        <v>324</v>
      </c>
      <c r="AD77" s="80">
        <v>2</v>
      </c>
      <c r="AE77" s="74"/>
      <c r="AF77" s="74"/>
    </row>
    <row r="78" spans="1:32" x14ac:dyDescent="0.3">
      <c r="A78" s="90"/>
      <c r="B78" s="74" t="s">
        <v>23</v>
      </c>
      <c r="C78" s="95" t="str" cm="1">
        <f t="array" ref="C78">UPPER(INDEX(_xlfn.TEXTSPLIT($F78, "-"), 3))</f>
        <v>DTG</v>
      </c>
      <c r="D78" s="80" t="s">
        <v>319</v>
      </c>
      <c r="E78" s="74" t="s">
        <v>24</v>
      </c>
      <c r="F78" s="74" t="s">
        <v>424</v>
      </c>
      <c r="G78" s="80" t="s">
        <v>556</v>
      </c>
      <c r="H78" s="80" t="s">
        <v>616</v>
      </c>
      <c r="I78" s="80">
        <v>8</v>
      </c>
      <c r="J78" s="80">
        <v>64</v>
      </c>
      <c r="K78" s="74" t="s">
        <v>180</v>
      </c>
      <c r="L78" s="74" t="s">
        <v>224</v>
      </c>
      <c r="M78" s="80" t="s">
        <v>619</v>
      </c>
      <c r="N78" s="98" t="s">
        <v>1041</v>
      </c>
      <c r="O78" s="74" t="str">
        <f t="shared" si="6"/>
        <v>p-dtg-kfk01-osdisk</v>
      </c>
      <c r="P78" s="97">
        <v>64</v>
      </c>
      <c r="Q78" s="74" t="s">
        <v>179</v>
      </c>
      <c r="R78" s="74"/>
      <c r="S78" s="74"/>
      <c r="T78" s="74"/>
      <c r="U78" s="74" t="str">
        <f t="shared" si="7"/>
        <v>p-dtg-kfk01-nic</v>
      </c>
      <c r="V78" s="74" t="b">
        <v>1</v>
      </c>
      <c r="W78" s="74" t="b">
        <v>1</v>
      </c>
      <c r="X78" s="74" t="s">
        <v>323</v>
      </c>
      <c r="Y78" s="74" t="s">
        <v>238</v>
      </c>
      <c r="Z78" s="74" t="s">
        <v>257</v>
      </c>
      <c r="AA78" s="74" t="b">
        <v>1</v>
      </c>
      <c r="AB78" s="74" t="s">
        <v>323</v>
      </c>
      <c r="AC78" s="74" t="s">
        <v>324</v>
      </c>
      <c r="AD78" s="80">
        <v>1</v>
      </c>
      <c r="AE78" s="74"/>
      <c r="AF78" s="74"/>
    </row>
    <row r="79" spans="1:32" x14ac:dyDescent="0.3">
      <c r="A79" s="90"/>
      <c r="B79" s="74" t="s">
        <v>23</v>
      </c>
      <c r="C79" s="95" t="str" cm="1">
        <f t="array" ref="C79">UPPER(INDEX(_xlfn.TEXTSPLIT($F79, "-"), 3))</f>
        <v>DTG</v>
      </c>
      <c r="D79" s="80" t="s">
        <v>319</v>
      </c>
      <c r="E79" s="74" t="s">
        <v>24</v>
      </c>
      <c r="F79" s="74" t="s">
        <v>425</v>
      </c>
      <c r="G79" s="80" t="s">
        <v>557</v>
      </c>
      <c r="H79" s="80" t="s">
        <v>616</v>
      </c>
      <c r="I79" s="80">
        <v>8</v>
      </c>
      <c r="J79" s="80">
        <v>64</v>
      </c>
      <c r="K79" s="74" t="s">
        <v>180</v>
      </c>
      <c r="L79" s="74" t="s">
        <v>224</v>
      </c>
      <c r="M79" s="80" t="s">
        <v>619</v>
      </c>
      <c r="N79" s="98" t="s">
        <v>1041</v>
      </c>
      <c r="O79" s="74" t="str">
        <f t="shared" si="6"/>
        <v>p-dtg-kfk02-osdisk</v>
      </c>
      <c r="P79" s="97">
        <v>64</v>
      </c>
      <c r="Q79" s="74" t="s">
        <v>179</v>
      </c>
      <c r="R79" s="74"/>
      <c r="S79" s="74"/>
      <c r="T79" s="74"/>
      <c r="U79" s="74" t="str">
        <f t="shared" si="7"/>
        <v>p-dtg-kfk02-nic</v>
      </c>
      <c r="V79" s="74" t="b">
        <v>1</v>
      </c>
      <c r="W79" s="74" t="b">
        <v>1</v>
      </c>
      <c r="X79" s="74" t="s">
        <v>323</v>
      </c>
      <c r="Y79" s="74" t="s">
        <v>238</v>
      </c>
      <c r="Z79" s="74" t="s">
        <v>257</v>
      </c>
      <c r="AA79" s="74" t="b">
        <v>1</v>
      </c>
      <c r="AB79" s="74" t="s">
        <v>323</v>
      </c>
      <c r="AC79" s="74" t="s">
        <v>324</v>
      </c>
      <c r="AD79" s="80">
        <v>2</v>
      </c>
      <c r="AE79" s="74"/>
      <c r="AF79" s="74"/>
    </row>
    <row r="80" spans="1:32" x14ac:dyDescent="0.3">
      <c r="A80" s="90"/>
      <c r="B80" s="74" t="s">
        <v>23</v>
      </c>
      <c r="C80" s="95" t="str" cm="1">
        <f t="array" ref="C80">UPPER(INDEX(_xlfn.TEXTSPLIT($F80, "-"), 3))</f>
        <v>DTG</v>
      </c>
      <c r="D80" s="80" t="s">
        <v>319</v>
      </c>
      <c r="E80" s="74" t="s">
        <v>24</v>
      </c>
      <c r="F80" s="74" t="s">
        <v>426</v>
      </c>
      <c r="G80" s="80" t="s">
        <v>558</v>
      </c>
      <c r="H80" s="80" t="s">
        <v>616</v>
      </c>
      <c r="I80" s="80">
        <v>8</v>
      </c>
      <c r="J80" s="80">
        <v>64</v>
      </c>
      <c r="K80" s="74" t="s">
        <v>180</v>
      </c>
      <c r="L80" s="74" t="s">
        <v>224</v>
      </c>
      <c r="M80" s="80" t="s">
        <v>619</v>
      </c>
      <c r="N80" s="98" t="s">
        <v>1041</v>
      </c>
      <c r="O80" s="74" t="str">
        <f t="shared" si="6"/>
        <v>p-dtg-kfk03-osdisk</v>
      </c>
      <c r="P80" s="97">
        <v>64</v>
      </c>
      <c r="Q80" s="74" t="s">
        <v>179</v>
      </c>
      <c r="R80" s="74"/>
      <c r="S80" s="74"/>
      <c r="T80" s="74"/>
      <c r="U80" s="74" t="str">
        <f t="shared" si="7"/>
        <v>p-dtg-kfk03-nic</v>
      </c>
      <c r="V80" s="74" t="b">
        <v>1</v>
      </c>
      <c r="W80" s="74" t="b">
        <v>1</v>
      </c>
      <c r="X80" s="74" t="s">
        <v>323</v>
      </c>
      <c r="Y80" s="74" t="s">
        <v>238</v>
      </c>
      <c r="Z80" s="74" t="s">
        <v>257</v>
      </c>
      <c r="AA80" s="74" t="b">
        <v>1</v>
      </c>
      <c r="AB80" s="74" t="s">
        <v>323</v>
      </c>
      <c r="AC80" s="74" t="s">
        <v>324</v>
      </c>
      <c r="AD80" s="80">
        <v>3</v>
      </c>
      <c r="AE80" s="74"/>
      <c r="AF80" s="74"/>
    </row>
    <row r="81" spans="1:32" x14ac:dyDescent="0.3">
      <c r="A81" s="90"/>
      <c r="B81" s="74" t="s">
        <v>23</v>
      </c>
      <c r="C81" s="95" t="str" cm="1">
        <f t="array" ref="C81">UPPER(INDEX(_xlfn.TEXTSPLIT($F81, "-"), 3))</f>
        <v>DTG</v>
      </c>
      <c r="D81" s="80" t="s">
        <v>319</v>
      </c>
      <c r="E81" s="74" t="s">
        <v>24</v>
      </c>
      <c r="F81" s="74" t="s">
        <v>427</v>
      </c>
      <c r="G81" s="80" t="s">
        <v>559</v>
      </c>
      <c r="H81" s="80" t="s">
        <v>616</v>
      </c>
      <c r="I81" s="80">
        <v>8</v>
      </c>
      <c r="J81" s="80">
        <v>64</v>
      </c>
      <c r="K81" s="74" t="s">
        <v>180</v>
      </c>
      <c r="L81" s="74" t="s">
        <v>224</v>
      </c>
      <c r="M81" s="80" t="s">
        <v>619</v>
      </c>
      <c r="N81" s="98" t="s">
        <v>1041</v>
      </c>
      <c r="O81" s="74" t="str">
        <f t="shared" si="6"/>
        <v>p-dtg-kfk04-osdisk</v>
      </c>
      <c r="P81" s="97">
        <v>64</v>
      </c>
      <c r="Q81" s="74" t="s">
        <v>179</v>
      </c>
      <c r="R81" s="74"/>
      <c r="S81" s="74"/>
      <c r="T81" s="74"/>
      <c r="U81" s="74" t="str">
        <f t="shared" si="7"/>
        <v>p-dtg-kfk04-nic</v>
      </c>
      <c r="V81" s="74" t="b">
        <v>1</v>
      </c>
      <c r="W81" s="74" t="b">
        <v>1</v>
      </c>
      <c r="X81" s="74" t="s">
        <v>323</v>
      </c>
      <c r="Y81" s="74" t="s">
        <v>238</v>
      </c>
      <c r="Z81" s="74" t="s">
        <v>257</v>
      </c>
      <c r="AA81" s="74" t="b">
        <v>1</v>
      </c>
      <c r="AB81" s="74" t="s">
        <v>323</v>
      </c>
      <c r="AC81" s="74" t="s">
        <v>324</v>
      </c>
      <c r="AD81" s="80">
        <v>1</v>
      </c>
      <c r="AE81" s="74"/>
      <c r="AF81" s="74"/>
    </row>
    <row r="82" spans="1:32" x14ac:dyDescent="0.3">
      <c r="A82" s="90"/>
      <c r="B82" s="74" t="s">
        <v>23</v>
      </c>
      <c r="C82" s="95" t="str" cm="1">
        <f t="array" ref="C82">UPPER(INDEX(_xlfn.TEXTSPLIT($F82, "-"), 3))</f>
        <v>DTG</v>
      </c>
      <c r="D82" s="80" t="s">
        <v>319</v>
      </c>
      <c r="E82" s="74" t="s">
        <v>24</v>
      </c>
      <c r="F82" s="74" t="s">
        <v>428</v>
      </c>
      <c r="G82" s="80" t="s">
        <v>560</v>
      </c>
      <c r="H82" s="80" t="s">
        <v>616</v>
      </c>
      <c r="I82" s="80">
        <v>8</v>
      </c>
      <c r="J82" s="80">
        <v>64</v>
      </c>
      <c r="K82" s="74" t="s">
        <v>180</v>
      </c>
      <c r="L82" s="74" t="s">
        <v>224</v>
      </c>
      <c r="M82" s="80" t="s">
        <v>619</v>
      </c>
      <c r="N82" s="98" t="s">
        <v>1041</v>
      </c>
      <c r="O82" s="74" t="str">
        <f t="shared" si="6"/>
        <v>p-dtg-kfk05-osdisk</v>
      </c>
      <c r="P82" s="97">
        <v>64</v>
      </c>
      <c r="Q82" s="74" t="s">
        <v>179</v>
      </c>
      <c r="R82" s="74"/>
      <c r="S82" s="74"/>
      <c r="T82" s="74"/>
      <c r="U82" s="74" t="str">
        <f t="shared" si="7"/>
        <v>p-dtg-kfk05-nic</v>
      </c>
      <c r="V82" s="74" t="b">
        <v>1</v>
      </c>
      <c r="W82" s="74" t="b">
        <v>1</v>
      </c>
      <c r="X82" s="74" t="s">
        <v>323</v>
      </c>
      <c r="Y82" s="74" t="s">
        <v>238</v>
      </c>
      <c r="Z82" s="74" t="s">
        <v>257</v>
      </c>
      <c r="AA82" s="74" t="b">
        <v>1</v>
      </c>
      <c r="AB82" s="74" t="s">
        <v>323</v>
      </c>
      <c r="AC82" s="74" t="s">
        <v>324</v>
      </c>
      <c r="AD82" s="80">
        <v>2</v>
      </c>
      <c r="AE82" s="74"/>
      <c r="AF82" s="74"/>
    </row>
    <row r="83" spans="1:32" x14ac:dyDescent="0.3">
      <c r="A83" s="90"/>
      <c r="B83" s="74" t="s">
        <v>23</v>
      </c>
      <c r="C83" s="95" t="str" cm="1">
        <f t="array" ref="C83">UPPER(INDEX(_xlfn.TEXTSPLIT($F83, "-"), 3))</f>
        <v>DTG</v>
      </c>
      <c r="D83" s="80" t="s">
        <v>319</v>
      </c>
      <c r="E83" s="74" t="s">
        <v>24</v>
      </c>
      <c r="F83" s="74" t="s">
        <v>429</v>
      </c>
      <c r="G83" s="80" t="s">
        <v>561</v>
      </c>
      <c r="H83" s="80" t="s">
        <v>609</v>
      </c>
      <c r="I83" s="80">
        <v>2</v>
      </c>
      <c r="J83" s="80">
        <v>8</v>
      </c>
      <c r="K83" s="74" t="s">
        <v>180</v>
      </c>
      <c r="L83" s="74" t="s">
        <v>224</v>
      </c>
      <c r="M83" s="80" t="s">
        <v>619</v>
      </c>
      <c r="N83" s="98" t="s">
        <v>1042</v>
      </c>
      <c r="O83" s="74" t="str">
        <f t="shared" si="6"/>
        <v>p-dtg-mdoms01-osdisk</v>
      </c>
      <c r="P83" s="97">
        <v>64</v>
      </c>
      <c r="Q83" s="74" t="s">
        <v>179</v>
      </c>
      <c r="R83" s="74"/>
      <c r="S83" s="74"/>
      <c r="T83" s="74"/>
      <c r="U83" s="74" t="str">
        <f t="shared" si="7"/>
        <v>p-dtg-mdoms01-nic</v>
      </c>
      <c r="V83" s="74" t="b">
        <v>1</v>
      </c>
      <c r="W83" s="74" t="b">
        <v>1</v>
      </c>
      <c r="X83" s="74" t="s">
        <v>323</v>
      </c>
      <c r="Y83" s="74" t="s">
        <v>238</v>
      </c>
      <c r="Z83" s="74" t="s">
        <v>257</v>
      </c>
      <c r="AA83" s="74" t="b">
        <v>1</v>
      </c>
      <c r="AB83" s="74" t="s">
        <v>323</v>
      </c>
      <c r="AC83" s="74" t="s">
        <v>324</v>
      </c>
      <c r="AD83" s="80">
        <v>1</v>
      </c>
      <c r="AE83" s="74"/>
      <c r="AF83" s="74"/>
    </row>
    <row r="84" spans="1:32" x14ac:dyDescent="0.3">
      <c r="A84" s="90"/>
      <c r="B84" s="74" t="s">
        <v>23</v>
      </c>
      <c r="C84" s="95" t="str" cm="1">
        <f t="array" ref="C84">UPPER(INDEX(_xlfn.TEXTSPLIT($F84, "-"), 3))</f>
        <v>DTG</v>
      </c>
      <c r="D84" s="80" t="s">
        <v>319</v>
      </c>
      <c r="E84" s="74" t="s">
        <v>24</v>
      </c>
      <c r="F84" s="74" t="s">
        <v>430</v>
      </c>
      <c r="G84" s="80" t="s">
        <v>562</v>
      </c>
      <c r="H84" s="80" t="s">
        <v>617</v>
      </c>
      <c r="I84" s="80">
        <v>16</v>
      </c>
      <c r="J84" s="80">
        <v>32</v>
      </c>
      <c r="K84" s="74" t="s">
        <v>180</v>
      </c>
      <c r="L84" s="74" t="s">
        <v>224</v>
      </c>
      <c r="M84" s="80" t="s">
        <v>619</v>
      </c>
      <c r="N84" s="98" t="s">
        <v>1041</v>
      </c>
      <c r="O84" s="74" t="str">
        <f t="shared" si="6"/>
        <v>p-dtg-cdmlap01-osdisk</v>
      </c>
      <c r="P84" s="97">
        <v>64</v>
      </c>
      <c r="Q84" s="74" t="s">
        <v>179</v>
      </c>
      <c r="R84" s="74"/>
      <c r="S84" s="74"/>
      <c r="T84" s="74"/>
      <c r="U84" s="74" t="str">
        <f t="shared" si="7"/>
        <v>p-dtg-cdmlap01-nic</v>
      </c>
      <c r="V84" s="74" t="b">
        <v>1</v>
      </c>
      <c r="W84" s="74" t="b">
        <v>1</v>
      </c>
      <c r="X84" s="74" t="s">
        <v>323</v>
      </c>
      <c r="Y84" s="74" t="s">
        <v>238</v>
      </c>
      <c r="Z84" s="74" t="s">
        <v>257</v>
      </c>
      <c r="AA84" s="74" t="b">
        <v>1</v>
      </c>
      <c r="AB84" s="74" t="s">
        <v>323</v>
      </c>
      <c r="AC84" s="74" t="s">
        <v>324</v>
      </c>
      <c r="AD84" s="80">
        <v>1</v>
      </c>
      <c r="AE84" s="74"/>
      <c r="AF84" s="74"/>
    </row>
    <row r="85" spans="1:32" x14ac:dyDescent="0.3">
      <c r="A85" s="90"/>
      <c r="B85" s="74" t="s">
        <v>23</v>
      </c>
      <c r="C85" s="95" t="str" cm="1">
        <f t="array" ref="C85">UPPER(INDEX(_xlfn.TEXTSPLIT($F85, "-"), 3))</f>
        <v>DTG</v>
      </c>
      <c r="D85" s="80" t="s">
        <v>319</v>
      </c>
      <c r="E85" s="74" t="s">
        <v>24</v>
      </c>
      <c r="F85" s="74" t="s">
        <v>431</v>
      </c>
      <c r="G85" s="80" t="s">
        <v>1057</v>
      </c>
      <c r="H85" s="80" t="s">
        <v>617</v>
      </c>
      <c r="I85" s="80">
        <v>16</v>
      </c>
      <c r="J85" s="80">
        <v>32</v>
      </c>
      <c r="K85" s="74" t="s">
        <v>180</v>
      </c>
      <c r="L85" s="74" t="s">
        <v>224</v>
      </c>
      <c r="M85" s="80" t="s">
        <v>619</v>
      </c>
      <c r="N85" s="98" t="s">
        <v>1041</v>
      </c>
      <c r="O85" s="74" t="str">
        <f t="shared" si="6"/>
        <v>p-dtg-cdmlap02-osdisk</v>
      </c>
      <c r="P85" s="97">
        <v>64</v>
      </c>
      <c r="Q85" s="74" t="s">
        <v>179</v>
      </c>
      <c r="R85" s="74"/>
      <c r="S85" s="74"/>
      <c r="T85" s="74"/>
      <c r="U85" s="74" t="str">
        <f t="shared" si="7"/>
        <v>p-dtg-cdmlap02-nic</v>
      </c>
      <c r="V85" s="74" t="b">
        <v>1</v>
      </c>
      <c r="W85" s="74" t="b">
        <v>1</v>
      </c>
      <c r="X85" s="74" t="s">
        <v>323</v>
      </c>
      <c r="Y85" s="74" t="s">
        <v>238</v>
      </c>
      <c r="Z85" s="74" t="s">
        <v>257</v>
      </c>
      <c r="AA85" s="74" t="b">
        <v>1</v>
      </c>
      <c r="AB85" s="74" t="s">
        <v>323</v>
      </c>
      <c r="AC85" s="74" t="s">
        <v>324</v>
      </c>
      <c r="AD85" s="80">
        <v>2</v>
      </c>
      <c r="AE85" s="74"/>
      <c r="AF85" s="74"/>
    </row>
    <row r="86" spans="1:32" x14ac:dyDescent="0.3">
      <c r="A86" s="90"/>
      <c r="B86" s="74" t="s">
        <v>23</v>
      </c>
      <c r="C86" s="95" t="str" cm="1">
        <f t="array" ref="C86">UPPER(INDEX(_xlfn.TEXTSPLIT($F86, "-"), 3))</f>
        <v>DTG</v>
      </c>
      <c r="D86" s="80" t="s">
        <v>319</v>
      </c>
      <c r="E86" s="74" t="s">
        <v>24</v>
      </c>
      <c r="F86" s="74" t="s">
        <v>432</v>
      </c>
      <c r="G86" s="80" t="s">
        <v>563</v>
      </c>
      <c r="H86" s="80" t="s">
        <v>617</v>
      </c>
      <c r="I86" s="80">
        <v>16</v>
      </c>
      <c r="J86" s="80">
        <v>32</v>
      </c>
      <c r="K86" s="74" t="s">
        <v>180</v>
      </c>
      <c r="L86" s="74" t="s">
        <v>224</v>
      </c>
      <c r="M86" s="80" t="s">
        <v>619</v>
      </c>
      <c r="N86" s="98" t="s">
        <v>1041</v>
      </c>
      <c r="O86" s="74" t="str">
        <f t="shared" si="6"/>
        <v>p-dtg-cdmlap03-osdisk</v>
      </c>
      <c r="P86" s="97">
        <v>64</v>
      </c>
      <c r="Q86" s="74" t="s">
        <v>179</v>
      </c>
      <c r="R86" s="74"/>
      <c r="S86" s="74"/>
      <c r="T86" s="74"/>
      <c r="U86" s="74" t="str">
        <f t="shared" si="7"/>
        <v>p-dtg-cdmlap03-nic</v>
      </c>
      <c r="V86" s="74" t="b">
        <v>1</v>
      </c>
      <c r="W86" s="74" t="b">
        <v>1</v>
      </c>
      <c r="X86" s="74" t="s">
        <v>323</v>
      </c>
      <c r="Y86" s="74" t="s">
        <v>238</v>
      </c>
      <c r="Z86" s="74" t="s">
        <v>257</v>
      </c>
      <c r="AA86" s="74" t="b">
        <v>1</v>
      </c>
      <c r="AB86" s="74" t="s">
        <v>323</v>
      </c>
      <c r="AC86" s="74" t="s">
        <v>324</v>
      </c>
      <c r="AD86" s="80">
        <v>3</v>
      </c>
      <c r="AE86" s="74"/>
      <c r="AF86" s="74"/>
    </row>
    <row r="87" spans="1:32" x14ac:dyDescent="0.3">
      <c r="A87" s="90"/>
      <c r="B87" s="74" t="s">
        <v>23</v>
      </c>
      <c r="C87" s="95" t="str" cm="1">
        <f t="array" ref="C87">UPPER(INDEX(_xlfn.TEXTSPLIT($F87, "-"), 3))</f>
        <v>DTG</v>
      </c>
      <c r="D87" s="80" t="s">
        <v>319</v>
      </c>
      <c r="E87" s="74" t="s">
        <v>24</v>
      </c>
      <c r="F87" s="74" t="s">
        <v>433</v>
      </c>
      <c r="G87" s="80" t="s">
        <v>564</v>
      </c>
      <c r="H87" s="80" t="s">
        <v>611</v>
      </c>
      <c r="I87" s="80">
        <v>8</v>
      </c>
      <c r="J87" s="80">
        <v>16</v>
      </c>
      <c r="K87" s="74" t="s">
        <v>180</v>
      </c>
      <c r="L87" s="74" t="s">
        <v>224</v>
      </c>
      <c r="M87" s="80" t="s">
        <v>619</v>
      </c>
      <c r="N87" s="98" t="s">
        <v>1041</v>
      </c>
      <c r="O87" s="74" t="str">
        <f t="shared" si="6"/>
        <v>p-dtg-cdstap01-osdisk</v>
      </c>
      <c r="P87" s="97">
        <v>64</v>
      </c>
      <c r="Q87" s="74" t="s">
        <v>179</v>
      </c>
      <c r="R87" s="74"/>
      <c r="S87" s="74"/>
      <c r="T87" s="74"/>
      <c r="U87" s="74" t="str">
        <f t="shared" si="7"/>
        <v>p-dtg-cdstap01-nic</v>
      </c>
      <c r="V87" s="74" t="b">
        <v>1</v>
      </c>
      <c r="W87" s="74" t="b">
        <v>1</v>
      </c>
      <c r="X87" s="74" t="s">
        <v>323</v>
      </c>
      <c r="Y87" s="74" t="s">
        <v>238</v>
      </c>
      <c r="Z87" s="74" t="s">
        <v>257</v>
      </c>
      <c r="AA87" s="74" t="b">
        <v>1</v>
      </c>
      <c r="AB87" s="74" t="s">
        <v>323</v>
      </c>
      <c r="AC87" s="74" t="s">
        <v>324</v>
      </c>
      <c r="AD87" s="80">
        <v>1</v>
      </c>
      <c r="AE87" s="74"/>
      <c r="AF87" s="74"/>
    </row>
    <row r="88" spans="1:32" x14ac:dyDescent="0.3">
      <c r="A88" s="90"/>
      <c r="B88" s="74" t="s">
        <v>23</v>
      </c>
      <c r="C88" s="95" t="str" cm="1">
        <f t="array" ref="C88">UPPER(INDEX(_xlfn.TEXTSPLIT($F88, "-"), 3))</f>
        <v>DTG</v>
      </c>
      <c r="D88" s="80" t="s">
        <v>319</v>
      </c>
      <c r="E88" s="74" t="s">
        <v>24</v>
      </c>
      <c r="F88" s="74" t="s">
        <v>434</v>
      </c>
      <c r="G88" s="80" t="s">
        <v>565</v>
      </c>
      <c r="H88" s="80" t="s">
        <v>611</v>
      </c>
      <c r="I88" s="80">
        <v>8</v>
      </c>
      <c r="J88" s="80">
        <v>16</v>
      </c>
      <c r="K88" s="74" t="s">
        <v>180</v>
      </c>
      <c r="L88" s="74" t="s">
        <v>224</v>
      </c>
      <c r="M88" s="80" t="s">
        <v>619</v>
      </c>
      <c r="N88" s="98" t="s">
        <v>1041</v>
      </c>
      <c r="O88" s="74" t="str">
        <f t="shared" si="6"/>
        <v>p-dtg-cdstap02-osdisk</v>
      </c>
      <c r="P88" s="97">
        <v>64</v>
      </c>
      <c r="Q88" s="74" t="s">
        <v>179</v>
      </c>
      <c r="R88" s="74"/>
      <c r="S88" s="74"/>
      <c r="T88" s="74"/>
      <c r="U88" s="74" t="str">
        <f t="shared" si="7"/>
        <v>p-dtg-cdstap02-nic</v>
      </c>
      <c r="V88" s="74" t="b">
        <v>1</v>
      </c>
      <c r="W88" s="74" t="b">
        <v>1</v>
      </c>
      <c r="X88" s="74" t="s">
        <v>323</v>
      </c>
      <c r="Y88" s="74" t="s">
        <v>238</v>
      </c>
      <c r="Z88" s="74" t="s">
        <v>257</v>
      </c>
      <c r="AA88" s="74" t="b">
        <v>1</v>
      </c>
      <c r="AB88" s="74" t="s">
        <v>323</v>
      </c>
      <c r="AC88" s="74" t="s">
        <v>324</v>
      </c>
      <c r="AD88" s="80">
        <v>2</v>
      </c>
      <c r="AE88" s="74"/>
      <c r="AF88" s="74"/>
    </row>
    <row r="89" spans="1:32" x14ac:dyDescent="0.3">
      <c r="A89" s="90"/>
      <c r="B89" s="74" t="s">
        <v>23</v>
      </c>
      <c r="C89" s="95" t="str" cm="1">
        <f t="array" ref="C89">UPPER(INDEX(_xlfn.TEXTSPLIT($F89, "-"), 3))</f>
        <v>DTG</v>
      </c>
      <c r="D89" s="80" t="s">
        <v>319</v>
      </c>
      <c r="E89" s="74" t="s">
        <v>24</v>
      </c>
      <c r="F89" s="74" t="s">
        <v>435</v>
      </c>
      <c r="G89" s="80" t="s">
        <v>566</v>
      </c>
      <c r="H89" s="80" t="s">
        <v>611</v>
      </c>
      <c r="I89" s="80">
        <v>8</v>
      </c>
      <c r="J89" s="80">
        <v>16</v>
      </c>
      <c r="K89" s="74" t="s">
        <v>180</v>
      </c>
      <c r="L89" s="74" t="s">
        <v>224</v>
      </c>
      <c r="M89" s="80" t="s">
        <v>619</v>
      </c>
      <c r="N89" s="98" t="s">
        <v>1041</v>
      </c>
      <c r="O89" s="74" t="str">
        <f t="shared" si="6"/>
        <v>p-dtg-cdstap03-osdisk</v>
      </c>
      <c r="P89" s="97">
        <v>64</v>
      </c>
      <c r="Q89" s="74" t="s">
        <v>179</v>
      </c>
      <c r="R89" s="74"/>
      <c r="S89" s="74"/>
      <c r="T89" s="74"/>
      <c r="U89" s="74" t="str">
        <f t="shared" si="7"/>
        <v>p-dtg-cdstap03-nic</v>
      </c>
      <c r="V89" s="74" t="b">
        <v>1</v>
      </c>
      <c r="W89" s="74" t="b">
        <v>1</v>
      </c>
      <c r="X89" s="74" t="s">
        <v>323</v>
      </c>
      <c r="Y89" s="74" t="s">
        <v>238</v>
      </c>
      <c r="Z89" s="74" t="s">
        <v>257</v>
      </c>
      <c r="AA89" s="74" t="b">
        <v>1</v>
      </c>
      <c r="AB89" s="74" t="s">
        <v>323</v>
      </c>
      <c r="AC89" s="74" t="s">
        <v>324</v>
      </c>
      <c r="AD89" s="80">
        <v>3</v>
      </c>
      <c r="AE89" s="74"/>
      <c r="AF89" s="74"/>
    </row>
    <row r="90" spans="1:32" x14ac:dyDescent="0.3">
      <c r="A90" s="90"/>
      <c r="B90" s="74" t="s">
        <v>23</v>
      </c>
      <c r="C90" s="95" t="str" cm="1">
        <f t="array" ref="C90">UPPER(INDEX(_xlfn.TEXTSPLIT($F90, "-"), 3))</f>
        <v>DTG</v>
      </c>
      <c r="D90" s="80" t="s">
        <v>319</v>
      </c>
      <c r="E90" s="74" t="s">
        <v>24</v>
      </c>
      <c r="F90" s="74" t="s">
        <v>436</v>
      </c>
      <c r="G90" s="80" t="s">
        <v>567</v>
      </c>
      <c r="H90" s="80" t="s">
        <v>611</v>
      </c>
      <c r="I90" s="80">
        <v>8</v>
      </c>
      <c r="J90" s="80">
        <v>16</v>
      </c>
      <c r="K90" s="74" t="s">
        <v>180</v>
      </c>
      <c r="L90" s="74" t="s">
        <v>224</v>
      </c>
      <c r="M90" s="80" t="s">
        <v>619</v>
      </c>
      <c r="N90" s="98" t="s">
        <v>1041</v>
      </c>
      <c r="O90" s="74" t="str">
        <f t="shared" si="6"/>
        <v>p-dtg-cdstap04-osdisk</v>
      </c>
      <c r="P90" s="97">
        <v>64</v>
      </c>
      <c r="Q90" s="74" t="s">
        <v>179</v>
      </c>
      <c r="R90" s="74"/>
      <c r="S90" s="74"/>
      <c r="T90" s="74"/>
      <c r="U90" s="74" t="str">
        <f t="shared" si="7"/>
        <v>p-dtg-cdstap04-nic</v>
      </c>
      <c r="V90" s="74" t="b">
        <v>1</v>
      </c>
      <c r="W90" s="74" t="b">
        <v>1</v>
      </c>
      <c r="X90" s="74" t="s">
        <v>323</v>
      </c>
      <c r="Y90" s="74" t="s">
        <v>238</v>
      </c>
      <c r="Z90" s="74" t="s">
        <v>257</v>
      </c>
      <c r="AA90" s="74" t="b">
        <v>1</v>
      </c>
      <c r="AB90" s="74" t="s">
        <v>323</v>
      </c>
      <c r="AC90" s="74" t="s">
        <v>324</v>
      </c>
      <c r="AD90" s="80">
        <v>1</v>
      </c>
      <c r="AE90" s="74"/>
      <c r="AF90" s="74"/>
    </row>
    <row r="91" spans="1:32" x14ac:dyDescent="0.3">
      <c r="A91" s="90"/>
      <c r="B91" s="74" t="s">
        <v>23</v>
      </c>
      <c r="C91" s="95" t="str" cm="1">
        <f t="array" ref="C91">UPPER(INDEX(_xlfn.TEXTSPLIT($F91, "-"), 3))</f>
        <v>DTG</v>
      </c>
      <c r="D91" s="80" t="s">
        <v>319</v>
      </c>
      <c r="E91" s="74" t="s">
        <v>24</v>
      </c>
      <c r="F91" s="74" t="s">
        <v>437</v>
      </c>
      <c r="G91" s="80" t="s">
        <v>568</v>
      </c>
      <c r="H91" s="80" t="s">
        <v>611</v>
      </c>
      <c r="I91" s="80">
        <v>8</v>
      </c>
      <c r="J91" s="80">
        <v>16</v>
      </c>
      <c r="K91" s="74" t="s">
        <v>180</v>
      </c>
      <c r="L91" s="74" t="s">
        <v>224</v>
      </c>
      <c r="M91" s="80" t="s">
        <v>619</v>
      </c>
      <c r="N91" s="98" t="s">
        <v>1041</v>
      </c>
      <c r="O91" s="74" t="str">
        <f t="shared" si="6"/>
        <v>p-dtg-cdstap05-osdisk</v>
      </c>
      <c r="P91" s="97">
        <v>64</v>
      </c>
      <c r="Q91" s="74" t="s">
        <v>179</v>
      </c>
      <c r="R91" s="74"/>
      <c r="S91" s="74"/>
      <c r="T91" s="74"/>
      <c r="U91" s="74" t="str">
        <f t="shared" si="7"/>
        <v>p-dtg-cdstap05-nic</v>
      </c>
      <c r="V91" s="74" t="b">
        <v>1</v>
      </c>
      <c r="W91" s="74" t="b">
        <v>1</v>
      </c>
      <c r="X91" s="74" t="s">
        <v>323</v>
      </c>
      <c r="Y91" s="74" t="s">
        <v>238</v>
      </c>
      <c r="Z91" s="74" t="s">
        <v>257</v>
      </c>
      <c r="AA91" s="74" t="b">
        <v>1</v>
      </c>
      <c r="AB91" s="74" t="s">
        <v>323</v>
      </c>
      <c r="AC91" s="74" t="s">
        <v>324</v>
      </c>
      <c r="AD91" s="80">
        <v>2</v>
      </c>
      <c r="AE91" s="74"/>
      <c r="AF91" s="74"/>
    </row>
    <row r="92" spans="1:32" x14ac:dyDescent="0.3">
      <c r="A92" s="90"/>
      <c r="B92" s="74" t="s">
        <v>23</v>
      </c>
      <c r="C92" s="95" t="str" cm="1">
        <f t="array" ref="C92">UPPER(INDEX(_xlfn.TEXTSPLIT($F92, "-"), 3))</f>
        <v>DTG</v>
      </c>
      <c r="D92" s="80" t="s">
        <v>319</v>
      </c>
      <c r="E92" s="74" t="s">
        <v>24</v>
      </c>
      <c r="F92" s="74" t="s">
        <v>438</v>
      </c>
      <c r="G92" s="80" t="s">
        <v>569</v>
      </c>
      <c r="H92" s="80" t="s">
        <v>611</v>
      </c>
      <c r="I92" s="80">
        <v>8</v>
      </c>
      <c r="J92" s="80">
        <v>16</v>
      </c>
      <c r="K92" s="74" t="s">
        <v>180</v>
      </c>
      <c r="L92" s="74" t="s">
        <v>224</v>
      </c>
      <c r="M92" s="80" t="s">
        <v>619</v>
      </c>
      <c r="N92" s="98" t="s">
        <v>1041</v>
      </c>
      <c r="O92" s="74" t="str">
        <f t="shared" si="6"/>
        <v>p-dtg-cdstap06-osdisk</v>
      </c>
      <c r="P92" s="97">
        <v>64</v>
      </c>
      <c r="Q92" s="74" t="s">
        <v>179</v>
      </c>
      <c r="R92" s="74"/>
      <c r="S92" s="74"/>
      <c r="T92" s="74"/>
      <c r="U92" s="74" t="str">
        <f t="shared" si="7"/>
        <v>p-dtg-cdstap06-nic</v>
      </c>
      <c r="V92" s="74" t="b">
        <v>1</v>
      </c>
      <c r="W92" s="74" t="b">
        <v>1</v>
      </c>
      <c r="X92" s="74" t="s">
        <v>323</v>
      </c>
      <c r="Y92" s="74" t="s">
        <v>238</v>
      </c>
      <c r="Z92" s="74" t="s">
        <v>257</v>
      </c>
      <c r="AA92" s="74" t="b">
        <v>1</v>
      </c>
      <c r="AB92" s="74" t="s">
        <v>323</v>
      </c>
      <c r="AC92" s="74" t="s">
        <v>324</v>
      </c>
      <c r="AD92" s="80">
        <v>3</v>
      </c>
      <c r="AE92" s="74"/>
      <c r="AF92" s="74"/>
    </row>
    <row r="93" spans="1:32" x14ac:dyDescent="0.3">
      <c r="A93" s="90"/>
      <c r="B93" s="74" t="s">
        <v>23</v>
      </c>
      <c r="C93" s="95" t="str" cm="1">
        <f t="array" ref="C93">UPPER(INDEX(_xlfn.TEXTSPLIT($F93, "-"), 3))</f>
        <v>DTG</v>
      </c>
      <c r="D93" s="80" t="s">
        <v>319</v>
      </c>
      <c r="E93" s="74" t="s">
        <v>24</v>
      </c>
      <c r="F93" s="74" t="s">
        <v>439</v>
      </c>
      <c r="G93" s="80" t="s">
        <v>570</v>
      </c>
      <c r="H93" s="80" t="s">
        <v>612</v>
      </c>
      <c r="I93" s="80">
        <v>4</v>
      </c>
      <c r="J93" s="80">
        <v>16</v>
      </c>
      <c r="K93" s="74" t="s">
        <v>180</v>
      </c>
      <c r="L93" s="74" t="s">
        <v>224</v>
      </c>
      <c r="M93" s="80" t="s">
        <v>619</v>
      </c>
      <c r="N93" s="98" t="s">
        <v>1042</v>
      </c>
      <c r="O93" s="74" t="str">
        <f t="shared" si="6"/>
        <v>p-dtg-cdsvadm01-osdisk</v>
      </c>
      <c r="P93" s="97">
        <v>64</v>
      </c>
      <c r="Q93" s="74" t="s">
        <v>179</v>
      </c>
      <c r="R93" s="74"/>
      <c r="S93" s="74"/>
      <c r="T93" s="74"/>
      <c r="U93" s="74" t="str">
        <f t="shared" si="7"/>
        <v>p-dtg-cdsvadm01-nic</v>
      </c>
      <c r="V93" s="74" t="b">
        <v>1</v>
      </c>
      <c r="W93" s="74" t="b">
        <v>1</v>
      </c>
      <c r="X93" s="74" t="s">
        <v>323</v>
      </c>
      <c r="Y93" s="74" t="s">
        <v>238</v>
      </c>
      <c r="Z93" s="74" t="s">
        <v>257</v>
      </c>
      <c r="AA93" s="74" t="b">
        <v>1</v>
      </c>
      <c r="AB93" s="74" t="s">
        <v>323</v>
      </c>
      <c r="AC93" s="74" t="s">
        <v>324</v>
      </c>
      <c r="AD93" s="80">
        <v>1</v>
      </c>
      <c r="AE93" s="74"/>
      <c r="AF93" s="74"/>
    </row>
    <row r="94" spans="1:32" x14ac:dyDescent="0.3">
      <c r="A94" s="90"/>
      <c r="B94" s="74" t="s">
        <v>23</v>
      </c>
      <c r="C94" s="95" t="str" cm="1">
        <f t="array" ref="C94">UPPER(INDEX(_xlfn.TEXTSPLIT($F94, "-"), 3))</f>
        <v>DTG</v>
      </c>
      <c r="D94" s="80" t="s">
        <v>319</v>
      </c>
      <c r="E94" s="74" t="s">
        <v>24</v>
      </c>
      <c r="F94" s="74" t="s">
        <v>440</v>
      </c>
      <c r="G94" s="80" t="s">
        <v>571</v>
      </c>
      <c r="H94" s="80" t="s">
        <v>612</v>
      </c>
      <c r="I94" s="80">
        <v>4</v>
      </c>
      <c r="J94" s="80">
        <v>16</v>
      </c>
      <c r="K94" s="74" t="s">
        <v>180</v>
      </c>
      <c r="L94" s="74" t="s">
        <v>224</v>
      </c>
      <c r="M94" s="80" t="s">
        <v>619</v>
      </c>
      <c r="N94" s="98" t="s">
        <v>1042</v>
      </c>
      <c r="O94" s="74" t="str">
        <f t="shared" si="6"/>
        <v>p-dtg-cdsvadm02-osdisk</v>
      </c>
      <c r="P94" s="97">
        <v>64</v>
      </c>
      <c r="Q94" s="74" t="s">
        <v>179</v>
      </c>
      <c r="R94" s="74"/>
      <c r="S94" s="74"/>
      <c r="T94" s="74"/>
      <c r="U94" s="74" t="str">
        <f t="shared" si="7"/>
        <v>p-dtg-cdsvadm02-nic</v>
      </c>
      <c r="V94" s="74" t="b">
        <v>1</v>
      </c>
      <c r="W94" s="74" t="b">
        <v>1</v>
      </c>
      <c r="X94" s="74" t="s">
        <v>323</v>
      </c>
      <c r="Y94" s="74" t="s">
        <v>238</v>
      </c>
      <c r="Z94" s="74" t="s">
        <v>257</v>
      </c>
      <c r="AA94" s="74" t="b">
        <v>1</v>
      </c>
      <c r="AB94" s="74" t="s">
        <v>323</v>
      </c>
      <c r="AC94" s="74" t="s">
        <v>324</v>
      </c>
      <c r="AD94" s="80">
        <v>2</v>
      </c>
      <c r="AE94" s="74"/>
      <c r="AF94" s="74"/>
    </row>
    <row r="95" spans="1:32" x14ac:dyDescent="0.3">
      <c r="A95" s="90"/>
      <c r="B95" s="74" t="s">
        <v>23</v>
      </c>
      <c r="C95" s="95" t="str" cm="1">
        <f t="array" ref="C95">UPPER(INDEX(_xlfn.TEXTSPLIT($F95, "-"), 3))</f>
        <v>DTG</v>
      </c>
      <c r="D95" s="80" t="s">
        <v>319</v>
      </c>
      <c r="E95" s="74" t="s">
        <v>24</v>
      </c>
      <c r="F95" s="74" t="s">
        <v>441</v>
      </c>
      <c r="G95" s="80" t="s">
        <v>572</v>
      </c>
      <c r="H95" s="80" t="s">
        <v>612</v>
      </c>
      <c r="I95" s="80">
        <v>4</v>
      </c>
      <c r="J95" s="80">
        <v>16</v>
      </c>
      <c r="K95" s="74" t="s">
        <v>180</v>
      </c>
      <c r="L95" s="74" t="s">
        <v>224</v>
      </c>
      <c r="M95" s="80" t="s">
        <v>619</v>
      </c>
      <c r="N95" s="98" t="s">
        <v>1041</v>
      </c>
      <c r="O95" s="74" t="str">
        <f t="shared" si="6"/>
        <v>p-dtg-diosap01-osdisk</v>
      </c>
      <c r="P95" s="97">
        <v>64</v>
      </c>
      <c r="Q95" s="74" t="s">
        <v>179</v>
      </c>
      <c r="R95" s="74"/>
      <c r="S95" s="74"/>
      <c r="T95" s="74"/>
      <c r="U95" s="74" t="str">
        <f t="shared" si="7"/>
        <v>p-dtg-diosap01-nic</v>
      </c>
      <c r="V95" s="74" t="b">
        <v>1</v>
      </c>
      <c r="W95" s="74" t="b">
        <v>1</v>
      </c>
      <c r="X95" s="74" t="s">
        <v>323</v>
      </c>
      <c r="Y95" s="74" t="s">
        <v>238</v>
      </c>
      <c r="Z95" s="74" t="s">
        <v>257</v>
      </c>
      <c r="AA95" s="74" t="b">
        <v>1</v>
      </c>
      <c r="AB95" s="74" t="s">
        <v>323</v>
      </c>
      <c r="AC95" s="74" t="s">
        <v>324</v>
      </c>
      <c r="AD95" s="80">
        <v>1</v>
      </c>
      <c r="AE95" s="74"/>
      <c r="AF95" s="74"/>
    </row>
    <row r="96" spans="1:32" x14ac:dyDescent="0.3">
      <c r="A96" s="90"/>
      <c r="B96" s="74" t="s">
        <v>23</v>
      </c>
      <c r="C96" s="95" t="str" cm="1">
        <f t="array" ref="C96">UPPER(INDEX(_xlfn.TEXTSPLIT($F96, "-"), 3))</f>
        <v>DTG</v>
      </c>
      <c r="D96" s="80" t="s">
        <v>319</v>
      </c>
      <c r="E96" s="74" t="s">
        <v>24</v>
      </c>
      <c r="F96" s="74" t="s">
        <v>442</v>
      </c>
      <c r="G96" s="80" t="s">
        <v>573</v>
      </c>
      <c r="H96" s="80" t="s">
        <v>612</v>
      </c>
      <c r="I96" s="80">
        <v>4</v>
      </c>
      <c r="J96" s="80">
        <v>16</v>
      </c>
      <c r="K96" s="74" t="s">
        <v>180</v>
      </c>
      <c r="L96" s="74" t="s">
        <v>224</v>
      </c>
      <c r="M96" s="80" t="s">
        <v>619</v>
      </c>
      <c r="N96" s="98" t="s">
        <v>1041</v>
      </c>
      <c r="O96" s="74" t="str">
        <f t="shared" si="6"/>
        <v>p-dtg-diosap02-osdisk</v>
      </c>
      <c r="P96" s="97">
        <v>64</v>
      </c>
      <c r="Q96" s="74" t="s">
        <v>179</v>
      </c>
      <c r="R96" s="74"/>
      <c r="S96" s="74"/>
      <c r="T96" s="74"/>
      <c r="U96" s="74" t="str">
        <f t="shared" si="7"/>
        <v>p-dtg-diosap02-nic</v>
      </c>
      <c r="V96" s="74" t="b">
        <v>1</v>
      </c>
      <c r="W96" s="74" t="b">
        <v>1</v>
      </c>
      <c r="X96" s="74" t="s">
        <v>323</v>
      </c>
      <c r="Y96" s="74" t="s">
        <v>238</v>
      </c>
      <c r="Z96" s="74" t="s">
        <v>257</v>
      </c>
      <c r="AA96" s="74" t="b">
        <v>1</v>
      </c>
      <c r="AB96" s="74" t="s">
        <v>323</v>
      </c>
      <c r="AC96" s="74" t="s">
        <v>324</v>
      </c>
      <c r="AD96" s="80">
        <v>2</v>
      </c>
      <c r="AE96" s="74"/>
      <c r="AF96" s="74"/>
    </row>
    <row r="97" spans="1:32" x14ac:dyDescent="0.3">
      <c r="A97" s="90"/>
      <c r="B97" s="74" t="s">
        <v>23</v>
      </c>
      <c r="C97" s="95" t="str" cm="1">
        <f t="array" ref="C97">UPPER(INDEX(_xlfn.TEXTSPLIT($F97, "-"), 3))</f>
        <v>DTG</v>
      </c>
      <c r="D97" s="80" t="s">
        <v>319</v>
      </c>
      <c r="E97" s="74" t="s">
        <v>24</v>
      </c>
      <c r="F97" s="74" t="s">
        <v>443</v>
      </c>
      <c r="G97" s="80" t="s">
        <v>574</v>
      </c>
      <c r="H97" s="80" t="s">
        <v>609</v>
      </c>
      <c r="I97" s="80">
        <v>2</v>
      </c>
      <c r="J97" s="80">
        <v>8</v>
      </c>
      <c r="K97" s="74" t="s">
        <v>180</v>
      </c>
      <c r="L97" s="74" t="s">
        <v>224</v>
      </c>
      <c r="M97" s="80" t="s">
        <v>619</v>
      </c>
      <c r="N97" s="98" t="s">
        <v>1042</v>
      </c>
      <c r="O97" s="74" t="str">
        <f t="shared" si="6"/>
        <v>p-dtg-diosweb01-osdisk</v>
      </c>
      <c r="P97" s="97">
        <v>64</v>
      </c>
      <c r="Q97" s="74" t="s">
        <v>179</v>
      </c>
      <c r="R97" s="74"/>
      <c r="S97" s="74"/>
      <c r="T97" s="74"/>
      <c r="U97" s="74" t="str">
        <f t="shared" si="7"/>
        <v>p-dtg-diosweb01-nic</v>
      </c>
      <c r="V97" s="74" t="b">
        <v>1</v>
      </c>
      <c r="W97" s="74" t="b">
        <v>1</v>
      </c>
      <c r="X97" s="74" t="s">
        <v>323</v>
      </c>
      <c r="Y97" s="74" t="s">
        <v>238</v>
      </c>
      <c r="Z97" s="74" t="s">
        <v>257</v>
      </c>
      <c r="AA97" s="74" t="b">
        <v>1</v>
      </c>
      <c r="AB97" s="74" t="s">
        <v>323</v>
      </c>
      <c r="AC97" s="74" t="s">
        <v>324</v>
      </c>
      <c r="AD97" s="80">
        <v>1</v>
      </c>
      <c r="AE97" s="74"/>
      <c r="AF97" s="74"/>
    </row>
    <row r="98" spans="1:32" x14ac:dyDescent="0.3">
      <c r="A98" s="90"/>
      <c r="B98" s="74" t="s">
        <v>23</v>
      </c>
      <c r="C98" s="95" t="str" cm="1">
        <f t="array" ref="C98">UPPER(INDEX(_xlfn.TEXTSPLIT($F98, "-"), 3))</f>
        <v>DTG</v>
      </c>
      <c r="D98" s="80" t="s">
        <v>319</v>
      </c>
      <c r="E98" s="74" t="s">
        <v>24</v>
      </c>
      <c r="F98" s="74" t="s">
        <v>444</v>
      </c>
      <c r="G98" s="80" t="s">
        <v>575</v>
      </c>
      <c r="H98" s="80" t="s">
        <v>609</v>
      </c>
      <c r="I98" s="80">
        <v>2</v>
      </c>
      <c r="J98" s="80">
        <v>8</v>
      </c>
      <c r="K98" s="74" t="s">
        <v>180</v>
      </c>
      <c r="L98" s="74" t="s">
        <v>224</v>
      </c>
      <c r="M98" s="80" t="s">
        <v>619</v>
      </c>
      <c r="N98" s="98" t="s">
        <v>1042</v>
      </c>
      <c r="O98" s="74" t="str">
        <f t="shared" si="6"/>
        <v>p-dtg-diosweb02-osdisk</v>
      </c>
      <c r="P98" s="97">
        <v>64</v>
      </c>
      <c r="Q98" s="74" t="s">
        <v>179</v>
      </c>
      <c r="R98" s="74"/>
      <c r="S98" s="74"/>
      <c r="T98" s="74"/>
      <c r="U98" s="74" t="str">
        <f t="shared" si="7"/>
        <v>p-dtg-diosweb02-nic</v>
      </c>
      <c r="V98" s="74" t="b">
        <v>1</v>
      </c>
      <c r="W98" s="74" t="b">
        <v>1</v>
      </c>
      <c r="X98" s="74" t="s">
        <v>323</v>
      </c>
      <c r="Y98" s="74" t="s">
        <v>238</v>
      </c>
      <c r="Z98" s="74" t="s">
        <v>257</v>
      </c>
      <c r="AA98" s="74" t="b">
        <v>1</v>
      </c>
      <c r="AB98" s="74" t="s">
        <v>323</v>
      </c>
      <c r="AC98" s="74" t="s">
        <v>324</v>
      </c>
      <c r="AD98" s="80">
        <v>2</v>
      </c>
      <c r="AE98" s="74"/>
      <c r="AF98" s="74"/>
    </row>
    <row r="99" spans="1:32" x14ac:dyDescent="0.3">
      <c r="A99" s="90"/>
      <c r="B99" s="74" t="s">
        <v>23</v>
      </c>
      <c r="C99" s="95" t="str" cm="1">
        <f t="array" ref="C99">UPPER(INDEX(_xlfn.TEXTSPLIT($F99, "-"), 3))</f>
        <v>DTG</v>
      </c>
      <c r="D99" s="80" t="s">
        <v>319</v>
      </c>
      <c r="E99" s="74" t="s">
        <v>24</v>
      </c>
      <c r="F99" s="74" t="s">
        <v>445</v>
      </c>
      <c r="G99" s="80" t="s">
        <v>576</v>
      </c>
      <c r="H99" s="80" t="s">
        <v>609</v>
      </c>
      <c r="I99" s="80">
        <v>2</v>
      </c>
      <c r="J99" s="80">
        <v>8</v>
      </c>
      <c r="K99" s="74" t="s">
        <v>180</v>
      </c>
      <c r="L99" s="74" t="s">
        <v>224</v>
      </c>
      <c r="M99" s="80" t="s">
        <v>619</v>
      </c>
      <c r="N99" s="98" t="s">
        <v>1042</v>
      </c>
      <c r="O99" s="74" t="str">
        <f t="shared" ref="O99:O128" si="8">SUBSTITUTE(F99,"hazr-","")&amp;"-osdisk"</f>
        <v>p-dtg-dprweb01-osdisk</v>
      </c>
      <c r="P99" s="97">
        <v>64</v>
      </c>
      <c r="Q99" s="74" t="s">
        <v>179</v>
      </c>
      <c r="R99" s="74"/>
      <c r="S99" s="74"/>
      <c r="T99" s="74"/>
      <c r="U99" s="74" t="str">
        <f t="shared" ref="U99:U128" si="9">SUBSTITUTE(F99,"hazr-","")&amp;"-nic"</f>
        <v>p-dtg-dprweb01-nic</v>
      </c>
      <c r="V99" s="74" t="b">
        <v>1</v>
      </c>
      <c r="W99" s="74" t="b">
        <v>1</v>
      </c>
      <c r="X99" s="74" t="s">
        <v>323</v>
      </c>
      <c r="Y99" s="74" t="s">
        <v>237</v>
      </c>
      <c r="Z99" s="74" t="s">
        <v>242</v>
      </c>
      <c r="AA99" s="74" t="b">
        <v>1</v>
      </c>
      <c r="AB99" s="74" t="s">
        <v>323</v>
      </c>
      <c r="AC99" s="74" t="s">
        <v>324</v>
      </c>
      <c r="AD99" s="80">
        <v>1</v>
      </c>
      <c r="AE99" s="74"/>
      <c r="AF99" s="74"/>
    </row>
    <row r="100" spans="1:32" x14ac:dyDescent="0.3">
      <c r="A100" s="90"/>
      <c r="B100" s="74" t="s">
        <v>23</v>
      </c>
      <c r="C100" s="95" t="str" cm="1">
        <f t="array" ref="C100">UPPER(INDEX(_xlfn.TEXTSPLIT($F100, "-"), 3))</f>
        <v>DTG</v>
      </c>
      <c r="D100" s="80" t="s">
        <v>319</v>
      </c>
      <c r="E100" s="74" t="s">
        <v>24</v>
      </c>
      <c r="F100" s="74" t="s">
        <v>446</v>
      </c>
      <c r="G100" s="80" t="s">
        <v>577</v>
      </c>
      <c r="H100" s="80" t="s">
        <v>609</v>
      </c>
      <c r="I100" s="80">
        <v>2</v>
      </c>
      <c r="J100" s="80">
        <v>8</v>
      </c>
      <c r="K100" s="74" t="s">
        <v>180</v>
      </c>
      <c r="L100" s="74" t="s">
        <v>224</v>
      </c>
      <c r="M100" s="80" t="s">
        <v>619</v>
      </c>
      <c r="N100" s="98" t="s">
        <v>1042</v>
      </c>
      <c r="O100" s="74" t="str">
        <f t="shared" si="8"/>
        <v>p-dtg-dprweb02-osdisk</v>
      </c>
      <c r="P100" s="97">
        <v>64</v>
      </c>
      <c r="Q100" s="74" t="s">
        <v>179</v>
      </c>
      <c r="R100" s="74"/>
      <c r="S100" s="74"/>
      <c r="T100" s="74"/>
      <c r="U100" s="74" t="str">
        <f t="shared" si="9"/>
        <v>p-dtg-dprweb02-nic</v>
      </c>
      <c r="V100" s="74" t="b">
        <v>1</v>
      </c>
      <c r="W100" s="74" t="b">
        <v>1</v>
      </c>
      <c r="X100" s="74" t="s">
        <v>323</v>
      </c>
      <c r="Y100" s="74" t="s">
        <v>237</v>
      </c>
      <c r="Z100" s="74" t="s">
        <v>242</v>
      </c>
      <c r="AA100" s="74" t="b">
        <v>1</v>
      </c>
      <c r="AB100" s="74" t="s">
        <v>323</v>
      </c>
      <c r="AC100" s="74" t="s">
        <v>324</v>
      </c>
      <c r="AD100" s="80">
        <v>2</v>
      </c>
      <c r="AE100" s="74"/>
      <c r="AF100" s="74"/>
    </row>
    <row r="101" spans="1:32" x14ac:dyDescent="0.3">
      <c r="A101" s="90"/>
      <c r="B101" s="74" t="s">
        <v>23</v>
      </c>
      <c r="C101" s="95" t="str" cm="1">
        <f t="array" ref="C101">UPPER(INDEX(_xlfn.TEXTSPLIT($F101, "-"), 3))</f>
        <v>DTG</v>
      </c>
      <c r="D101" s="80" t="s">
        <v>319</v>
      </c>
      <c r="E101" s="74" t="s">
        <v>24</v>
      </c>
      <c r="F101" s="74" t="s">
        <v>447</v>
      </c>
      <c r="G101" s="80" t="s">
        <v>578</v>
      </c>
      <c r="H101" s="80" t="s">
        <v>609</v>
      </c>
      <c r="I101" s="80">
        <v>2</v>
      </c>
      <c r="J101" s="80">
        <v>8</v>
      </c>
      <c r="K101" s="74" t="s">
        <v>180</v>
      </c>
      <c r="L101" s="74" t="s">
        <v>224</v>
      </c>
      <c r="M101" s="80" t="s">
        <v>619</v>
      </c>
      <c r="N101" s="98" t="s">
        <v>1041</v>
      </c>
      <c r="O101" s="74" t="str">
        <f t="shared" si="8"/>
        <v>p-dtg-dprap01-osdisk</v>
      </c>
      <c r="P101" s="97">
        <v>64</v>
      </c>
      <c r="Q101" s="74" t="s">
        <v>179</v>
      </c>
      <c r="R101" s="74"/>
      <c r="S101" s="74"/>
      <c r="T101" s="74"/>
      <c r="U101" s="74" t="str">
        <f t="shared" si="9"/>
        <v>p-dtg-dprap01-nic</v>
      </c>
      <c r="V101" s="74" t="b">
        <v>1</v>
      </c>
      <c r="W101" s="74" t="b">
        <v>1</v>
      </c>
      <c r="X101" s="74" t="s">
        <v>323</v>
      </c>
      <c r="Y101" s="74" t="s">
        <v>238</v>
      </c>
      <c r="Z101" s="74" t="s">
        <v>257</v>
      </c>
      <c r="AA101" s="74" t="b">
        <v>1</v>
      </c>
      <c r="AB101" s="74" t="s">
        <v>323</v>
      </c>
      <c r="AC101" s="74" t="s">
        <v>324</v>
      </c>
      <c r="AD101" s="80">
        <v>1</v>
      </c>
      <c r="AE101" s="74"/>
      <c r="AF101" s="74"/>
    </row>
    <row r="102" spans="1:32" x14ac:dyDescent="0.3">
      <c r="A102" s="90"/>
      <c r="B102" s="74" t="s">
        <v>23</v>
      </c>
      <c r="C102" s="95" t="str" cm="1">
        <f t="array" ref="C102">UPPER(INDEX(_xlfn.TEXTSPLIT($F102, "-"), 3))</f>
        <v>DTG</v>
      </c>
      <c r="D102" s="80" t="s">
        <v>319</v>
      </c>
      <c r="E102" s="74" t="s">
        <v>24</v>
      </c>
      <c r="F102" s="74" t="s">
        <v>448</v>
      </c>
      <c r="G102" s="80" t="s">
        <v>579</v>
      </c>
      <c r="H102" s="80" t="s">
        <v>609</v>
      </c>
      <c r="I102" s="80">
        <v>2</v>
      </c>
      <c r="J102" s="80">
        <v>8</v>
      </c>
      <c r="K102" s="74" t="s">
        <v>180</v>
      </c>
      <c r="L102" s="74" t="s">
        <v>224</v>
      </c>
      <c r="M102" s="80" t="s">
        <v>619</v>
      </c>
      <c r="N102" s="98" t="s">
        <v>1041</v>
      </c>
      <c r="O102" s="74" t="str">
        <f t="shared" si="8"/>
        <v>p-dtg-dprap02-osdisk</v>
      </c>
      <c r="P102" s="97">
        <v>64</v>
      </c>
      <c r="Q102" s="74" t="s">
        <v>179</v>
      </c>
      <c r="R102" s="74"/>
      <c r="S102" s="74"/>
      <c r="T102" s="74"/>
      <c r="U102" s="74" t="str">
        <f t="shared" si="9"/>
        <v>p-dtg-dprap02-nic</v>
      </c>
      <c r="V102" s="74" t="b">
        <v>1</v>
      </c>
      <c r="W102" s="74" t="b">
        <v>1</v>
      </c>
      <c r="X102" s="74" t="s">
        <v>323</v>
      </c>
      <c r="Y102" s="74" t="s">
        <v>238</v>
      </c>
      <c r="Z102" s="74" t="s">
        <v>257</v>
      </c>
      <c r="AA102" s="74" t="b">
        <v>1</v>
      </c>
      <c r="AB102" s="74" t="s">
        <v>323</v>
      </c>
      <c r="AC102" s="74" t="s">
        <v>324</v>
      </c>
      <c r="AD102" s="80">
        <v>2</v>
      </c>
      <c r="AE102" s="74"/>
      <c r="AF102" s="74"/>
    </row>
    <row r="103" spans="1:32" x14ac:dyDescent="0.3">
      <c r="A103" s="90"/>
      <c r="B103" s="74" t="s">
        <v>23</v>
      </c>
      <c r="C103" s="95" t="str" cm="1">
        <f t="array" ref="C103">UPPER(INDEX(_xlfn.TEXTSPLIT($F103, "-"), 3))</f>
        <v>BDP</v>
      </c>
      <c r="D103" s="80" t="s">
        <v>321</v>
      </c>
      <c r="E103" s="74" t="s">
        <v>24</v>
      </c>
      <c r="F103" s="74" t="s">
        <v>449</v>
      </c>
      <c r="G103" s="80" t="s">
        <v>580</v>
      </c>
      <c r="H103" s="80" t="s">
        <v>611</v>
      </c>
      <c r="I103" s="80">
        <v>8</v>
      </c>
      <c r="J103" s="80">
        <v>16</v>
      </c>
      <c r="K103" s="74" t="s">
        <v>180</v>
      </c>
      <c r="L103" s="74" t="s">
        <v>224</v>
      </c>
      <c r="M103" s="80" t="s">
        <v>619</v>
      </c>
      <c r="N103" s="98" t="s">
        <v>1042</v>
      </c>
      <c r="O103" s="74" t="str">
        <f t="shared" si="8"/>
        <v>p-bdp-kepler01-osdisk</v>
      </c>
      <c r="P103" s="97">
        <v>64</v>
      </c>
      <c r="Q103" s="74" t="s">
        <v>179</v>
      </c>
      <c r="R103" s="74"/>
      <c r="S103" s="74"/>
      <c r="T103" s="74"/>
      <c r="U103" s="74" t="str">
        <f t="shared" si="9"/>
        <v>p-bdp-kepler01-nic</v>
      </c>
      <c r="V103" s="74" t="b">
        <v>1</v>
      </c>
      <c r="W103" s="74" t="b">
        <v>1</v>
      </c>
      <c r="X103" s="74" t="s">
        <v>323</v>
      </c>
      <c r="Y103" s="74" t="s">
        <v>238</v>
      </c>
      <c r="Z103" s="74" t="s">
        <v>260</v>
      </c>
      <c r="AA103" s="74" t="b">
        <v>1</v>
      </c>
      <c r="AB103" s="74" t="s">
        <v>323</v>
      </c>
      <c r="AC103" s="74" t="s">
        <v>324</v>
      </c>
      <c r="AD103" s="80">
        <v>1</v>
      </c>
      <c r="AE103" s="74"/>
      <c r="AF103" s="74"/>
    </row>
    <row r="104" spans="1:32" x14ac:dyDescent="0.3">
      <c r="A104" s="90"/>
      <c r="B104" s="74" t="s">
        <v>23</v>
      </c>
      <c r="C104" s="95" t="str" cm="1">
        <f t="array" ref="C104">UPPER(INDEX(_xlfn.TEXTSPLIT($F104, "-"), 3))</f>
        <v>BDP</v>
      </c>
      <c r="D104" s="80" t="s">
        <v>321</v>
      </c>
      <c r="E104" s="74" t="s">
        <v>24</v>
      </c>
      <c r="F104" s="74" t="s">
        <v>450</v>
      </c>
      <c r="G104" s="80" t="s">
        <v>581</v>
      </c>
      <c r="H104" s="80" t="s">
        <v>611</v>
      </c>
      <c r="I104" s="80">
        <v>8</v>
      </c>
      <c r="J104" s="80">
        <v>16</v>
      </c>
      <c r="K104" s="74" t="s">
        <v>180</v>
      </c>
      <c r="L104" s="74" t="s">
        <v>224</v>
      </c>
      <c r="M104" s="80" t="s">
        <v>619</v>
      </c>
      <c r="N104" s="98" t="s">
        <v>1041</v>
      </c>
      <c r="O104" s="74" t="str">
        <f t="shared" si="8"/>
        <v>p-bdp-airfw01-osdisk</v>
      </c>
      <c r="P104" s="97">
        <v>64</v>
      </c>
      <c r="Q104" s="74" t="s">
        <v>179</v>
      </c>
      <c r="R104" s="74"/>
      <c r="S104" s="74"/>
      <c r="T104" s="74"/>
      <c r="U104" s="74" t="str">
        <f t="shared" si="9"/>
        <v>p-bdp-airfw01-nic</v>
      </c>
      <c r="V104" s="74" t="b">
        <v>1</v>
      </c>
      <c r="W104" s="74" t="b">
        <v>1</v>
      </c>
      <c r="X104" s="74" t="s">
        <v>323</v>
      </c>
      <c r="Y104" s="74" t="s">
        <v>238</v>
      </c>
      <c r="Z104" s="74" t="s">
        <v>260</v>
      </c>
      <c r="AA104" s="74" t="b">
        <v>1</v>
      </c>
      <c r="AB104" s="74" t="s">
        <v>323</v>
      </c>
      <c r="AC104" s="74" t="s">
        <v>324</v>
      </c>
      <c r="AD104" s="80">
        <v>1</v>
      </c>
      <c r="AE104" s="74"/>
      <c r="AF104" s="74"/>
    </row>
    <row r="105" spans="1:32" x14ac:dyDescent="0.3">
      <c r="A105" s="90"/>
      <c r="B105" s="74" t="s">
        <v>23</v>
      </c>
      <c r="C105" s="95" t="str" cm="1">
        <f t="array" ref="C105">UPPER(INDEX(_xlfn.TEXTSPLIT($F105, "-"), 3))</f>
        <v>BDP</v>
      </c>
      <c r="D105" s="80" t="s">
        <v>321</v>
      </c>
      <c r="E105" s="74" t="s">
        <v>24</v>
      </c>
      <c r="F105" s="74" t="s">
        <v>451</v>
      </c>
      <c r="G105" s="80" t="s">
        <v>582</v>
      </c>
      <c r="H105" s="80" t="s">
        <v>611</v>
      </c>
      <c r="I105" s="80">
        <v>8</v>
      </c>
      <c r="J105" s="80">
        <v>16</v>
      </c>
      <c r="K105" s="74" t="s">
        <v>180</v>
      </c>
      <c r="L105" s="74" t="s">
        <v>224</v>
      </c>
      <c r="M105" s="80" t="s">
        <v>619</v>
      </c>
      <c r="N105" s="98" t="s">
        <v>1042</v>
      </c>
      <c r="O105" s="74" t="str">
        <f t="shared" si="8"/>
        <v>p-bdp-cxmadm01-osdisk</v>
      </c>
      <c r="P105" s="97">
        <v>64</v>
      </c>
      <c r="Q105" s="74" t="s">
        <v>179</v>
      </c>
      <c r="R105" s="74"/>
      <c r="S105" s="74"/>
      <c r="T105" s="74"/>
      <c r="U105" s="74" t="str">
        <f t="shared" si="9"/>
        <v>p-bdp-cxmadm01-nic</v>
      </c>
      <c r="V105" s="74" t="b">
        <v>1</v>
      </c>
      <c r="W105" s="74" t="b">
        <v>1</v>
      </c>
      <c r="X105" s="74" t="s">
        <v>323</v>
      </c>
      <c r="Y105" s="74" t="s">
        <v>238</v>
      </c>
      <c r="Z105" s="74" t="s">
        <v>260</v>
      </c>
      <c r="AA105" s="74" t="b">
        <v>1</v>
      </c>
      <c r="AB105" s="74" t="s">
        <v>323</v>
      </c>
      <c r="AC105" s="74" t="s">
        <v>324</v>
      </c>
      <c r="AD105" s="80">
        <v>1</v>
      </c>
      <c r="AE105" s="74"/>
      <c r="AF105" s="74"/>
    </row>
    <row r="106" spans="1:32" x14ac:dyDescent="0.3">
      <c r="A106" s="90"/>
      <c r="B106" s="74" t="s">
        <v>23</v>
      </c>
      <c r="C106" s="95" t="str" cm="1">
        <f t="array" ref="C106">UPPER(INDEX(_xlfn.TEXTSPLIT($F106, "-"), 3))</f>
        <v>BDP</v>
      </c>
      <c r="D106" s="80" t="s">
        <v>321</v>
      </c>
      <c r="E106" s="74" t="s">
        <v>24</v>
      </c>
      <c r="F106" s="74" t="s">
        <v>452</v>
      </c>
      <c r="G106" s="80" t="s">
        <v>583</v>
      </c>
      <c r="H106" s="80" t="s">
        <v>611</v>
      </c>
      <c r="I106" s="80">
        <v>8</v>
      </c>
      <c r="J106" s="80">
        <v>16</v>
      </c>
      <c r="K106" s="74" t="s">
        <v>180</v>
      </c>
      <c r="L106" s="74" t="s">
        <v>224</v>
      </c>
      <c r="M106" s="80" t="s">
        <v>619</v>
      </c>
      <c r="N106" s="98" t="s">
        <v>1042</v>
      </c>
      <c r="O106" s="74" t="str">
        <f t="shared" si="8"/>
        <v>p-bdp-cxmadm02-osdisk</v>
      </c>
      <c r="P106" s="97">
        <v>64</v>
      </c>
      <c r="Q106" s="74" t="s">
        <v>179</v>
      </c>
      <c r="R106" s="74"/>
      <c r="S106" s="74"/>
      <c r="T106" s="74"/>
      <c r="U106" s="74" t="str">
        <f t="shared" si="9"/>
        <v>p-bdp-cxmadm02-nic</v>
      </c>
      <c r="V106" s="74" t="b">
        <v>1</v>
      </c>
      <c r="W106" s="74" t="b">
        <v>1</v>
      </c>
      <c r="X106" s="74" t="s">
        <v>323</v>
      </c>
      <c r="Y106" s="74" t="s">
        <v>238</v>
      </c>
      <c r="Z106" s="74" t="s">
        <v>260</v>
      </c>
      <c r="AA106" s="74" t="b">
        <v>1</v>
      </c>
      <c r="AB106" s="74" t="s">
        <v>323</v>
      </c>
      <c r="AC106" s="74" t="s">
        <v>324</v>
      </c>
      <c r="AD106" s="80">
        <v>2</v>
      </c>
      <c r="AE106" s="74"/>
      <c r="AF106" s="74"/>
    </row>
    <row r="107" spans="1:32" x14ac:dyDescent="0.3">
      <c r="A107" s="90"/>
      <c r="B107" s="74" t="s">
        <v>23</v>
      </c>
      <c r="C107" s="95" t="str" cm="1">
        <f t="array" ref="C107">UPPER(INDEX(_xlfn.TEXTSPLIT($F107, "-"), 3))</f>
        <v>BDP</v>
      </c>
      <c r="D107" s="80" t="s">
        <v>321</v>
      </c>
      <c r="E107" s="74" t="s">
        <v>24</v>
      </c>
      <c r="F107" s="74" t="s">
        <v>453</v>
      </c>
      <c r="G107" s="80" t="s">
        <v>584</v>
      </c>
      <c r="H107" s="80" t="s">
        <v>609</v>
      </c>
      <c r="I107" s="80">
        <v>2</v>
      </c>
      <c r="J107" s="80">
        <v>8</v>
      </c>
      <c r="K107" s="74" t="s">
        <v>180</v>
      </c>
      <c r="L107" s="74" t="s">
        <v>224</v>
      </c>
      <c r="M107" s="80" t="s">
        <v>619</v>
      </c>
      <c r="N107" s="98" t="s">
        <v>1042</v>
      </c>
      <c r="O107" s="74" t="str">
        <f t="shared" si="8"/>
        <v>p-bdp-slap01-osdisk</v>
      </c>
      <c r="P107" s="97">
        <v>64</v>
      </c>
      <c r="Q107" s="74" t="s">
        <v>179</v>
      </c>
      <c r="R107" s="74"/>
      <c r="S107" s="74"/>
      <c r="T107" s="74"/>
      <c r="U107" s="74" t="str">
        <f t="shared" si="9"/>
        <v>p-bdp-slap01-nic</v>
      </c>
      <c r="V107" s="74" t="b">
        <v>1</v>
      </c>
      <c r="W107" s="74" t="b">
        <v>1</v>
      </c>
      <c r="X107" s="74" t="s">
        <v>323</v>
      </c>
      <c r="Y107" s="74" t="s">
        <v>238</v>
      </c>
      <c r="Z107" s="74" t="s">
        <v>260</v>
      </c>
      <c r="AA107" s="74" t="b">
        <v>1</v>
      </c>
      <c r="AB107" s="74" t="s">
        <v>323</v>
      </c>
      <c r="AC107" s="74" t="s">
        <v>324</v>
      </c>
      <c r="AD107" s="80">
        <v>1</v>
      </c>
      <c r="AE107" s="74"/>
      <c r="AF107" s="74"/>
    </row>
    <row r="108" spans="1:32" x14ac:dyDescent="0.3">
      <c r="A108" s="90"/>
      <c r="B108" s="74" t="s">
        <v>23</v>
      </c>
      <c r="C108" s="95" t="str" cm="1">
        <f t="array" ref="C108">UPPER(INDEX(_xlfn.TEXTSPLIT($F108, "-"), 3))</f>
        <v>BDP</v>
      </c>
      <c r="D108" s="80" t="s">
        <v>321</v>
      </c>
      <c r="E108" s="74" t="s">
        <v>24</v>
      </c>
      <c r="F108" s="74" t="s">
        <v>454</v>
      </c>
      <c r="G108" s="80" t="s">
        <v>585</v>
      </c>
      <c r="H108" s="80" t="s">
        <v>609</v>
      </c>
      <c r="I108" s="80">
        <v>2</v>
      </c>
      <c r="J108" s="80">
        <v>8</v>
      </c>
      <c r="K108" s="74" t="s">
        <v>180</v>
      </c>
      <c r="L108" s="74" t="s">
        <v>224</v>
      </c>
      <c r="M108" s="80" t="s">
        <v>619</v>
      </c>
      <c r="N108" s="98" t="s">
        <v>1042</v>
      </c>
      <c r="O108" s="74" t="str">
        <f t="shared" si="8"/>
        <v>p-bdp-slap02-osdisk</v>
      </c>
      <c r="P108" s="97">
        <v>64</v>
      </c>
      <c r="Q108" s="74" t="s">
        <v>179</v>
      </c>
      <c r="R108" s="74"/>
      <c r="S108" s="74"/>
      <c r="T108" s="74"/>
      <c r="U108" s="74" t="str">
        <f t="shared" si="9"/>
        <v>p-bdp-slap02-nic</v>
      </c>
      <c r="V108" s="74" t="b">
        <v>1</v>
      </c>
      <c r="W108" s="74" t="b">
        <v>1</v>
      </c>
      <c r="X108" s="74" t="s">
        <v>323</v>
      </c>
      <c r="Y108" s="74" t="s">
        <v>238</v>
      </c>
      <c r="Z108" s="74" t="s">
        <v>260</v>
      </c>
      <c r="AA108" s="74" t="b">
        <v>1</v>
      </c>
      <c r="AB108" s="74" t="s">
        <v>323</v>
      </c>
      <c r="AC108" s="74" t="s">
        <v>324</v>
      </c>
      <c r="AD108" s="80">
        <v>2</v>
      </c>
      <c r="AE108" s="74"/>
      <c r="AF108" s="74"/>
    </row>
    <row r="109" spans="1:32" x14ac:dyDescent="0.3">
      <c r="A109" s="90"/>
      <c r="B109" s="74" t="s">
        <v>23</v>
      </c>
      <c r="C109" s="95" t="str" cm="1">
        <f t="array" ref="C109">UPPER(INDEX(_xlfn.TEXTSPLIT($F109, "-"), 3))</f>
        <v>IF</v>
      </c>
      <c r="D109" s="80" t="s">
        <v>320</v>
      </c>
      <c r="E109" s="74" t="s">
        <v>24</v>
      </c>
      <c r="F109" s="74" t="s">
        <v>455</v>
      </c>
      <c r="G109" s="80" t="s">
        <v>586</v>
      </c>
      <c r="H109" s="80" t="s">
        <v>609</v>
      </c>
      <c r="I109" s="80">
        <v>2</v>
      </c>
      <c r="J109" s="80">
        <v>8</v>
      </c>
      <c r="K109" s="74" t="s">
        <v>180</v>
      </c>
      <c r="L109" s="74" t="s">
        <v>224</v>
      </c>
      <c r="M109" s="80" t="s">
        <v>619</v>
      </c>
      <c r="N109" s="98" t="s">
        <v>1042</v>
      </c>
      <c r="O109" s="74" t="str">
        <f t="shared" si="8"/>
        <v>p-if-auth01-osdisk</v>
      </c>
      <c r="P109" s="97">
        <v>64</v>
      </c>
      <c r="Q109" s="74" t="s">
        <v>179</v>
      </c>
      <c r="R109" s="74"/>
      <c r="S109" s="74"/>
      <c r="T109" s="74"/>
      <c r="U109" s="74" t="str">
        <f t="shared" si="9"/>
        <v>p-if-auth01-nic</v>
      </c>
      <c r="V109" s="74" t="b">
        <v>1</v>
      </c>
      <c r="W109" s="74" t="b">
        <v>1</v>
      </c>
      <c r="X109" s="74" t="s">
        <v>323</v>
      </c>
      <c r="Y109" s="74" t="s">
        <v>238</v>
      </c>
      <c r="Z109" s="74" t="s">
        <v>269</v>
      </c>
      <c r="AA109" s="74" t="b">
        <v>1</v>
      </c>
      <c r="AB109" s="74" t="s">
        <v>323</v>
      </c>
      <c r="AC109" s="74" t="s">
        <v>324</v>
      </c>
      <c r="AD109" s="80">
        <v>1</v>
      </c>
      <c r="AE109" s="74"/>
      <c r="AF109" s="74"/>
    </row>
    <row r="110" spans="1:32" x14ac:dyDescent="0.3">
      <c r="A110" s="90"/>
      <c r="B110" s="74" t="s">
        <v>23</v>
      </c>
      <c r="C110" s="95" t="str" cm="1">
        <f t="array" ref="C110">UPPER(INDEX(_xlfn.TEXTSPLIT($F110, "-"), 3))</f>
        <v>IF</v>
      </c>
      <c r="D110" s="80" t="s">
        <v>320</v>
      </c>
      <c r="E110" s="74" t="s">
        <v>24</v>
      </c>
      <c r="F110" s="74" t="s">
        <v>456</v>
      </c>
      <c r="G110" s="80" t="s">
        <v>587</v>
      </c>
      <c r="H110" s="80" t="s">
        <v>609</v>
      </c>
      <c r="I110" s="80">
        <v>2</v>
      </c>
      <c r="J110" s="80">
        <v>8</v>
      </c>
      <c r="K110" s="74" t="s">
        <v>180</v>
      </c>
      <c r="L110" s="74" t="s">
        <v>224</v>
      </c>
      <c r="M110" s="80" t="s">
        <v>619</v>
      </c>
      <c r="N110" s="98" t="s">
        <v>1042</v>
      </c>
      <c r="O110" s="74" t="str">
        <f t="shared" si="8"/>
        <v>p-if-auth02-osdisk</v>
      </c>
      <c r="P110" s="97">
        <v>64</v>
      </c>
      <c r="Q110" s="74" t="s">
        <v>179</v>
      </c>
      <c r="R110" s="74"/>
      <c r="S110" s="74"/>
      <c r="T110" s="74"/>
      <c r="U110" s="74" t="str">
        <f t="shared" si="9"/>
        <v>p-if-auth02-nic</v>
      </c>
      <c r="V110" s="74" t="b">
        <v>1</v>
      </c>
      <c r="W110" s="74" t="b">
        <v>1</v>
      </c>
      <c r="X110" s="74" t="s">
        <v>323</v>
      </c>
      <c r="Y110" s="74" t="s">
        <v>238</v>
      </c>
      <c r="Z110" s="74" t="s">
        <v>269</v>
      </c>
      <c r="AA110" s="74" t="b">
        <v>1</v>
      </c>
      <c r="AB110" s="74" t="s">
        <v>323</v>
      </c>
      <c r="AC110" s="74" t="s">
        <v>324</v>
      </c>
      <c r="AD110" s="80">
        <v>2</v>
      </c>
      <c r="AE110" s="74"/>
      <c r="AF110" s="74"/>
    </row>
    <row r="111" spans="1:32" x14ac:dyDescent="0.3">
      <c r="A111" s="90"/>
      <c r="B111" s="74" t="s">
        <v>23</v>
      </c>
      <c r="C111" s="95" t="str" cm="1">
        <f t="array" ref="C111">UPPER(INDEX(_xlfn.TEXTSPLIT($F111, "-"), 3))</f>
        <v>IF</v>
      </c>
      <c r="D111" s="80" t="s">
        <v>320</v>
      </c>
      <c r="E111" s="74" t="s">
        <v>24</v>
      </c>
      <c r="F111" s="74" t="s">
        <v>457</v>
      </c>
      <c r="G111" s="80" t="s">
        <v>588</v>
      </c>
      <c r="H111" s="80" t="s">
        <v>1061</v>
      </c>
      <c r="I111" s="80">
        <v>2</v>
      </c>
      <c r="J111" s="80">
        <v>4</v>
      </c>
      <c r="K111" s="74" t="s">
        <v>180</v>
      </c>
      <c r="L111" s="74" t="s">
        <v>224</v>
      </c>
      <c r="M111" s="80" t="s">
        <v>619</v>
      </c>
      <c r="N111" s="98" t="s">
        <v>1041</v>
      </c>
      <c r="O111" s="74" t="str">
        <f t="shared" si="8"/>
        <v>p-if-gramon01-osdisk</v>
      </c>
      <c r="P111" s="97">
        <v>64</v>
      </c>
      <c r="Q111" s="74" t="s">
        <v>179</v>
      </c>
      <c r="R111" s="74"/>
      <c r="S111" s="74"/>
      <c r="T111" s="74"/>
      <c r="U111" s="74" t="str">
        <f t="shared" si="9"/>
        <v>p-if-gramon01-nic</v>
      </c>
      <c r="V111" s="74" t="b">
        <v>1</v>
      </c>
      <c r="W111" s="74" t="b">
        <v>1</v>
      </c>
      <c r="X111" s="74" t="s">
        <v>323</v>
      </c>
      <c r="Y111" s="74" t="s">
        <v>238</v>
      </c>
      <c r="Z111" s="74" t="s">
        <v>269</v>
      </c>
      <c r="AA111" s="74" t="b">
        <v>1</v>
      </c>
      <c r="AB111" s="74" t="s">
        <v>323</v>
      </c>
      <c r="AC111" s="74" t="s">
        <v>324</v>
      </c>
      <c r="AD111" s="80">
        <v>1</v>
      </c>
      <c r="AE111" s="74"/>
      <c r="AF111" s="74"/>
    </row>
    <row r="112" spans="1:32" x14ac:dyDescent="0.3">
      <c r="A112" s="90"/>
      <c r="B112" s="74" t="s">
        <v>23</v>
      </c>
      <c r="C112" s="95" t="str" cm="1">
        <f t="array" ref="C112">UPPER(INDEX(_xlfn.TEXTSPLIT($F112, "-"), 3))</f>
        <v>IF</v>
      </c>
      <c r="D112" s="80" t="s">
        <v>320</v>
      </c>
      <c r="E112" s="74" t="s">
        <v>24</v>
      </c>
      <c r="F112" s="74" t="s">
        <v>458</v>
      </c>
      <c r="G112" s="80" t="s">
        <v>589</v>
      </c>
      <c r="H112" s="80" t="s">
        <v>618</v>
      </c>
      <c r="I112" s="80">
        <v>32</v>
      </c>
      <c r="J112" s="80">
        <v>128</v>
      </c>
      <c r="K112" s="74" t="s">
        <v>180</v>
      </c>
      <c r="L112" s="74" t="s">
        <v>224</v>
      </c>
      <c r="M112" s="80" t="s">
        <v>619</v>
      </c>
      <c r="N112" s="98" t="s">
        <v>1041</v>
      </c>
      <c r="O112" s="74" t="str">
        <f t="shared" si="8"/>
        <v>p-if-stryap01-osdisk</v>
      </c>
      <c r="P112" s="97">
        <v>64</v>
      </c>
      <c r="Q112" s="74" t="s">
        <v>179</v>
      </c>
      <c r="R112" s="74"/>
      <c r="S112" s="74"/>
      <c r="T112" s="74"/>
      <c r="U112" s="74" t="str">
        <f t="shared" si="9"/>
        <v>p-if-stryap01-nic</v>
      </c>
      <c r="V112" s="74" t="b">
        <v>1</v>
      </c>
      <c r="W112" s="74" t="b">
        <v>1</v>
      </c>
      <c r="X112" s="74" t="s">
        <v>323</v>
      </c>
      <c r="Y112" s="74" t="s">
        <v>238</v>
      </c>
      <c r="Z112" s="74" t="s">
        <v>269</v>
      </c>
      <c r="AA112" s="74" t="b">
        <v>1</v>
      </c>
      <c r="AB112" s="74" t="s">
        <v>323</v>
      </c>
      <c r="AC112" s="74" t="s">
        <v>324</v>
      </c>
      <c r="AD112" s="80">
        <v>1</v>
      </c>
      <c r="AE112" s="74"/>
      <c r="AF112" s="74"/>
    </row>
    <row r="113" spans="1:32" x14ac:dyDescent="0.3">
      <c r="A113" s="90"/>
      <c r="B113" s="74" t="s">
        <v>23</v>
      </c>
      <c r="C113" s="95" t="str" cm="1">
        <f t="array" ref="C113">UPPER(INDEX(_xlfn.TEXTSPLIT($F113, "-"), 3))</f>
        <v>IF</v>
      </c>
      <c r="D113" s="80" t="s">
        <v>320</v>
      </c>
      <c r="E113" s="74" t="s">
        <v>24</v>
      </c>
      <c r="F113" s="74" t="s">
        <v>459</v>
      </c>
      <c r="G113" s="80" t="s">
        <v>590</v>
      </c>
      <c r="H113" s="80" t="s">
        <v>1065</v>
      </c>
      <c r="I113" s="80">
        <v>4</v>
      </c>
      <c r="J113" s="80">
        <v>16</v>
      </c>
      <c r="K113" s="74" t="s">
        <v>180</v>
      </c>
      <c r="L113" s="74" t="s">
        <v>224</v>
      </c>
      <c r="M113" s="80" t="s">
        <v>619</v>
      </c>
      <c r="N113" s="98" t="s">
        <v>1042</v>
      </c>
      <c r="O113" s="74" t="str">
        <f t="shared" si="8"/>
        <v>p-if-stryweb01-osdisk</v>
      </c>
      <c r="P113" s="97">
        <v>64</v>
      </c>
      <c r="Q113" s="74" t="s">
        <v>179</v>
      </c>
      <c r="R113" s="74"/>
      <c r="S113" s="74"/>
      <c r="T113" s="74"/>
      <c r="U113" s="74" t="str">
        <f t="shared" si="9"/>
        <v>p-if-stryweb01-nic</v>
      </c>
      <c r="V113" s="74" t="b">
        <v>1</v>
      </c>
      <c r="W113" s="74" t="b">
        <v>1</v>
      </c>
      <c r="X113" s="74" t="s">
        <v>323</v>
      </c>
      <c r="Y113" s="74" t="s">
        <v>238</v>
      </c>
      <c r="Z113" s="74" t="s">
        <v>269</v>
      </c>
      <c r="AA113" s="74" t="b">
        <v>1</v>
      </c>
      <c r="AB113" s="74" t="s">
        <v>323</v>
      </c>
      <c r="AC113" s="74" t="s">
        <v>324</v>
      </c>
      <c r="AD113" s="80">
        <v>1</v>
      </c>
      <c r="AE113" s="74"/>
      <c r="AF113" s="74"/>
    </row>
    <row r="114" spans="1:32" x14ac:dyDescent="0.3">
      <c r="A114" s="90"/>
      <c r="B114" s="74" t="s">
        <v>1100</v>
      </c>
      <c r="C114" s="95" t="str" cm="1">
        <f t="array" ref="C114">UPPER(INDEX(_xlfn.TEXTSPLIT($F114, "-"), 3))</f>
        <v>MON</v>
      </c>
      <c r="D114" s="80" t="s">
        <v>484</v>
      </c>
      <c r="E114" s="74" t="s">
        <v>24</v>
      </c>
      <c r="F114" s="74" t="s">
        <v>230</v>
      </c>
      <c r="G114" s="80" t="s">
        <v>591</v>
      </c>
      <c r="H114" s="80" t="s">
        <v>613</v>
      </c>
      <c r="I114" s="80">
        <v>8</v>
      </c>
      <c r="J114" s="80">
        <v>32</v>
      </c>
      <c r="K114" s="74" t="s">
        <v>180</v>
      </c>
      <c r="L114" s="74" t="s">
        <v>224</v>
      </c>
      <c r="M114" s="80" t="s">
        <v>619</v>
      </c>
      <c r="N114" s="98" t="s">
        <v>1041</v>
      </c>
      <c r="O114" s="74" t="str">
        <f t="shared" si="8"/>
        <v>l-mon-whtap01-osdisk</v>
      </c>
      <c r="P114" s="97">
        <v>64</v>
      </c>
      <c r="Q114" s="74" t="s">
        <v>179</v>
      </c>
      <c r="R114" s="74"/>
      <c r="S114" s="74"/>
      <c r="T114" s="74"/>
      <c r="U114" s="74" t="str">
        <f t="shared" si="9"/>
        <v>l-mon-whtap01-nic</v>
      </c>
      <c r="V114" s="74" t="b">
        <v>1</v>
      </c>
      <c r="W114" s="74" t="b">
        <v>1</v>
      </c>
      <c r="X114" s="74" t="s">
        <v>231</v>
      </c>
      <c r="Y114" s="74" t="s">
        <v>202</v>
      </c>
      <c r="Z114" s="74" t="s">
        <v>485</v>
      </c>
      <c r="AA114" s="74" t="b">
        <v>1</v>
      </c>
      <c r="AB114" s="74" t="s">
        <v>231</v>
      </c>
      <c r="AC114" s="74" t="s">
        <v>232</v>
      </c>
      <c r="AD114" s="80">
        <v>1</v>
      </c>
      <c r="AE114" s="74"/>
      <c r="AF114" s="74"/>
    </row>
    <row r="115" spans="1:32" x14ac:dyDescent="0.3">
      <c r="A115" s="90"/>
      <c r="B115" s="74" t="s">
        <v>1100</v>
      </c>
      <c r="C115" s="95" t="str" cm="1">
        <f t="array" ref="C115">UPPER(INDEX(_xlfn.TEXTSPLIT($F115, "-"), 3))</f>
        <v>MON</v>
      </c>
      <c r="D115" s="80" t="s">
        <v>484</v>
      </c>
      <c r="E115" s="74" t="s">
        <v>24</v>
      </c>
      <c r="F115" s="74" t="s">
        <v>229</v>
      </c>
      <c r="G115" s="80" t="s">
        <v>592</v>
      </c>
      <c r="H115" s="80" t="s">
        <v>613</v>
      </c>
      <c r="I115" s="80">
        <v>8</v>
      </c>
      <c r="J115" s="80">
        <v>32</v>
      </c>
      <c r="K115" s="74" t="s">
        <v>180</v>
      </c>
      <c r="L115" s="74" t="s">
        <v>224</v>
      </c>
      <c r="M115" s="80" t="s">
        <v>619</v>
      </c>
      <c r="N115" s="98" t="s">
        <v>1041</v>
      </c>
      <c r="O115" s="74" t="str">
        <f t="shared" si="8"/>
        <v>l-mon-whtap02-osdisk</v>
      </c>
      <c r="P115" s="97">
        <v>64</v>
      </c>
      <c r="Q115" s="74" t="s">
        <v>179</v>
      </c>
      <c r="R115" s="74"/>
      <c r="S115" s="74"/>
      <c r="T115" s="74"/>
      <c r="U115" s="74" t="str">
        <f t="shared" si="9"/>
        <v>l-mon-whtap02-nic</v>
      </c>
      <c r="V115" s="74" t="b">
        <v>1</v>
      </c>
      <c r="W115" s="74" t="b">
        <v>1</v>
      </c>
      <c r="X115" s="74" t="s">
        <v>231</v>
      </c>
      <c r="Y115" s="74" t="s">
        <v>202</v>
      </c>
      <c r="Z115" s="74" t="s">
        <v>485</v>
      </c>
      <c r="AA115" s="74" t="b">
        <v>1</v>
      </c>
      <c r="AB115" s="74" t="s">
        <v>231</v>
      </c>
      <c r="AC115" s="74" t="s">
        <v>232</v>
      </c>
      <c r="AD115" s="80">
        <v>2</v>
      </c>
      <c r="AE115" s="74"/>
      <c r="AF115" s="74"/>
    </row>
    <row r="116" spans="1:32" x14ac:dyDescent="0.3">
      <c r="A116" s="90"/>
      <c r="B116" s="74" t="s">
        <v>1100</v>
      </c>
      <c r="C116" s="95" t="str" cm="1">
        <f t="array" ref="C116">UPPER(INDEX(_xlfn.TEXTSPLIT($F116, "-"), 3))</f>
        <v>MON</v>
      </c>
      <c r="D116" s="80" t="s">
        <v>484</v>
      </c>
      <c r="E116" s="74" t="s">
        <v>24</v>
      </c>
      <c r="F116" s="74" t="s">
        <v>233</v>
      </c>
      <c r="G116" s="80" t="s">
        <v>593</v>
      </c>
      <c r="H116" s="80" t="s">
        <v>609</v>
      </c>
      <c r="I116" s="80">
        <v>2</v>
      </c>
      <c r="J116" s="80">
        <v>4</v>
      </c>
      <c r="K116" s="74" t="s">
        <v>180</v>
      </c>
      <c r="L116" s="74" t="s">
        <v>224</v>
      </c>
      <c r="M116" s="80" t="s">
        <v>619</v>
      </c>
      <c r="N116" s="98" t="s">
        <v>1041</v>
      </c>
      <c r="O116" s="74" t="str">
        <f t="shared" si="8"/>
        <v>l-mon-whtap03-osdisk</v>
      </c>
      <c r="P116" s="97">
        <v>64</v>
      </c>
      <c r="Q116" s="74" t="s">
        <v>179</v>
      </c>
      <c r="R116" s="74"/>
      <c r="S116" s="74"/>
      <c r="T116" s="74"/>
      <c r="U116" s="74" t="str">
        <f t="shared" si="9"/>
        <v>l-mon-whtap03-nic</v>
      </c>
      <c r="V116" s="74" t="b">
        <v>1</v>
      </c>
      <c r="W116" s="74" t="b">
        <v>1</v>
      </c>
      <c r="X116" s="74" t="s">
        <v>231</v>
      </c>
      <c r="Y116" s="74" t="s">
        <v>202</v>
      </c>
      <c r="Z116" s="74" t="s">
        <v>485</v>
      </c>
      <c r="AA116" s="74" t="b">
        <v>1</v>
      </c>
      <c r="AB116" s="74" t="s">
        <v>231</v>
      </c>
      <c r="AC116" s="74" t="s">
        <v>232</v>
      </c>
      <c r="AD116" s="80">
        <v>3</v>
      </c>
      <c r="AE116" s="74"/>
      <c r="AF116" s="74"/>
    </row>
    <row r="117" spans="1:32" x14ac:dyDescent="0.3">
      <c r="A117" s="90"/>
      <c r="B117" s="74" t="s">
        <v>23</v>
      </c>
      <c r="C117" s="95" t="str" cm="1">
        <f t="array" ref="C117">UPPER(INDEX(_xlfn.TEXTSPLIT($F117, "-"), 3))</f>
        <v>IF</v>
      </c>
      <c r="D117" s="80" t="s">
        <v>320</v>
      </c>
      <c r="E117" s="74" t="s">
        <v>24</v>
      </c>
      <c r="F117" s="74" t="s">
        <v>460</v>
      </c>
      <c r="G117" s="80" t="s">
        <v>594</v>
      </c>
      <c r="H117" s="80" t="s">
        <v>616</v>
      </c>
      <c r="I117" s="80">
        <v>8</v>
      </c>
      <c r="J117" s="80">
        <v>64</v>
      </c>
      <c r="K117" s="74" t="s">
        <v>180</v>
      </c>
      <c r="L117" s="74" t="s">
        <v>224</v>
      </c>
      <c r="M117" s="80" t="s">
        <v>619</v>
      </c>
      <c r="N117" s="98" t="s">
        <v>1041</v>
      </c>
      <c r="O117" s="74" t="str">
        <f t="shared" si="8"/>
        <v>p-if-nbakadm01-osdisk</v>
      </c>
      <c r="P117" s="97">
        <v>64</v>
      </c>
      <c r="Q117" s="74" t="s">
        <v>179</v>
      </c>
      <c r="R117" s="74"/>
      <c r="S117" s="74"/>
      <c r="T117" s="74"/>
      <c r="U117" s="74" t="str">
        <f t="shared" si="9"/>
        <v>p-if-nbakadm01-nic</v>
      </c>
      <c r="V117" s="74" t="b">
        <v>1</v>
      </c>
      <c r="W117" s="74" t="b">
        <v>1</v>
      </c>
      <c r="X117" s="74" t="s">
        <v>323</v>
      </c>
      <c r="Y117" s="74" t="s">
        <v>238</v>
      </c>
      <c r="Z117" s="74" t="s">
        <v>269</v>
      </c>
      <c r="AA117" s="74" t="b">
        <v>1</v>
      </c>
      <c r="AB117" s="74" t="s">
        <v>323</v>
      </c>
      <c r="AC117" s="74" t="s">
        <v>324</v>
      </c>
      <c r="AD117" s="80">
        <v>1</v>
      </c>
      <c r="AE117" s="74"/>
      <c r="AF117" s="74"/>
    </row>
    <row r="118" spans="1:32" x14ac:dyDescent="0.3">
      <c r="B118" s="102" t="s">
        <v>1046</v>
      </c>
      <c r="C118" s="102" t="str" cm="1">
        <f t="array" ref="C118">UPPER(INDEX(_xlfn.TEXTSPLIT($F118, "-"), 3))</f>
        <v>IF</v>
      </c>
      <c r="D118" s="102" t="s">
        <v>972</v>
      </c>
      <c r="E118" s="102" t="s">
        <v>24</v>
      </c>
      <c r="F118" s="102" t="s">
        <v>461</v>
      </c>
      <c r="G118" s="102" t="s">
        <v>1047</v>
      </c>
      <c r="H118" s="102" t="s">
        <v>1048</v>
      </c>
      <c r="I118" s="102">
        <v>2</v>
      </c>
      <c r="J118" s="102">
        <v>16</v>
      </c>
      <c r="K118" s="102" t="s">
        <v>180</v>
      </c>
      <c r="L118" s="102" t="s">
        <v>178</v>
      </c>
      <c r="M118" s="102" t="s">
        <v>1049</v>
      </c>
      <c r="N118" s="102"/>
      <c r="O118" s="102" t="str">
        <f t="shared" si="8"/>
        <v>p-if-dbenckey01-osdisk</v>
      </c>
      <c r="P118" s="102">
        <v>512</v>
      </c>
      <c r="Q118" s="102" t="s">
        <v>179</v>
      </c>
      <c r="R118" s="102"/>
      <c r="S118" s="102"/>
      <c r="T118" s="102"/>
      <c r="U118" s="102" t="str">
        <f t="shared" si="9"/>
        <v>p-if-dbenckey01-nic</v>
      </c>
      <c r="V118" s="102" t="b">
        <v>1</v>
      </c>
      <c r="W118" s="102" t="b">
        <v>1</v>
      </c>
      <c r="X118" s="102" t="s">
        <v>323</v>
      </c>
      <c r="Y118" s="102" t="s">
        <v>344</v>
      </c>
      <c r="Z118" s="102" t="s">
        <v>1016</v>
      </c>
      <c r="AA118" s="102" t="b">
        <v>1</v>
      </c>
      <c r="AB118" s="102" t="s">
        <v>323</v>
      </c>
      <c r="AC118" s="102" t="s">
        <v>324</v>
      </c>
      <c r="AD118" s="102">
        <v>1</v>
      </c>
      <c r="AE118" s="102"/>
      <c r="AF118" s="102"/>
    </row>
    <row r="119" spans="1:32" x14ac:dyDescent="0.3">
      <c r="B119" s="102" t="s">
        <v>1046</v>
      </c>
      <c r="C119" s="102" t="str" cm="1">
        <f t="array" ref="C119">UPPER(INDEX(_xlfn.TEXTSPLIT($F119, "-"), 3))</f>
        <v>IF</v>
      </c>
      <c r="D119" s="102" t="s">
        <v>972</v>
      </c>
      <c r="E119" s="102" t="s">
        <v>24</v>
      </c>
      <c r="F119" s="102" t="s">
        <v>462</v>
      </c>
      <c r="G119" s="102" t="s">
        <v>1050</v>
      </c>
      <c r="H119" s="102" t="s">
        <v>1048</v>
      </c>
      <c r="I119" s="102">
        <v>2</v>
      </c>
      <c r="J119" s="102">
        <v>16</v>
      </c>
      <c r="K119" s="102" t="s">
        <v>180</v>
      </c>
      <c r="L119" s="102" t="s">
        <v>178</v>
      </c>
      <c r="M119" s="102" t="s">
        <v>1049</v>
      </c>
      <c r="N119" s="102"/>
      <c r="O119" s="102" t="str">
        <f t="shared" si="8"/>
        <v>p-if-dbenckey02-osdisk</v>
      </c>
      <c r="P119" s="102">
        <v>512</v>
      </c>
      <c r="Q119" s="102" t="s">
        <v>179</v>
      </c>
      <c r="R119" s="102"/>
      <c r="S119" s="102"/>
      <c r="T119" s="102"/>
      <c r="U119" s="102" t="str">
        <f t="shared" si="9"/>
        <v>p-if-dbenckey02-nic</v>
      </c>
      <c r="V119" s="102" t="b">
        <v>1</v>
      </c>
      <c r="W119" s="102" t="b">
        <v>1</v>
      </c>
      <c r="X119" s="102" t="s">
        <v>323</v>
      </c>
      <c r="Y119" s="102" t="s">
        <v>344</v>
      </c>
      <c r="Z119" s="102" t="s">
        <v>1016</v>
      </c>
      <c r="AA119" s="102" t="b">
        <v>1</v>
      </c>
      <c r="AB119" s="102" t="s">
        <v>323</v>
      </c>
      <c r="AC119" s="102" t="s">
        <v>324</v>
      </c>
      <c r="AD119" s="102">
        <v>2</v>
      </c>
      <c r="AE119" s="102"/>
      <c r="AF119" s="102"/>
    </row>
    <row r="120" spans="1:32" x14ac:dyDescent="0.3">
      <c r="A120" s="90"/>
      <c r="B120" s="74" t="s">
        <v>23</v>
      </c>
      <c r="C120" s="95" t="str" cm="1">
        <f t="array" ref="C120">UPPER(INDEX(_xlfn.TEXTSPLIT($F120, "-"), 3))</f>
        <v>CS</v>
      </c>
      <c r="D120" s="80" t="s">
        <v>316</v>
      </c>
      <c r="E120" s="74" t="s">
        <v>24</v>
      </c>
      <c r="F120" s="74" t="s">
        <v>463</v>
      </c>
      <c r="G120" s="80" t="s">
        <v>595</v>
      </c>
      <c r="H120" s="80" t="s">
        <v>608</v>
      </c>
      <c r="I120" s="80">
        <v>4</v>
      </c>
      <c r="J120" s="80">
        <v>32</v>
      </c>
      <c r="K120" s="74" t="s">
        <v>180</v>
      </c>
      <c r="L120" s="74" t="s">
        <v>224</v>
      </c>
      <c r="M120" s="80" t="s">
        <v>619</v>
      </c>
      <c r="N120" s="98" t="s">
        <v>1041</v>
      </c>
      <c r="O120" s="74" t="str">
        <f t="shared" si="8"/>
        <v>p-cs-chtap01-osdisk</v>
      </c>
      <c r="P120" s="97">
        <v>64</v>
      </c>
      <c r="Q120" s="74" t="s">
        <v>179</v>
      </c>
      <c r="R120" s="74"/>
      <c r="S120" s="74"/>
      <c r="T120" s="74"/>
      <c r="U120" s="74" t="str">
        <f t="shared" si="9"/>
        <v>p-cs-chtap01-nic</v>
      </c>
      <c r="V120" s="74" t="b">
        <v>1</v>
      </c>
      <c r="W120" s="74" t="b">
        <v>1</v>
      </c>
      <c r="X120" s="74" t="s">
        <v>323</v>
      </c>
      <c r="Y120" s="74" t="s">
        <v>238</v>
      </c>
      <c r="Z120" s="74" t="s">
        <v>272</v>
      </c>
      <c r="AA120" s="74" t="b">
        <v>1</v>
      </c>
      <c r="AB120" s="74" t="s">
        <v>323</v>
      </c>
      <c r="AC120" s="74" t="s">
        <v>324</v>
      </c>
      <c r="AD120" s="80">
        <v>1</v>
      </c>
      <c r="AE120" s="74"/>
      <c r="AF120" s="74"/>
    </row>
    <row r="121" spans="1:32" x14ac:dyDescent="0.3">
      <c r="A121" s="90"/>
      <c r="B121" s="74" t="s">
        <v>23</v>
      </c>
      <c r="C121" s="95" t="str" cm="1">
        <f t="array" ref="C121">UPPER(INDEX(_xlfn.TEXTSPLIT($F121, "-"), 3))</f>
        <v>CS</v>
      </c>
      <c r="D121" s="80" t="s">
        <v>316</v>
      </c>
      <c r="E121" s="74" t="s">
        <v>24</v>
      </c>
      <c r="F121" s="74" t="s">
        <v>464</v>
      </c>
      <c r="G121" s="80" t="s">
        <v>596</v>
      </c>
      <c r="H121" s="80" t="s">
        <v>608</v>
      </c>
      <c r="I121" s="80">
        <v>4</v>
      </c>
      <c r="J121" s="80">
        <v>32</v>
      </c>
      <c r="K121" s="74" t="s">
        <v>180</v>
      </c>
      <c r="L121" s="74" t="s">
        <v>224</v>
      </c>
      <c r="M121" s="80" t="s">
        <v>619</v>
      </c>
      <c r="N121" s="98" t="s">
        <v>1041</v>
      </c>
      <c r="O121" s="74" t="str">
        <f t="shared" si="8"/>
        <v>p-cs-chtap02-osdisk</v>
      </c>
      <c r="P121" s="97">
        <v>64</v>
      </c>
      <c r="Q121" s="74" t="s">
        <v>179</v>
      </c>
      <c r="R121" s="74"/>
      <c r="S121" s="74"/>
      <c r="T121" s="74"/>
      <c r="U121" s="74" t="str">
        <f t="shared" si="9"/>
        <v>p-cs-chtap02-nic</v>
      </c>
      <c r="V121" s="74" t="b">
        <v>1</v>
      </c>
      <c r="W121" s="74" t="b">
        <v>1</v>
      </c>
      <c r="X121" s="74" t="s">
        <v>323</v>
      </c>
      <c r="Y121" s="74" t="s">
        <v>238</v>
      </c>
      <c r="Z121" s="74" t="s">
        <v>272</v>
      </c>
      <c r="AA121" s="74" t="b">
        <v>1</v>
      </c>
      <c r="AB121" s="74" t="s">
        <v>323</v>
      </c>
      <c r="AC121" s="74" t="s">
        <v>324</v>
      </c>
      <c r="AD121" s="80">
        <v>2</v>
      </c>
      <c r="AE121" s="74"/>
      <c r="AF121" s="74"/>
    </row>
    <row r="122" spans="1:32" x14ac:dyDescent="0.3">
      <c r="A122" s="90"/>
      <c r="B122" s="74" t="s">
        <v>23</v>
      </c>
      <c r="C122" s="95" t="str" cm="1">
        <f t="array" ref="C122">UPPER(INDEX(_xlfn.TEXTSPLIT($F122, "-"), 3))</f>
        <v>CS</v>
      </c>
      <c r="D122" s="80" t="s">
        <v>316</v>
      </c>
      <c r="E122" s="74" t="s">
        <v>24</v>
      </c>
      <c r="F122" s="74" t="s">
        <v>465</v>
      </c>
      <c r="G122" s="80" t="s">
        <v>597</v>
      </c>
      <c r="H122" s="80" t="s">
        <v>609</v>
      </c>
      <c r="I122" s="80">
        <v>2</v>
      </c>
      <c r="J122" s="80">
        <v>8</v>
      </c>
      <c r="K122" s="74" t="s">
        <v>180</v>
      </c>
      <c r="L122" s="74" t="s">
        <v>224</v>
      </c>
      <c r="M122" s="80" t="s">
        <v>619</v>
      </c>
      <c r="N122" s="98" t="s">
        <v>1042</v>
      </c>
      <c r="O122" s="74" t="str">
        <f t="shared" si="8"/>
        <v>p-cs-chtweb01-osdisk</v>
      </c>
      <c r="P122" s="97">
        <v>64</v>
      </c>
      <c r="Q122" s="74" t="s">
        <v>179</v>
      </c>
      <c r="R122" s="74"/>
      <c r="S122" s="74"/>
      <c r="T122" s="74"/>
      <c r="U122" s="74" t="str">
        <f t="shared" si="9"/>
        <v>p-cs-chtweb01-nic</v>
      </c>
      <c r="V122" s="74" t="b">
        <v>1</v>
      </c>
      <c r="W122" s="74" t="b">
        <v>1</v>
      </c>
      <c r="X122" s="74" t="s">
        <v>323</v>
      </c>
      <c r="Y122" s="74" t="s">
        <v>237</v>
      </c>
      <c r="Z122" s="74" t="s">
        <v>247</v>
      </c>
      <c r="AA122" s="74" t="b">
        <v>1</v>
      </c>
      <c r="AB122" s="74" t="s">
        <v>323</v>
      </c>
      <c r="AC122" s="74" t="s">
        <v>324</v>
      </c>
      <c r="AD122" s="80">
        <v>1</v>
      </c>
      <c r="AE122" s="74"/>
      <c r="AF122" s="74"/>
    </row>
    <row r="123" spans="1:32" x14ac:dyDescent="0.3">
      <c r="A123" s="90"/>
      <c r="B123" s="74" t="s">
        <v>23</v>
      </c>
      <c r="C123" s="95" t="str" cm="1">
        <f t="array" ref="C123">UPPER(INDEX(_xlfn.TEXTSPLIT($F123, "-"), 3))</f>
        <v>CS</v>
      </c>
      <c r="D123" s="80" t="s">
        <v>316</v>
      </c>
      <c r="E123" s="74" t="s">
        <v>24</v>
      </c>
      <c r="F123" s="74" t="s">
        <v>466</v>
      </c>
      <c r="G123" s="80" t="s">
        <v>598</v>
      </c>
      <c r="H123" s="80" t="s">
        <v>609</v>
      </c>
      <c r="I123" s="80">
        <v>2</v>
      </c>
      <c r="J123" s="80">
        <v>8</v>
      </c>
      <c r="K123" s="74" t="s">
        <v>180</v>
      </c>
      <c r="L123" s="74" t="s">
        <v>224</v>
      </c>
      <c r="M123" s="80" t="s">
        <v>619</v>
      </c>
      <c r="N123" s="98" t="s">
        <v>1042</v>
      </c>
      <c r="O123" s="74" t="str">
        <f t="shared" si="8"/>
        <v>p-cs-chtweb02-osdisk</v>
      </c>
      <c r="P123" s="97">
        <v>64</v>
      </c>
      <c r="Q123" s="74" t="s">
        <v>179</v>
      </c>
      <c r="R123" s="74"/>
      <c r="S123" s="74"/>
      <c r="T123" s="74"/>
      <c r="U123" s="74" t="str">
        <f t="shared" si="9"/>
        <v>p-cs-chtweb02-nic</v>
      </c>
      <c r="V123" s="74" t="b">
        <v>1</v>
      </c>
      <c r="W123" s="74" t="b">
        <v>1</v>
      </c>
      <c r="X123" s="74" t="s">
        <v>323</v>
      </c>
      <c r="Y123" s="74" t="s">
        <v>237</v>
      </c>
      <c r="Z123" s="74" t="s">
        <v>247</v>
      </c>
      <c r="AA123" s="74" t="b">
        <v>1</v>
      </c>
      <c r="AB123" s="74" t="s">
        <v>323</v>
      </c>
      <c r="AC123" s="74" t="s">
        <v>324</v>
      </c>
      <c r="AD123" s="80">
        <v>2</v>
      </c>
      <c r="AE123" s="74"/>
      <c r="AF123" s="74"/>
    </row>
    <row r="124" spans="1:32" x14ac:dyDescent="0.3">
      <c r="A124" s="90"/>
      <c r="B124" s="74" t="s">
        <v>23</v>
      </c>
      <c r="C124" s="95" t="str" cm="1">
        <f t="array" ref="C124">UPPER(INDEX(_xlfn.TEXTSPLIT($F124, "-"), 3))</f>
        <v>CS</v>
      </c>
      <c r="D124" s="80" t="s">
        <v>316</v>
      </c>
      <c r="E124" s="74" t="s">
        <v>24</v>
      </c>
      <c r="F124" s="74" t="s">
        <v>467</v>
      </c>
      <c r="G124" s="80" t="s">
        <v>599</v>
      </c>
      <c r="H124" s="80" t="s">
        <v>609</v>
      </c>
      <c r="I124" s="80">
        <v>2</v>
      </c>
      <c r="J124" s="80">
        <v>8</v>
      </c>
      <c r="K124" s="74" t="s">
        <v>180</v>
      </c>
      <c r="L124" s="74" t="s">
        <v>224</v>
      </c>
      <c r="M124" s="80" t="s">
        <v>619</v>
      </c>
      <c r="N124" s="98" t="s">
        <v>1042</v>
      </c>
      <c r="O124" s="74" t="str">
        <f t="shared" si="8"/>
        <v>p-cs-chtintweb01-osdisk</v>
      </c>
      <c r="P124" s="97">
        <v>64</v>
      </c>
      <c r="Q124" s="74" t="s">
        <v>179</v>
      </c>
      <c r="R124" s="74"/>
      <c r="S124" s="74"/>
      <c r="T124" s="74"/>
      <c r="U124" s="74" t="str">
        <f t="shared" si="9"/>
        <v>p-cs-chtintweb01-nic</v>
      </c>
      <c r="V124" s="74" t="b">
        <v>1</v>
      </c>
      <c r="W124" s="74" t="b">
        <v>1</v>
      </c>
      <c r="X124" s="74" t="s">
        <v>323</v>
      </c>
      <c r="Y124" s="74" t="s">
        <v>238</v>
      </c>
      <c r="Z124" s="74" t="s">
        <v>272</v>
      </c>
      <c r="AA124" s="74" t="b">
        <v>1</v>
      </c>
      <c r="AB124" s="74" t="s">
        <v>323</v>
      </c>
      <c r="AC124" s="74" t="s">
        <v>324</v>
      </c>
      <c r="AD124" s="80">
        <v>1</v>
      </c>
      <c r="AE124" s="74"/>
      <c r="AF124" s="74"/>
    </row>
    <row r="125" spans="1:32" x14ac:dyDescent="0.3">
      <c r="A125" s="90"/>
      <c r="B125" s="74" t="s">
        <v>23</v>
      </c>
      <c r="C125" s="95" t="str" cm="1">
        <f t="array" ref="C125">UPPER(INDEX(_xlfn.TEXTSPLIT($F125, "-"), 3))</f>
        <v>CS</v>
      </c>
      <c r="D125" s="80" t="s">
        <v>316</v>
      </c>
      <c r="E125" s="74" t="s">
        <v>24</v>
      </c>
      <c r="F125" s="74" t="s">
        <v>468</v>
      </c>
      <c r="G125" s="80" t="s">
        <v>600</v>
      </c>
      <c r="H125" s="80" t="s">
        <v>609</v>
      </c>
      <c r="I125" s="80">
        <v>2</v>
      </c>
      <c r="J125" s="80">
        <v>8</v>
      </c>
      <c r="K125" s="74" t="s">
        <v>180</v>
      </c>
      <c r="L125" s="74" t="s">
        <v>224</v>
      </c>
      <c r="M125" s="80" t="s">
        <v>619</v>
      </c>
      <c r="N125" s="98" t="s">
        <v>1042</v>
      </c>
      <c r="O125" s="74" t="str">
        <f t="shared" si="8"/>
        <v>p-cs-chtintweb02-osdisk</v>
      </c>
      <c r="P125" s="97">
        <v>64</v>
      </c>
      <c r="Q125" s="74" t="s">
        <v>179</v>
      </c>
      <c r="R125" s="74"/>
      <c r="S125" s="74"/>
      <c r="T125" s="74"/>
      <c r="U125" s="74" t="str">
        <f t="shared" si="9"/>
        <v>p-cs-chtintweb02-nic</v>
      </c>
      <c r="V125" s="74" t="b">
        <v>1</v>
      </c>
      <c r="W125" s="74" t="b">
        <v>1</v>
      </c>
      <c r="X125" s="74" t="s">
        <v>323</v>
      </c>
      <c r="Y125" s="74" t="s">
        <v>238</v>
      </c>
      <c r="Z125" s="74" t="s">
        <v>272</v>
      </c>
      <c r="AA125" s="74" t="b">
        <v>1</v>
      </c>
      <c r="AB125" s="74" t="s">
        <v>323</v>
      </c>
      <c r="AC125" s="74" t="s">
        <v>324</v>
      </c>
      <c r="AD125" s="80">
        <v>2</v>
      </c>
      <c r="AE125" s="74"/>
      <c r="AF125" s="74"/>
    </row>
    <row r="126" spans="1:32" x14ac:dyDescent="0.3">
      <c r="A126" s="90"/>
      <c r="B126" s="74" t="s">
        <v>23</v>
      </c>
      <c r="C126" s="95" t="str" cm="1">
        <f t="array" ref="C126">UPPER(INDEX(_xlfn.TEXTSPLIT($F126, "-"), 3))</f>
        <v>DOIP</v>
      </c>
      <c r="D126" s="74" t="s">
        <v>974</v>
      </c>
      <c r="E126" s="74" t="s">
        <v>24</v>
      </c>
      <c r="F126" s="74" t="s">
        <v>469</v>
      </c>
      <c r="G126" s="74" t="s">
        <v>1051</v>
      </c>
      <c r="H126" s="74" t="s">
        <v>1048</v>
      </c>
      <c r="I126" s="74">
        <v>2</v>
      </c>
      <c r="J126" s="74">
        <v>16</v>
      </c>
      <c r="K126" s="74" t="s">
        <v>180</v>
      </c>
      <c r="L126" s="74" t="s">
        <v>178</v>
      </c>
      <c r="M126" s="74" t="s">
        <v>1049</v>
      </c>
      <c r="N126" s="112" t="s">
        <v>1064</v>
      </c>
      <c r="O126" s="74" t="str">
        <f t="shared" si="8"/>
        <v>p-doip-web01-osdisk</v>
      </c>
      <c r="P126" s="74">
        <v>64</v>
      </c>
      <c r="Q126" s="74" t="s">
        <v>179</v>
      </c>
      <c r="R126" s="74"/>
      <c r="S126" s="74"/>
      <c r="T126" s="74"/>
      <c r="U126" s="74" t="str">
        <f t="shared" si="9"/>
        <v>p-doip-web01-nic</v>
      </c>
      <c r="V126" s="74" t="b">
        <v>1</v>
      </c>
      <c r="W126" s="74" t="b">
        <v>1</v>
      </c>
      <c r="X126" s="74" t="s">
        <v>323</v>
      </c>
      <c r="Y126" s="74" t="s">
        <v>344</v>
      </c>
      <c r="Z126" s="74" t="s">
        <v>1019</v>
      </c>
      <c r="AA126" s="74" t="b">
        <v>1</v>
      </c>
      <c r="AB126" s="74" t="s">
        <v>323</v>
      </c>
      <c r="AC126" s="74" t="s">
        <v>324</v>
      </c>
      <c r="AD126" s="74">
        <v>1</v>
      </c>
      <c r="AE126" s="74"/>
      <c r="AF126" s="74"/>
    </row>
    <row r="127" spans="1:32" x14ac:dyDescent="0.3">
      <c r="A127" s="90"/>
      <c r="B127" s="74" t="s">
        <v>23</v>
      </c>
      <c r="C127" s="95" t="str" cm="1">
        <f t="array" ref="C127">UPPER(INDEX(_xlfn.TEXTSPLIT($F127, "-"), 3))</f>
        <v>DOIP</v>
      </c>
      <c r="D127" s="74" t="s">
        <v>974</v>
      </c>
      <c r="E127" s="74" t="s">
        <v>24</v>
      </c>
      <c r="F127" s="74" t="s">
        <v>470</v>
      </c>
      <c r="G127" s="74" t="s">
        <v>1052</v>
      </c>
      <c r="H127" s="74" t="s">
        <v>1048</v>
      </c>
      <c r="I127" s="74">
        <v>2</v>
      </c>
      <c r="J127" s="74">
        <v>16</v>
      </c>
      <c r="K127" s="74" t="s">
        <v>180</v>
      </c>
      <c r="L127" s="74" t="s">
        <v>178</v>
      </c>
      <c r="M127" s="74" t="s">
        <v>1049</v>
      </c>
      <c r="N127" s="112" t="s">
        <v>1064</v>
      </c>
      <c r="O127" s="74" t="str">
        <f t="shared" si="8"/>
        <v>p-doip-web02-osdisk</v>
      </c>
      <c r="P127" s="74">
        <v>64</v>
      </c>
      <c r="Q127" s="74" t="s">
        <v>179</v>
      </c>
      <c r="R127" s="74"/>
      <c r="S127" s="74"/>
      <c r="T127" s="74"/>
      <c r="U127" s="74" t="str">
        <f t="shared" si="9"/>
        <v>p-doip-web02-nic</v>
      </c>
      <c r="V127" s="74" t="b">
        <v>1</v>
      </c>
      <c r="W127" s="74" t="b">
        <v>1</v>
      </c>
      <c r="X127" s="74" t="s">
        <v>323</v>
      </c>
      <c r="Y127" s="74" t="s">
        <v>344</v>
      </c>
      <c r="Z127" s="74" t="s">
        <v>1019</v>
      </c>
      <c r="AA127" s="74" t="b">
        <v>1</v>
      </c>
      <c r="AB127" s="74" t="s">
        <v>323</v>
      </c>
      <c r="AC127" s="74" t="s">
        <v>324</v>
      </c>
      <c r="AD127" s="74">
        <v>2</v>
      </c>
      <c r="AE127" s="74"/>
      <c r="AF127" s="74"/>
    </row>
    <row r="128" spans="1:32" x14ac:dyDescent="0.3">
      <c r="A128" s="90"/>
      <c r="B128" s="74" t="s">
        <v>23</v>
      </c>
      <c r="C128" s="95" t="str" cm="1">
        <f t="array" ref="C128">UPPER(INDEX(_xlfn.TEXTSPLIT($F128, "-"), 3))</f>
        <v>DOIP</v>
      </c>
      <c r="D128" s="74" t="s">
        <v>974</v>
      </c>
      <c r="E128" s="74" t="s">
        <v>24</v>
      </c>
      <c r="F128" s="74" t="s">
        <v>471</v>
      </c>
      <c r="G128" s="74" t="s">
        <v>1053</v>
      </c>
      <c r="H128" s="74" t="s">
        <v>1048</v>
      </c>
      <c r="I128" s="74">
        <v>2</v>
      </c>
      <c r="J128" s="74">
        <v>16</v>
      </c>
      <c r="K128" s="74" t="s">
        <v>180</v>
      </c>
      <c r="L128" s="74" t="s">
        <v>178</v>
      </c>
      <c r="M128" s="74" t="s">
        <v>1049</v>
      </c>
      <c r="N128" s="112" t="s">
        <v>1066</v>
      </c>
      <c r="O128" s="74" t="str">
        <f t="shared" si="8"/>
        <v>p-doip-ap01-osdisk</v>
      </c>
      <c r="P128" s="74">
        <v>64</v>
      </c>
      <c r="Q128" s="74" t="s">
        <v>179</v>
      </c>
      <c r="R128" s="74"/>
      <c r="S128" s="74"/>
      <c r="T128" s="74"/>
      <c r="U128" s="74" t="str">
        <f t="shared" si="9"/>
        <v>p-doip-ap01-nic</v>
      </c>
      <c r="V128" s="74" t="b">
        <v>1</v>
      </c>
      <c r="W128" s="74" t="b">
        <v>1</v>
      </c>
      <c r="X128" s="74" t="s">
        <v>323</v>
      </c>
      <c r="Y128" s="74" t="s">
        <v>344</v>
      </c>
      <c r="Z128" s="74" t="s">
        <v>1019</v>
      </c>
      <c r="AA128" s="74" t="b">
        <v>1</v>
      </c>
      <c r="AB128" s="74" t="s">
        <v>323</v>
      </c>
      <c r="AC128" s="74" t="s">
        <v>324</v>
      </c>
      <c r="AD128" s="74">
        <v>1</v>
      </c>
      <c r="AE128" s="74"/>
      <c r="AF128" s="74"/>
    </row>
    <row r="129" spans="1:32" x14ac:dyDescent="0.3">
      <c r="A129" s="90"/>
      <c r="B129" s="74" t="s">
        <v>23</v>
      </c>
      <c r="C129" s="95" t="str" cm="1">
        <f t="array" ref="C129">UPPER(INDEX(_xlfn.TEXTSPLIT($F129, "-"), 3))</f>
        <v>DOIP</v>
      </c>
      <c r="D129" s="74" t="s">
        <v>974</v>
      </c>
      <c r="E129" s="74" t="s">
        <v>24</v>
      </c>
      <c r="F129" s="74" t="s">
        <v>472</v>
      </c>
      <c r="G129" s="74" t="s">
        <v>1054</v>
      </c>
      <c r="H129" s="74" t="s">
        <v>1048</v>
      </c>
      <c r="I129" s="74">
        <v>2</v>
      </c>
      <c r="J129" s="74">
        <v>16</v>
      </c>
      <c r="K129" s="74" t="s">
        <v>180</v>
      </c>
      <c r="L129" s="74" t="s">
        <v>178</v>
      </c>
      <c r="M129" s="74" t="s">
        <v>1049</v>
      </c>
      <c r="N129" s="112" t="s">
        <v>1066</v>
      </c>
      <c r="O129" s="74" t="str">
        <f t="shared" ref="O129:O140" si="10">SUBSTITUTE(F129,"hazr-","")&amp;"-osdisk"</f>
        <v>p-doip-ap02-osdisk</v>
      </c>
      <c r="P129" s="74">
        <v>64</v>
      </c>
      <c r="Q129" s="74" t="s">
        <v>179</v>
      </c>
      <c r="R129" s="74"/>
      <c r="S129" s="74"/>
      <c r="T129" s="74"/>
      <c r="U129" s="74" t="str">
        <f t="shared" ref="U129:U140" si="11">SUBSTITUTE(F129,"hazr-","")&amp;"-nic"</f>
        <v>p-doip-ap02-nic</v>
      </c>
      <c r="V129" s="74" t="b">
        <v>1</v>
      </c>
      <c r="W129" s="74" t="b">
        <v>1</v>
      </c>
      <c r="X129" s="74" t="s">
        <v>323</v>
      </c>
      <c r="Y129" s="74" t="s">
        <v>344</v>
      </c>
      <c r="Z129" s="74" t="s">
        <v>1019</v>
      </c>
      <c r="AA129" s="74" t="b">
        <v>1</v>
      </c>
      <c r="AB129" s="74" t="s">
        <v>323</v>
      </c>
      <c r="AC129" s="74" t="s">
        <v>324</v>
      </c>
      <c r="AD129" s="74">
        <v>2</v>
      </c>
      <c r="AE129" s="74"/>
      <c r="AF129" s="74"/>
    </row>
    <row r="130" spans="1:32" x14ac:dyDescent="0.3">
      <c r="A130" s="90"/>
      <c r="B130" s="74" t="s">
        <v>23</v>
      </c>
      <c r="C130" s="95" t="str" cm="1">
        <f t="array" ref="C130">UPPER(INDEX(_xlfn.TEXTSPLIT($F130, "-"), 3))</f>
        <v>DOIP</v>
      </c>
      <c r="D130" s="74" t="s">
        <v>974</v>
      </c>
      <c r="E130" s="74" t="s">
        <v>24</v>
      </c>
      <c r="F130" s="74" t="s">
        <v>473</v>
      </c>
      <c r="G130" s="74" t="s">
        <v>1055</v>
      </c>
      <c r="H130" s="74" t="s">
        <v>1048</v>
      </c>
      <c r="I130" s="74">
        <v>2</v>
      </c>
      <c r="J130" s="74">
        <v>16</v>
      </c>
      <c r="K130" s="74" t="s">
        <v>180</v>
      </c>
      <c r="L130" s="74" t="s">
        <v>178</v>
      </c>
      <c r="M130" s="74" t="s">
        <v>1049</v>
      </c>
      <c r="N130" s="112" t="s">
        <v>1066</v>
      </c>
      <c r="O130" s="74" t="str">
        <f t="shared" si="10"/>
        <v>p-doip-adm01-osdisk</v>
      </c>
      <c r="P130" s="74">
        <v>64</v>
      </c>
      <c r="Q130" s="74" t="s">
        <v>179</v>
      </c>
      <c r="R130" s="74"/>
      <c r="S130" s="74"/>
      <c r="T130" s="74"/>
      <c r="U130" s="74" t="str">
        <f t="shared" si="11"/>
        <v>p-doip-adm01-nic</v>
      </c>
      <c r="V130" s="74" t="b">
        <v>1</v>
      </c>
      <c r="W130" s="74" t="b">
        <v>1</v>
      </c>
      <c r="X130" s="74" t="s">
        <v>323</v>
      </c>
      <c r="Y130" s="74" t="s">
        <v>344</v>
      </c>
      <c r="Z130" s="74" t="s">
        <v>1019</v>
      </c>
      <c r="AA130" s="74" t="b">
        <v>1</v>
      </c>
      <c r="AB130" s="74" t="s">
        <v>323</v>
      </c>
      <c r="AC130" s="74" t="s">
        <v>324</v>
      </c>
      <c r="AD130" s="74">
        <v>1</v>
      </c>
      <c r="AE130" s="74"/>
      <c r="AF130" s="74"/>
    </row>
    <row r="131" spans="1:32" x14ac:dyDescent="0.3">
      <c r="A131" s="90"/>
      <c r="B131" s="74" t="s">
        <v>23</v>
      </c>
      <c r="C131" s="95" t="str" cm="1">
        <f t="array" ref="C131">UPPER(INDEX(_xlfn.TEXTSPLIT($F131, "-"), 3))</f>
        <v>DOIP</v>
      </c>
      <c r="D131" s="74" t="s">
        <v>974</v>
      </c>
      <c r="E131" s="74" t="s">
        <v>24</v>
      </c>
      <c r="F131" s="74" t="s">
        <v>474</v>
      </c>
      <c r="G131" s="74" t="s">
        <v>1056</v>
      </c>
      <c r="H131" s="74" t="s">
        <v>1048</v>
      </c>
      <c r="I131" s="74">
        <v>2</v>
      </c>
      <c r="J131" s="74">
        <v>16</v>
      </c>
      <c r="K131" s="74" t="s">
        <v>180</v>
      </c>
      <c r="L131" s="74" t="s">
        <v>178</v>
      </c>
      <c r="M131" s="74" t="s">
        <v>1049</v>
      </c>
      <c r="N131" s="112" t="s">
        <v>1066</v>
      </c>
      <c r="O131" s="74" t="str">
        <f t="shared" si="10"/>
        <v>p-doip-adm02-osdisk</v>
      </c>
      <c r="P131" s="74">
        <v>64</v>
      </c>
      <c r="Q131" s="74" t="s">
        <v>179</v>
      </c>
      <c r="R131" s="74"/>
      <c r="S131" s="74"/>
      <c r="T131" s="74"/>
      <c r="U131" s="74" t="str">
        <f t="shared" si="11"/>
        <v>p-doip-adm02-nic</v>
      </c>
      <c r="V131" s="74" t="b">
        <v>1</v>
      </c>
      <c r="W131" s="74" t="b">
        <v>1</v>
      </c>
      <c r="X131" s="74" t="s">
        <v>323</v>
      </c>
      <c r="Y131" s="74" t="s">
        <v>344</v>
      </c>
      <c r="Z131" s="74" t="s">
        <v>1019</v>
      </c>
      <c r="AA131" s="74" t="b">
        <v>1</v>
      </c>
      <c r="AB131" s="74" t="s">
        <v>323</v>
      </c>
      <c r="AC131" s="74" t="s">
        <v>324</v>
      </c>
      <c r="AD131" s="74">
        <v>2</v>
      </c>
      <c r="AE131" s="74"/>
      <c r="AF131" s="74"/>
    </row>
    <row r="132" spans="1:32" x14ac:dyDescent="0.3">
      <c r="A132" s="90"/>
      <c r="B132" s="74" t="s">
        <v>23</v>
      </c>
      <c r="C132" s="95" t="str" cm="1">
        <f t="array" ref="C132">UPPER(INDEX(_xlfn.TEXTSPLIT($F132, "-"), 3))</f>
        <v>BDP</v>
      </c>
      <c r="D132" s="80" t="s">
        <v>321</v>
      </c>
      <c r="E132" s="74" t="s">
        <v>24</v>
      </c>
      <c r="F132" s="74" t="s">
        <v>475</v>
      </c>
      <c r="G132" s="80" t="s">
        <v>601</v>
      </c>
      <c r="H132" s="80" t="s">
        <v>609</v>
      </c>
      <c r="I132" s="80">
        <v>2</v>
      </c>
      <c r="J132" s="80">
        <v>8</v>
      </c>
      <c r="K132" s="74" t="s">
        <v>180</v>
      </c>
      <c r="L132" s="74" t="s">
        <v>224</v>
      </c>
      <c r="M132" s="80" t="s">
        <v>619</v>
      </c>
      <c r="N132" s="98" t="s">
        <v>1042</v>
      </c>
      <c r="O132" s="74" t="str">
        <f t="shared" si="10"/>
        <v>p-bdp-crkweb01-osdisk</v>
      </c>
      <c r="P132" s="97">
        <v>64</v>
      </c>
      <c r="Q132" s="74" t="s">
        <v>179</v>
      </c>
      <c r="R132" s="74"/>
      <c r="S132" s="74"/>
      <c r="T132" s="74"/>
      <c r="U132" s="74" t="str">
        <f t="shared" si="11"/>
        <v>p-bdp-crkweb01-nic</v>
      </c>
      <c r="V132" s="74" t="b">
        <v>1</v>
      </c>
      <c r="W132" s="74" t="b">
        <v>1</v>
      </c>
      <c r="X132" s="74" t="s">
        <v>323</v>
      </c>
      <c r="Y132" s="74" t="s">
        <v>237</v>
      </c>
      <c r="Z132" s="74" t="s">
        <v>243</v>
      </c>
      <c r="AA132" s="74" t="b">
        <v>1</v>
      </c>
      <c r="AB132" s="74" t="s">
        <v>323</v>
      </c>
      <c r="AC132" s="74" t="s">
        <v>324</v>
      </c>
      <c r="AD132" s="80">
        <v>1</v>
      </c>
      <c r="AE132" s="74"/>
      <c r="AF132" s="74"/>
    </row>
    <row r="133" spans="1:32" x14ac:dyDescent="0.3">
      <c r="A133" s="90"/>
      <c r="B133" s="74" t="s">
        <v>23</v>
      </c>
      <c r="C133" s="95" t="str" cm="1">
        <f t="array" ref="C133">UPPER(INDEX(_xlfn.TEXTSPLIT($F133, "-"), 3))</f>
        <v>BDP</v>
      </c>
      <c r="D133" s="80" t="s">
        <v>321</v>
      </c>
      <c r="E133" s="74" t="s">
        <v>24</v>
      </c>
      <c r="F133" s="74" t="s">
        <v>476</v>
      </c>
      <c r="G133" s="80" t="s">
        <v>602</v>
      </c>
      <c r="H133" s="80" t="s">
        <v>609</v>
      </c>
      <c r="I133" s="80">
        <v>2</v>
      </c>
      <c r="J133" s="80">
        <v>8</v>
      </c>
      <c r="K133" s="74" t="s">
        <v>180</v>
      </c>
      <c r="L133" s="74" t="s">
        <v>224</v>
      </c>
      <c r="M133" s="80" t="s">
        <v>619</v>
      </c>
      <c r="N133" s="98" t="s">
        <v>1042</v>
      </c>
      <c r="O133" s="74" t="str">
        <f t="shared" si="10"/>
        <v>p-bdp-crkweb02-osdisk</v>
      </c>
      <c r="P133" s="97">
        <v>64</v>
      </c>
      <c r="Q133" s="74" t="s">
        <v>179</v>
      </c>
      <c r="R133" s="74"/>
      <c r="S133" s="74"/>
      <c r="T133" s="74"/>
      <c r="U133" s="74" t="str">
        <f t="shared" si="11"/>
        <v>p-bdp-crkweb02-nic</v>
      </c>
      <c r="V133" s="74" t="b">
        <v>1</v>
      </c>
      <c r="W133" s="74" t="b">
        <v>1</v>
      </c>
      <c r="X133" s="74" t="s">
        <v>323</v>
      </c>
      <c r="Y133" s="74" t="s">
        <v>237</v>
      </c>
      <c r="Z133" s="74" t="s">
        <v>243</v>
      </c>
      <c r="AA133" s="74" t="b">
        <v>1</v>
      </c>
      <c r="AB133" s="74" t="s">
        <v>323</v>
      </c>
      <c r="AC133" s="74" t="s">
        <v>324</v>
      </c>
      <c r="AD133" s="80">
        <v>2</v>
      </c>
      <c r="AE133" s="74"/>
      <c r="AF133" s="74"/>
    </row>
    <row r="134" spans="1:32" x14ac:dyDescent="0.3">
      <c r="A134" s="90"/>
      <c r="B134" s="74" t="s">
        <v>23</v>
      </c>
      <c r="C134" s="95" t="str" cm="1">
        <f t="array" ref="C134">UPPER(INDEX(_xlfn.TEXTSPLIT($F134, "-"), 3))</f>
        <v>BDP</v>
      </c>
      <c r="D134" s="80" t="s">
        <v>321</v>
      </c>
      <c r="E134" s="74" t="s">
        <v>24</v>
      </c>
      <c r="F134" s="74" t="s">
        <v>477</v>
      </c>
      <c r="G134" s="80" t="s">
        <v>603</v>
      </c>
      <c r="H134" s="80" t="s">
        <v>609</v>
      </c>
      <c r="I134" s="80">
        <v>2</v>
      </c>
      <c r="J134" s="80">
        <v>8</v>
      </c>
      <c r="K134" s="74" t="s">
        <v>180</v>
      </c>
      <c r="L134" s="74" t="s">
        <v>224</v>
      </c>
      <c r="M134" s="80" t="s">
        <v>619</v>
      </c>
      <c r="N134" s="98" t="s">
        <v>1041</v>
      </c>
      <c r="O134" s="74" t="str">
        <f t="shared" si="10"/>
        <v>p-bdp-crkap01-osdisk</v>
      </c>
      <c r="P134" s="97">
        <v>64</v>
      </c>
      <c r="Q134" s="74" t="s">
        <v>179</v>
      </c>
      <c r="R134" s="74"/>
      <c r="S134" s="74"/>
      <c r="T134" s="74"/>
      <c r="U134" s="74" t="str">
        <f t="shared" si="11"/>
        <v>p-bdp-crkap01-nic</v>
      </c>
      <c r="V134" s="74" t="b">
        <v>1</v>
      </c>
      <c r="W134" s="74" t="b">
        <v>1</v>
      </c>
      <c r="X134" s="74" t="s">
        <v>323</v>
      </c>
      <c r="Y134" s="74" t="s">
        <v>238</v>
      </c>
      <c r="Z134" s="74" t="s">
        <v>260</v>
      </c>
      <c r="AA134" s="74" t="b">
        <v>1</v>
      </c>
      <c r="AB134" s="74" t="s">
        <v>323</v>
      </c>
      <c r="AC134" s="74" t="s">
        <v>324</v>
      </c>
      <c r="AD134" s="80">
        <v>1</v>
      </c>
      <c r="AE134" s="74"/>
      <c r="AF134" s="74"/>
    </row>
    <row r="135" spans="1:32" x14ac:dyDescent="0.3">
      <c r="A135" s="90"/>
      <c r="B135" s="74" t="s">
        <v>23</v>
      </c>
      <c r="C135" s="95" t="str" cm="1">
        <f t="array" ref="C135">UPPER(INDEX(_xlfn.TEXTSPLIT($F135, "-"), 3))</f>
        <v>BDP</v>
      </c>
      <c r="D135" s="80" t="s">
        <v>321</v>
      </c>
      <c r="E135" s="74" t="s">
        <v>24</v>
      </c>
      <c r="F135" s="74" t="s">
        <v>478</v>
      </c>
      <c r="G135" s="80" t="s">
        <v>604</v>
      </c>
      <c r="H135" s="80" t="s">
        <v>609</v>
      </c>
      <c r="I135" s="80">
        <v>2</v>
      </c>
      <c r="J135" s="80">
        <v>8</v>
      </c>
      <c r="K135" s="74" t="s">
        <v>180</v>
      </c>
      <c r="L135" s="74" t="s">
        <v>224</v>
      </c>
      <c r="M135" s="80" t="s">
        <v>619</v>
      </c>
      <c r="N135" s="98" t="s">
        <v>1041</v>
      </c>
      <c r="O135" s="74" t="str">
        <f t="shared" si="10"/>
        <v>p-bdp-crkap02-osdisk</v>
      </c>
      <c r="P135" s="97">
        <v>64</v>
      </c>
      <c r="Q135" s="74" t="s">
        <v>179</v>
      </c>
      <c r="R135" s="74"/>
      <c r="S135" s="74"/>
      <c r="T135" s="74"/>
      <c r="U135" s="74" t="str">
        <f t="shared" si="11"/>
        <v>p-bdp-crkap02-nic</v>
      </c>
      <c r="V135" s="74" t="b">
        <v>1</v>
      </c>
      <c r="W135" s="74" t="b">
        <v>1</v>
      </c>
      <c r="X135" s="74" t="s">
        <v>323</v>
      </c>
      <c r="Y135" s="74" t="s">
        <v>238</v>
      </c>
      <c r="Z135" s="74" t="s">
        <v>260</v>
      </c>
      <c r="AA135" s="74" t="b">
        <v>1</v>
      </c>
      <c r="AB135" s="74" t="s">
        <v>323</v>
      </c>
      <c r="AC135" s="74" t="s">
        <v>324</v>
      </c>
      <c r="AD135" s="80">
        <v>2</v>
      </c>
      <c r="AE135" s="74"/>
      <c r="AF135" s="74"/>
    </row>
    <row r="136" spans="1:32" x14ac:dyDescent="0.3">
      <c r="A136" s="90"/>
      <c r="B136" s="74" t="s">
        <v>23</v>
      </c>
      <c r="C136" s="95" t="str" cm="1">
        <f t="array" ref="C136">UPPER(INDEX(_xlfn.TEXTSPLIT($F136, "-"), 3))</f>
        <v>BDP</v>
      </c>
      <c r="D136" s="80" t="s">
        <v>321</v>
      </c>
      <c r="E136" s="74" t="s">
        <v>24</v>
      </c>
      <c r="F136" s="74" t="s">
        <v>479</v>
      </c>
      <c r="G136" s="80" t="s">
        <v>605</v>
      </c>
      <c r="H136" s="80" t="s">
        <v>609</v>
      </c>
      <c r="I136" s="80">
        <v>2</v>
      </c>
      <c r="J136" s="80">
        <v>8</v>
      </c>
      <c r="K136" s="74" t="s">
        <v>180</v>
      </c>
      <c r="L136" s="74" t="s">
        <v>224</v>
      </c>
      <c r="M136" s="80" t="s">
        <v>619</v>
      </c>
      <c r="N136" s="98" t="s">
        <v>1041</v>
      </c>
      <c r="O136" s="74" t="str">
        <f t="shared" si="10"/>
        <v>p-bdp-crkml01-osdisk</v>
      </c>
      <c r="P136" s="97">
        <v>64</v>
      </c>
      <c r="Q136" s="74" t="s">
        <v>179</v>
      </c>
      <c r="R136" s="74"/>
      <c r="S136" s="74"/>
      <c r="T136" s="74"/>
      <c r="U136" s="74" t="str">
        <f t="shared" si="11"/>
        <v>p-bdp-crkml01-nic</v>
      </c>
      <c r="V136" s="74" t="b">
        <v>1</v>
      </c>
      <c r="W136" s="74" t="b">
        <v>1</v>
      </c>
      <c r="X136" s="74" t="s">
        <v>323</v>
      </c>
      <c r="Y136" s="74" t="s">
        <v>238</v>
      </c>
      <c r="Z136" s="74" t="s">
        <v>260</v>
      </c>
      <c r="AA136" s="74" t="b">
        <v>1</v>
      </c>
      <c r="AB136" s="74" t="s">
        <v>323</v>
      </c>
      <c r="AC136" s="74" t="s">
        <v>324</v>
      </c>
      <c r="AD136" s="80">
        <v>1</v>
      </c>
      <c r="AE136" s="74"/>
      <c r="AF136" s="74"/>
    </row>
    <row r="137" spans="1:32" x14ac:dyDescent="0.3">
      <c r="A137" s="90"/>
      <c r="B137" s="74" t="s">
        <v>23</v>
      </c>
      <c r="C137" s="95" t="str" cm="1">
        <f t="array" ref="C137">UPPER(INDEX(_xlfn.TEXTSPLIT($F137, "-"), 3))</f>
        <v>BDP</v>
      </c>
      <c r="D137" s="80" t="s">
        <v>321</v>
      </c>
      <c r="E137" s="74" t="s">
        <v>24</v>
      </c>
      <c r="F137" s="74" t="s">
        <v>480</v>
      </c>
      <c r="G137" s="80" t="s">
        <v>606</v>
      </c>
      <c r="H137" s="80" t="s">
        <v>609</v>
      </c>
      <c r="I137" s="80">
        <v>2</v>
      </c>
      <c r="J137" s="80">
        <v>8</v>
      </c>
      <c r="K137" s="74" t="s">
        <v>180</v>
      </c>
      <c r="L137" s="74" t="s">
        <v>224</v>
      </c>
      <c r="M137" s="80" t="s">
        <v>619</v>
      </c>
      <c r="N137" s="98" t="s">
        <v>1041</v>
      </c>
      <c r="O137" s="74" t="str">
        <f t="shared" si="10"/>
        <v>p-bdp-crkml02-osdisk</v>
      </c>
      <c r="P137" s="97">
        <v>64</v>
      </c>
      <c r="Q137" s="74" t="s">
        <v>179</v>
      </c>
      <c r="R137" s="74"/>
      <c r="S137" s="74"/>
      <c r="T137" s="74"/>
      <c r="U137" s="74" t="str">
        <f t="shared" si="11"/>
        <v>p-bdp-crkml02-nic</v>
      </c>
      <c r="V137" s="74" t="b">
        <v>1</v>
      </c>
      <c r="W137" s="74" t="b">
        <v>1</v>
      </c>
      <c r="X137" s="74" t="s">
        <v>323</v>
      </c>
      <c r="Y137" s="74" t="s">
        <v>238</v>
      </c>
      <c r="Z137" s="74" t="s">
        <v>260</v>
      </c>
      <c r="AA137" s="74" t="b">
        <v>1</v>
      </c>
      <c r="AB137" s="74" t="s">
        <v>323</v>
      </c>
      <c r="AC137" s="74" t="s">
        <v>324</v>
      </c>
      <c r="AD137" s="80">
        <v>2</v>
      </c>
      <c r="AE137" s="74"/>
      <c r="AF137" s="74"/>
    </row>
    <row r="138" spans="1:32" x14ac:dyDescent="0.3">
      <c r="A138" s="90"/>
      <c r="B138" s="74" t="s">
        <v>23</v>
      </c>
      <c r="C138" s="95" t="str" cm="1">
        <f t="array" ref="C138">UPPER(INDEX(_xlfn.TEXTSPLIT($F138, "-"), 3))</f>
        <v>BDP</v>
      </c>
      <c r="D138" s="80" t="s">
        <v>321</v>
      </c>
      <c r="E138" s="74" t="s">
        <v>24</v>
      </c>
      <c r="F138" s="74" t="s">
        <v>481</v>
      </c>
      <c r="G138" s="80" t="s">
        <v>607</v>
      </c>
      <c r="H138" s="80" t="s">
        <v>609</v>
      </c>
      <c r="I138" s="80">
        <v>2</v>
      </c>
      <c r="J138" s="80">
        <v>8</v>
      </c>
      <c r="K138" s="74" t="s">
        <v>180</v>
      </c>
      <c r="L138" s="74" t="s">
        <v>224</v>
      </c>
      <c r="M138" s="80" t="s">
        <v>619</v>
      </c>
      <c r="N138" s="98" t="s">
        <v>1041</v>
      </c>
      <c r="O138" s="74" t="str">
        <f t="shared" si="10"/>
        <v>p-bdp-crkml03-osdisk</v>
      </c>
      <c r="P138" s="97">
        <v>64</v>
      </c>
      <c r="Q138" s="74" t="s">
        <v>179</v>
      </c>
      <c r="R138" s="74"/>
      <c r="S138" s="74"/>
      <c r="T138" s="74"/>
      <c r="U138" s="74" t="str">
        <f t="shared" si="11"/>
        <v>p-bdp-crkml03-nic</v>
      </c>
      <c r="V138" s="74" t="b">
        <v>1</v>
      </c>
      <c r="W138" s="74" t="b">
        <v>1</v>
      </c>
      <c r="X138" s="74" t="s">
        <v>323</v>
      </c>
      <c r="Y138" s="74" t="s">
        <v>238</v>
      </c>
      <c r="Z138" s="74" t="s">
        <v>260</v>
      </c>
      <c r="AA138" s="74" t="b">
        <v>1</v>
      </c>
      <c r="AB138" s="74" t="s">
        <v>323</v>
      </c>
      <c r="AC138" s="74" t="s">
        <v>324</v>
      </c>
      <c r="AD138" s="80">
        <v>3</v>
      </c>
      <c r="AE138" s="74"/>
      <c r="AF138" s="74"/>
    </row>
    <row r="139" spans="1:32" x14ac:dyDescent="0.3">
      <c r="A139" s="90"/>
      <c r="B139" s="74" t="s">
        <v>1100</v>
      </c>
      <c r="C139" s="95" t="str" cm="1">
        <f t="array" ref="C139">UPPER(INDEX(_xlfn.TEXTSPLIT($F139, "-"), 3))</f>
        <v>COM</v>
      </c>
      <c r="D139" s="80" t="s">
        <v>231</v>
      </c>
      <c r="E139" s="74" t="s">
        <v>24</v>
      </c>
      <c r="F139" s="74" t="s">
        <v>482</v>
      </c>
      <c r="G139" s="80" t="s">
        <v>1062</v>
      </c>
      <c r="H139" s="80" t="s">
        <v>613</v>
      </c>
      <c r="I139" s="80">
        <v>8</v>
      </c>
      <c r="J139" s="80">
        <v>32</v>
      </c>
      <c r="K139" s="74" t="s">
        <v>180</v>
      </c>
      <c r="L139" s="74" t="s">
        <v>224</v>
      </c>
      <c r="M139" s="80" t="s">
        <v>619</v>
      </c>
      <c r="N139" s="98" t="s">
        <v>1041</v>
      </c>
      <c r="O139" s="74" t="str">
        <f t="shared" si="10"/>
        <v>l-com-build01-osdisk</v>
      </c>
      <c r="P139" s="97">
        <v>64</v>
      </c>
      <c r="Q139" s="74" t="s">
        <v>179</v>
      </c>
      <c r="R139" s="74"/>
      <c r="S139" s="74"/>
      <c r="T139" s="74"/>
      <c r="U139" s="74" t="str">
        <f t="shared" si="11"/>
        <v>l-com-build01-nic</v>
      </c>
      <c r="V139" s="74" t="b">
        <v>1</v>
      </c>
      <c r="W139" s="74" t="b">
        <v>1</v>
      </c>
      <c r="X139" s="74" t="s">
        <v>231</v>
      </c>
      <c r="Y139" s="74" t="s">
        <v>223</v>
      </c>
      <c r="Z139" s="74" t="s">
        <v>1043</v>
      </c>
      <c r="AA139" s="74" t="b">
        <v>1</v>
      </c>
      <c r="AB139" s="74" t="s">
        <v>231</v>
      </c>
      <c r="AC139" s="74" t="s">
        <v>232</v>
      </c>
      <c r="AD139" s="80">
        <v>1</v>
      </c>
      <c r="AE139" s="74"/>
      <c r="AF139" s="74"/>
    </row>
    <row r="140" spans="1:32" x14ac:dyDescent="0.3">
      <c r="A140" s="90"/>
      <c r="B140" s="74" t="s">
        <v>1100</v>
      </c>
      <c r="C140" s="95" t="str" cm="1">
        <f t="array" ref="C140">UPPER(INDEX(_xlfn.TEXTSPLIT($F140, "-"), 3))</f>
        <v>COM</v>
      </c>
      <c r="D140" s="80" t="s">
        <v>231</v>
      </c>
      <c r="E140" s="74" t="s">
        <v>24</v>
      </c>
      <c r="F140" s="74" t="s">
        <v>483</v>
      </c>
      <c r="G140" s="80" t="s">
        <v>1063</v>
      </c>
      <c r="H140" s="80" t="s">
        <v>609</v>
      </c>
      <c r="I140" s="80">
        <v>2</v>
      </c>
      <c r="J140" s="80">
        <v>8</v>
      </c>
      <c r="K140" s="74" t="s">
        <v>180</v>
      </c>
      <c r="L140" s="74" t="s">
        <v>224</v>
      </c>
      <c r="M140" s="80" t="s">
        <v>619</v>
      </c>
      <c r="N140" s="98" t="s">
        <v>1042</v>
      </c>
      <c r="O140" s="74" t="str">
        <f t="shared" si="10"/>
        <v>l-com-repoweb01-osdisk</v>
      </c>
      <c r="P140" s="97">
        <v>64</v>
      </c>
      <c r="Q140" s="74" t="s">
        <v>179</v>
      </c>
      <c r="R140" s="74"/>
      <c r="S140" s="74"/>
      <c r="T140" s="74"/>
      <c r="U140" s="74" t="str">
        <f t="shared" si="11"/>
        <v>l-com-repoweb01-nic</v>
      </c>
      <c r="V140" s="74" t="b">
        <v>1</v>
      </c>
      <c r="W140" s="74" t="b">
        <v>1</v>
      </c>
      <c r="X140" s="74" t="s">
        <v>231</v>
      </c>
      <c r="Y140" s="74" t="s">
        <v>223</v>
      </c>
      <c r="Z140" s="74" t="s">
        <v>1043</v>
      </c>
      <c r="AA140" s="74" t="b">
        <v>1</v>
      </c>
      <c r="AB140" s="74" t="s">
        <v>231</v>
      </c>
      <c r="AC140" s="74" t="s">
        <v>232</v>
      </c>
      <c r="AD140" s="80">
        <v>1</v>
      </c>
      <c r="AE140" s="74"/>
      <c r="AF140" s="74"/>
    </row>
    <row r="141" spans="1:32" x14ac:dyDescent="0.3">
      <c r="A141" s="90"/>
      <c r="B141" s="95" t="s">
        <v>1100</v>
      </c>
      <c r="C141" s="95" t="str" cm="1">
        <f t="array" ref="C141">UPPER(INDEX(_xlfn.TEXTSPLIT($F141, "-"), 3))</f>
        <v>SEC</v>
      </c>
      <c r="D141" s="95" t="s">
        <v>1086</v>
      </c>
      <c r="E141" s="95" t="s">
        <v>24</v>
      </c>
      <c r="F141" s="95" t="s">
        <v>1087</v>
      </c>
      <c r="G141" s="95" t="s">
        <v>1089</v>
      </c>
      <c r="H141" s="95" t="s">
        <v>1091</v>
      </c>
      <c r="I141" s="95">
        <v>4</v>
      </c>
      <c r="J141" s="95">
        <v>64</v>
      </c>
      <c r="K141" s="95" t="s">
        <v>180</v>
      </c>
      <c r="L141" s="113" t="s">
        <v>178</v>
      </c>
      <c r="M141" s="95" t="s">
        <v>1049</v>
      </c>
      <c r="N141" s="114" t="s">
        <v>1041</v>
      </c>
      <c r="O141" s="115" t="str">
        <f>SUBSTITUTE(F141,"hazr-","")&amp;"-osdisk"</f>
        <v>l-sec-virsol01-osdisk</v>
      </c>
      <c r="P141" s="116">
        <v>64</v>
      </c>
      <c r="Q141" s="117" t="s">
        <v>179</v>
      </c>
      <c r="R141" s="95"/>
      <c r="S141" s="95"/>
      <c r="T141" s="95"/>
      <c r="U141" s="95" t="str">
        <f>SUBSTITUTE(F141,"hazr-","")&amp;"-nic"</f>
        <v>l-sec-virsol01-nic</v>
      </c>
      <c r="V141" s="95" t="b">
        <v>1</v>
      </c>
      <c r="W141" s="95" t="b">
        <v>1</v>
      </c>
      <c r="X141" s="95" t="s">
        <v>1086</v>
      </c>
      <c r="Y141" s="74" t="s">
        <v>1093</v>
      </c>
      <c r="Z141" s="74" t="s">
        <v>1094</v>
      </c>
      <c r="AA141" s="95" t="b">
        <v>1</v>
      </c>
      <c r="AB141" s="95" t="s">
        <v>1086</v>
      </c>
      <c r="AC141" s="95" t="s">
        <v>1095</v>
      </c>
      <c r="AD141" s="116">
        <v>1</v>
      </c>
      <c r="AE141" s="95"/>
      <c r="AF141" s="95"/>
    </row>
    <row r="142" spans="1:32" x14ac:dyDescent="0.3">
      <c r="A142" s="90"/>
      <c r="B142" s="95" t="s">
        <v>1100</v>
      </c>
      <c r="C142" s="95" t="str" cm="1">
        <f t="array" ref="C142">UPPER(INDEX(_xlfn.TEXTSPLIT($F142, "-"), 3))</f>
        <v>SEC</v>
      </c>
      <c r="D142" s="95" t="s">
        <v>1086</v>
      </c>
      <c r="E142" s="95" t="s">
        <v>24</v>
      </c>
      <c r="F142" s="95" t="s">
        <v>1088</v>
      </c>
      <c r="G142" s="95" t="s">
        <v>1090</v>
      </c>
      <c r="H142" s="95" t="s">
        <v>1065</v>
      </c>
      <c r="I142" s="95">
        <v>4</v>
      </c>
      <c r="J142" s="95">
        <v>16</v>
      </c>
      <c r="K142" s="95" t="s">
        <v>180</v>
      </c>
      <c r="L142" s="113" t="s">
        <v>178</v>
      </c>
      <c r="M142" s="95" t="s">
        <v>1092</v>
      </c>
      <c r="N142" s="98" t="s">
        <v>1060</v>
      </c>
      <c r="O142" s="115" t="str">
        <f>SUBSTITUTE(F142,"hazr-","")&amp;"-osdisk"</f>
        <v>l-sec-wbdsol01-osdisk</v>
      </c>
      <c r="P142" s="116">
        <v>64</v>
      </c>
      <c r="Q142" s="117" t="s">
        <v>179</v>
      </c>
      <c r="R142" s="95"/>
      <c r="S142" s="95"/>
      <c r="T142" s="95"/>
      <c r="U142" s="95" t="str">
        <f>SUBSTITUTE(F142,"hazr-","")&amp;"-nic"</f>
        <v>l-sec-wbdsol01-nic</v>
      </c>
      <c r="V142" s="95" t="b">
        <v>1</v>
      </c>
      <c r="W142" s="95" t="b">
        <v>1</v>
      </c>
      <c r="X142" s="95" t="s">
        <v>1086</v>
      </c>
      <c r="Y142" s="74" t="s">
        <v>1093</v>
      </c>
      <c r="Z142" s="74" t="s">
        <v>1094</v>
      </c>
      <c r="AA142" s="95" t="b">
        <v>1</v>
      </c>
      <c r="AB142" s="95" t="s">
        <v>1086</v>
      </c>
      <c r="AC142" s="95" t="s">
        <v>1095</v>
      </c>
      <c r="AD142" s="116">
        <v>1</v>
      </c>
      <c r="AE142" s="95"/>
      <c r="AF142" s="95"/>
    </row>
    <row r="143" spans="1:32" x14ac:dyDescent="0.3">
      <c r="B143" s="95" t="s">
        <v>1100</v>
      </c>
      <c r="C143" s="95" t="str" cm="1">
        <f t="array" ref="C143">UPPER(INDEX(_xlfn.TEXTSPLIT($F143, "-"), 3))</f>
        <v>COM</v>
      </c>
      <c r="D143" s="95" t="s">
        <v>231</v>
      </c>
      <c r="E143" s="95" t="s">
        <v>24</v>
      </c>
      <c r="F143" s="95" t="s">
        <v>1101</v>
      </c>
      <c r="G143" s="95" t="s">
        <v>1102</v>
      </c>
      <c r="H143" s="95" t="s">
        <v>1065</v>
      </c>
      <c r="I143" s="95">
        <v>4</v>
      </c>
      <c r="J143" s="95">
        <v>16</v>
      </c>
      <c r="K143" s="95" t="s">
        <v>180</v>
      </c>
      <c r="L143" s="113" t="s">
        <v>178</v>
      </c>
      <c r="M143" s="113" t="s">
        <v>1049</v>
      </c>
      <c r="N143" s="114" t="s">
        <v>1066</v>
      </c>
      <c r="O143" s="115" t="str">
        <f>SUBSTITUTE(F143,"hazr-","")&amp;"-osdisk"</f>
        <v>l-com-scmsol01-osdisk</v>
      </c>
      <c r="P143" s="116">
        <v>64</v>
      </c>
      <c r="Q143" s="117" t="s">
        <v>179</v>
      </c>
      <c r="R143" s="95"/>
      <c r="S143" s="95"/>
      <c r="T143" s="95"/>
      <c r="U143" s="95" t="str">
        <f>SUBSTITUTE(F143,"hazr-","")&amp;"-nic"</f>
        <v>l-com-scmsol01-nic</v>
      </c>
      <c r="V143" s="95" t="b">
        <v>1</v>
      </c>
      <c r="W143" s="95" t="b">
        <v>1</v>
      </c>
      <c r="X143" s="95" t="s">
        <v>231</v>
      </c>
      <c r="Y143" s="95" t="s">
        <v>223</v>
      </c>
      <c r="Z143" s="95" t="s">
        <v>1043</v>
      </c>
      <c r="AA143" s="95" t="b">
        <v>1</v>
      </c>
      <c r="AB143" s="95" t="s">
        <v>231</v>
      </c>
      <c r="AC143" s="95" t="s">
        <v>232</v>
      </c>
      <c r="AD143" s="116">
        <v>1</v>
      </c>
      <c r="AE143" s="95"/>
      <c r="AF143" s="95"/>
    </row>
  </sheetData>
  <phoneticPr fontId="1" type="noConversion"/>
  <pageMargins left="0.7" right="0.7" top="0.75" bottom="0.75" header="0.3" footer="0.3"/>
  <pageSetup paperSize="9" scale="63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281E7-0665-4BB7-80DB-4208A01A998B}">
  <sheetPr>
    <tabColor theme="4"/>
  </sheetPr>
  <dimension ref="A1:R156"/>
  <sheetViews>
    <sheetView workbookViewId="0">
      <pane xSplit="6" ySplit="1" topLeftCell="G74" activePane="bottomRight" state="frozen"/>
      <selection pane="topRight" activeCell="G1" sqref="G1"/>
      <selection pane="bottomLeft" activeCell="A2" sqref="A2"/>
      <selection pane="bottomRight" activeCell="B1" sqref="B1"/>
    </sheetView>
  </sheetViews>
  <sheetFormatPr defaultRowHeight="16.5" x14ac:dyDescent="0.3"/>
  <cols>
    <col min="1" max="1" width="1.25" style="75" customWidth="1"/>
    <col min="2" max="2" width="6.75" style="75" bestFit="1" customWidth="1"/>
    <col min="3" max="3" width="9.375" style="75" bestFit="1" customWidth="1"/>
    <col min="4" max="4" width="17.625" style="75" bestFit="1" customWidth="1"/>
    <col min="5" max="5" width="17.625" style="75" customWidth="1"/>
    <col min="6" max="6" width="19.875" style="75" bestFit="1" customWidth="1"/>
    <col min="7" max="7" width="21.5" style="75" bestFit="1" customWidth="1"/>
    <col min="8" max="8" width="26" style="75" bestFit="1" customWidth="1"/>
    <col min="9" max="9" width="12.5" style="75" bestFit="1" customWidth="1"/>
    <col min="10" max="10" width="21.5" style="75" bestFit="1" customWidth="1"/>
    <col min="11" max="11" width="15" style="75" bestFit="1" customWidth="1"/>
    <col min="12" max="14" width="14.125" style="75" customWidth="1"/>
    <col min="15" max="15" width="15.625" style="75" bestFit="1" customWidth="1"/>
    <col min="16" max="16" width="21.125" style="75" bestFit="1" customWidth="1"/>
    <col min="17" max="17" width="14.125" style="75" customWidth="1"/>
    <col min="18" max="18" width="33.75" bestFit="1" customWidth="1"/>
  </cols>
  <sheetData>
    <row r="1" spans="1:18" x14ac:dyDescent="0.3">
      <c r="A1" s="96"/>
      <c r="B1" s="76" t="s">
        <v>0</v>
      </c>
      <c r="C1" s="76" t="s">
        <v>1</v>
      </c>
      <c r="D1" s="72" t="s">
        <v>2</v>
      </c>
      <c r="E1" s="72" t="s">
        <v>3</v>
      </c>
      <c r="F1" s="72" t="s">
        <v>181</v>
      </c>
      <c r="G1" s="72" t="s">
        <v>183</v>
      </c>
      <c r="H1" s="72" t="s">
        <v>185</v>
      </c>
      <c r="I1" s="72" t="s">
        <v>186</v>
      </c>
      <c r="J1" s="72" t="s">
        <v>184</v>
      </c>
      <c r="K1" s="72" t="s">
        <v>187</v>
      </c>
      <c r="L1" s="72" t="s">
        <v>188</v>
      </c>
      <c r="M1" s="72" t="s">
        <v>182</v>
      </c>
      <c r="N1" s="72" t="s">
        <v>190</v>
      </c>
      <c r="O1" s="72" t="s">
        <v>192</v>
      </c>
      <c r="P1" s="72" t="s">
        <v>129</v>
      </c>
      <c r="Q1" s="72" t="s">
        <v>189</v>
      </c>
      <c r="R1" s="76" t="s">
        <v>78</v>
      </c>
    </row>
    <row r="2" spans="1:18" x14ac:dyDescent="0.3">
      <c r="A2" s="110"/>
      <c r="B2" s="73" t="s">
        <v>23</v>
      </c>
      <c r="C2" s="73" t="str" cm="1">
        <f t="array" ref="C2">UPPER(INDEX(_xlfn.TEXTSPLIT($D2, "-"), 3))</f>
        <v>DIS</v>
      </c>
      <c r="D2" s="78" t="s">
        <v>317</v>
      </c>
      <c r="E2" s="85" t="s">
        <v>24</v>
      </c>
      <c r="F2" s="73" t="s">
        <v>345</v>
      </c>
      <c r="G2" s="73" t="s">
        <v>621</v>
      </c>
      <c r="H2" s="73" t="s">
        <v>179</v>
      </c>
      <c r="I2" s="73">
        <v>128</v>
      </c>
      <c r="J2" s="73" t="s">
        <v>622</v>
      </c>
      <c r="K2" s="73" t="s">
        <v>179</v>
      </c>
      <c r="L2" s="73">
        <v>128</v>
      </c>
      <c r="M2" s="78">
        <v>1</v>
      </c>
      <c r="N2" s="73" t="s">
        <v>191</v>
      </c>
      <c r="O2" s="73" t="s">
        <v>236</v>
      </c>
      <c r="P2" s="73" t="s">
        <v>887</v>
      </c>
      <c r="Q2" s="73" t="b">
        <v>1</v>
      </c>
      <c r="R2" s="73"/>
    </row>
    <row r="3" spans="1:18" x14ac:dyDescent="0.3">
      <c r="A3" s="110"/>
      <c r="B3" s="74" t="s">
        <v>23</v>
      </c>
      <c r="C3" s="74" t="str" cm="1">
        <f t="array" ref="C3">UPPER(INDEX(_xlfn.TEXTSPLIT($D3, "-"), 3))</f>
        <v>DIS</v>
      </c>
      <c r="D3" s="80" t="s">
        <v>317</v>
      </c>
      <c r="E3" s="86" t="s">
        <v>24</v>
      </c>
      <c r="F3" s="74" t="s">
        <v>347</v>
      </c>
      <c r="G3" s="74" t="s">
        <v>623</v>
      </c>
      <c r="H3" s="74" t="s">
        <v>179</v>
      </c>
      <c r="I3" s="74">
        <v>128</v>
      </c>
      <c r="J3" s="74" t="s">
        <v>624</v>
      </c>
      <c r="K3" s="74" t="s">
        <v>179</v>
      </c>
      <c r="L3" s="74">
        <v>128</v>
      </c>
      <c r="M3" s="80">
        <v>2</v>
      </c>
      <c r="N3" s="74" t="s">
        <v>191</v>
      </c>
      <c r="O3" s="74" t="s">
        <v>236</v>
      </c>
      <c r="P3" s="74" t="s">
        <v>887</v>
      </c>
      <c r="Q3" s="74" t="b">
        <v>1</v>
      </c>
      <c r="R3" s="74"/>
    </row>
    <row r="4" spans="1:18" x14ac:dyDescent="0.3">
      <c r="A4" s="110"/>
      <c r="B4" s="73" t="s">
        <v>23</v>
      </c>
      <c r="C4" s="73" t="str" cm="1">
        <f t="array" ref="C4">UPPER(INDEX(_xlfn.TEXTSPLIT($D4, "-"), 3))</f>
        <v>DIS</v>
      </c>
      <c r="D4" s="78" t="s">
        <v>317</v>
      </c>
      <c r="E4" s="85" t="s">
        <v>24</v>
      </c>
      <c r="F4" s="73" t="s">
        <v>348</v>
      </c>
      <c r="G4" s="73" t="s">
        <v>625</v>
      </c>
      <c r="H4" s="73" t="s">
        <v>179</v>
      </c>
      <c r="I4" s="73">
        <v>128</v>
      </c>
      <c r="J4" s="73" t="s">
        <v>626</v>
      </c>
      <c r="K4" s="73" t="s">
        <v>179</v>
      </c>
      <c r="L4" s="73">
        <v>128</v>
      </c>
      <c r="M4" s="78">
        <v>1</v>
      </c>
      <c r="N4" s="73" t="s">
        <v>191</v>
      </c>
      <c r="O4" s="73" t="s">
        <v>236</v>
      </c>
      <c r="P4" s="73" t="s">
        <v>887</v>
      </c>
      <c r="Q4" s="73" t="b">
        <v>1</v>
      </c>
      <c r="R4" s="73"/>
    </row>
    <row r="5" spans="1:18" x14ac:dyDescent="0.3">
      <c r="A5" s="110"/>
      <c r="B5" s="74" t="s">
        <v>23</v>
      </c>
      <c r="C5" s="74" t="str" cm="1">
        <f t="array" ref="C5">UPPER(INDEX(_xlfn.TEXTSPLIT($D5, "-"), 3))</f>
        <v>DIS</v>
      </c>
      <c r="D5" s="80" t="s">
        <v>317</v>
      </c>
      <c r="E5" s="86" t="s">
        <v>24</v>
      </c>
      <c r="F5" s="74" t="s">
        <v>349</v>
      </c>
      <c r="G5" s="74" t="s">
        <v>627</v>
      </c>
      <c r="H5" s="74" t="s">
        <v>179</v>
      </c>
      <c r="I5" s="74">
        <v>128</v>
      </c>
      <c r="J5" s="74" t="s">
        <v>628</v>
      </c>
      <c r="K5" s="74" t="s">
        <v>179</v>
      </c>
      <c r="L5" s="74">
        <v>128</v>
      </c>
      <c r="M5" s="80">
        <v>2</v>
      </c>
      <c r="N5" s="74" t="s">
        <v>191</v>
      </c>
      <c r="O5" s="74" t="s">
        <v>236</v>
      </c>
      <c r="P5" s="74" t="s">
        <v>887</v>
      </c>
      <c r="Q5" s="74" t="b">
        <v>1</v>
      </c>
      <c r="R5" s="74"/>
    </row>
    <row r="6" spans="1:18" x14ac:dyDescent="0.3">
      <c r="A6" s="99"/>
      <c r="B6" s="73" t="s">
        <v>23</v>
      </c>
      <c r="C6" s="73" t="str" cm="1">
        <f t="array" ref="C6">UPPER(INDEX(_xlfn.TEXTSPLIT($D6, "-"), 3))</f>
        <v>DIS</v>
      </c>
      <c r="D6" s="78" t="s">
        <v>317</v>
      </c>
      <c r="E6" s="85" t="s">
        <v>24</v>
      </c>
      <c r="F6" s="73" t="s">
        <v>350</v>
      </c>
      <c r="G6" s="73" t="s">
        <v>629</v>
      </c>
      <c r="H6" s="73" t="s">
        <v>179</v>
      </c>
      <c r="I6" s="73">
        <v>128</v>
      </c>
      <c r="J6" s="73" t="s">
        <v>630</v>
      </c>
      <c r="K6" s="73" t="s">
        <v>179</v>
      </c>
      <c r="L6" s="73">
        <v>128</v>
      </c>
      <c r="M6" s="78">
        <v>1</v>
      </c>
      <c r="N6" s="73" t="s">
        <v>191</v>
      </c>
      <c r="O6" s="73" t="s">
        <v>236</v>
      </c>
      <c r="P6" s="73" t="s">
        <v>887</v>
      </c>
      <c r="Q6" s="73" t="b">
        <v>1</v>
      </c>
      <c r="R6" s="73"/>
    </row>
    <row r="7" spans="1:18" x14ac:dyDescent="0.3">
      <c r="A7" s="99"/>
      <c r="B7" s="74" t="s">
        <v>23</v>
      </c>
      <c r="C7" s="74" t="str" cm="1">
        <f t="array" ref="C7">UPPER(INDEX(_xlfn.TEXTSPLIT($D7, "-"), 3))</f>
        <v>DIS</v>
      </c>
      <c r="D7" s="80" t="s">
        <v>317</v>
      </c>
      <c r="E7" s="86" t="s">
        <v>24</v>
      </c>
      <c r="F7" s="74" t="s">
        <v>353</v>
      </c>
      <c r="G7" s="74" t="s">
        <v>631</v>
      </c>
      <c r="H7" s="74" t="s">
        <v>179</v>
      </c>
      <c r="I7" s="74">
        <v>128</v>
      </c>
      <c r="J7" s="74" t="s">
        <v>632</v>
      </c>
      <c r="K7" s="74" t="s">
        <v>179</v>
      </c>
      <c r="L7" s="74">
        <v>128</v>
      </c>
      <c r="M7" s="80">
        <v>2</v>
      </c>
      <c r="N7" s="74" t="s">
        <v>191</v>
      </c>
      <c r="O7" s="74" t="s">
        <v>236</v>
      </c>
      <c r="P7" s="74" t="s">
        <v>887</v>
      </c>
      <c r="Q7" s="74" t="b">
        <v>1</v>
      </c>
      <c r="R7" s="74"/>
    </row>
    <row r="8" spans="1:18" x14ac:dyDescent="0.3">
      <c r="A8" s="99"/>
      <c r="B8" s="73" t="s">
        <v>23</v>
      </c>
      <c r="C8" s="73" t="str" cm="1">
        <f t="array" ref="C8">UPPER(INDEX(_xlfn.TEXTSPLIT($D8, "-"), 3))</f>
        <v>DIS</v>
      </c>
      <c r="D8" s="78" t="s">
        <v>317</v>
      </c>
      <c r="E8" s="85" t="s">
        <v>24</v>
      </c>
      <c r="F8" s="73" t="s">
        <v>354</v>
      </c>
      <c r="G8" s="73" t="s">
        <v>633</v>
      </c>
      <c r="H8" s="73" t="s">
        <v>179</v>
      </c>
      <c r="I8" s="73">
        <v>128</v>
      </c>
      <c r="J8" s="73" t="s">
        <v>634</v>
      </c>
      <c r="K8" s="73" t="s">
        <v>179</v>
      </c>
      <c r="L8" s="73">
        <v>128</v>
      </c>
      <c r="M8" s="78">
        <v>1</v>
      </c>
      <c r="N8" s="73" t="s">
        <v>191</v>
      </c>
      <c r="O8" s="73" t="s">
        <v>236</v>
      </c>
      <c r="P8" s="73" t="s">
        <v>887</v>
      </c>
      <c r="Q8" s="73" t="b">
        <v>1</v>
      </c>
      <c r="R8" s="73"/>
    </row>
    <row r="9" spans="1:18" x14ac:dyDescent="0.3">
      <c r="A9" s="99"/>
      <c r="B9" s="74" t="s">
        <v>23</v>
      </c>
      <c r="C9" s="74" t="str" cm="1">
        <f t="array" ref="C9">UPPER(INDEX(_xlfn.TEXTSPLIT($D9, "-"), 3))</f>
        <v>DIS</v>
      </c>
      <c r="D9" s="80" t="s">
        <v>317</v>
      </c>
      <c r="E9" s="86" t="s">
        <v>24</v>
      </c>
      <c r="F9" s="74" t="s">
        <v>355</v>
      </c>
      <c r="G9" s="74" t="s">
        <v>635</v>
      </c>
      <c r="H9" s="74" t="s">
        <v>179</v>
      </c>
      <c r="I9" s="74">
        <v>128</v>
      </c>
      <c r="J9" s="74" t="s">
        <v>636</v>
      </c>
      <c r="K9" s="74" t="s">
        <v>179</v>
      </c>
      <c r="L9" s="74">
        <v>128</v>
      </c>
      <c r="M9" s="80">
        <v>2</v>
      </c>
      <c r="N9" s="74" t="s">
        <v>191</v>
      </c>
      <c r="O9" s="74" t="s">
        <v>236</v>
      </c>
      <c r="P9" s="74" t="s">
        <v>887</v>
      </c>
      <c r="Q9" s="74" t="b">
        <v>1</v>
      </c>
      <c r="R9" s="74"/>
    </row>
    <row r="10" spans="1:18" x14ac:dyDescent="0.3">
      <c r="A10" s="99"/>
      <c r="B10" s="73" t="s">
        <v>23</v>
      </c>
      <c r="C10" s="73" t="str" cm="1">
        <f t="array" ref="C10">UPPER(INDEX(_xlfn.TEXTSPLIT($D10, "-"), 3))</f>
        <v>DIS</v>
      </c>
      <c r="D10" s="78" t="s">
        <v>317</v>
      </c>
      <c r="E10" s="85" t="s">
        <v>24</v>
      </c>
      <c r="F10" s="73" t="s">
        <v>356</v>
      </c>
      <c r="G10" s="73" t="s">
        <v>637</v>
      </c>
      <c r="H10" s="73" t="s">
        <v>179</v>
      </c>
      <c r="I10" s="73">
        <v>128</v>
      </c>
      <c r="J10" s="73" t="s">
        <v>638</v>
      </c>
      <c r="K10" s="73" t="s">
        <v>179</v>
      </c>
      <c r="L10" s="73">
        <v>128</v>
      </c>
      <c r="M10" s="78">
        <v>1</v>
      </c>
      <c r="N10" s="73" t="s">
        <v>191</v>
      </c>
      <c r="O10" s="73" t="s">
        <v>236</v>
      </c>
      <c r="P10" s="73" t="s">
        <v>887</v>
      </c>
      <c r="Q10" s="73" t="b">
        <v>1</v>
      </c>
      <c r="R10" s="73"/>
    </row>
    <row r="11" spans="1:18" x14ac:dyDescent="0.3">
      <c r="A11" s="99"/>
      <c r="B11" s="74" t="s">
        <v>23</v>
      </c>
      <c r="C11" s="74" t="str" cm="1">
        <f t="array" ref="C11">UPPER(INDEX(_xlfn.TEXTSPLIT($D11, "-"), 3))</f>
        <v>DIS</v>
      </c>
      <c r="D11" s="80" t="s">
        <v>317</v>
      </c>
      <c r="E11" s="86" t="s">
        <v>24</v>
      </c>
      <c r="F11" s="74" t="s">
        <v>357</v>
      </c>
      <c r="G11" s="74" t="s">
        <v>639</v>
      </c>
      <c r="H11" s="74" t="s">
        <v>179</v>
      </c>
      <c r="I11" s="74">
        <v>128</v>
      </c>
      <c r="J11" s="74" t="s">
        <v>640</v>
      </c>
      <c r="K11" s="74" t="s">
        <v>179</v>
      </c>
      <c r="L11" s="74">
        <v>128</v>
      </c>
      <c r="M11" s="80">
        <v>2</v>
      </c>
      <c r="N11" s="74" t="s">
        <v>191</v>
      </c>
      <c r="O11" s="74" t="s">
        <v>236</v>
      </c>
      <c r="P11" s="74" t="s">
        <v>887</v>
      </c>
      <c r="Q11" s="74" t="b">
        <v>1</v>
      </c>
      <c r="R11" s="74"/>
    </row>
    <row r="12" spans="1:18" x14ac:dyDescent="0.3">
      <c r="A12" s="99"/>
      <c r="B12" s="73" t="s">
        <v>23</v>
      </c>
      <c r="C12" s="73" t="str" cm="1">
        <f t="array" ref="C12">UPPER(INDEX(_xlfn.TEXTSPLIT($D12, "-"), 3))</f>
        <v>DIS</v>
      </c>
      <c r="D12" s="78" t="s">
        <v>317</v>
      </c>
      <c r="E12" s="85" t="s">
        <v>24</v>
      </c>
      <c r="F12" s="73" t="s">
        <v>358</v>
      </c>
      <c r="G12" s="73" t="s">
        <v>641</v>
      </c>
      <c r="H12" s="73" t="s">
        <v>179</v>
      </c>
      <c r="I12" s="73">
        <v>128</v>
      </c>
      <c r="J12" s="73" t="s">
        <v>642</v>
      </c>
      <c r="K12" s="73" t="s">
        <v>179</v>
      </c>
      <c r="L12" s="73">
        <v>128</v>
      </c>
      <c r="M12" s="78">
        <v>1</v>
      </c>
      <c r="N12" s="73" t="s">
        <v>191</v>
      </c>
      <c r="O12" s="73" t="s">
        <v>236</v>
      </c>
      <c r="P12" s="73" t="s">
        <v>887</v>
      </c>
      <c r="Q12" s="73" t="b">
        <v>1</v>
      </c>
      <c r="R12" s="73"/>
    </row>
    <row r="13" spans="1:18" x14ac:dyDescent="0.3">
      <c r="A13" s="99"/>
      <c r="B13" s="74" t="s">
        <v>23</v>
      </c>
      <c r="C13" s="74" t="str" cm="1">
        <f t="array" ref="C13">UPPER(INDEX(_xlfn.TEXTSPLIT($D13, "-"), 3))</f>
        <v>DIS</v>
      </c>
      <c r="D13" s="80" t="s">
        <v>317</v>
      </c>
      <c r="E13" s="86" t="s">
        <v>24</v>
      </c>
      <c r="F13" s="74" t="s">
        <v>359</v>
      </c>
      <c r="G13" s="74" t="s">
        <v>643</v>
      </c>
      <c r="H13" s="74" t="s">
        <v>179</v>
      </c>
      <c r="I13" s="74">
        <v>128</v>
      </c>
      <c r="J13" s="74" t="s">
        <v>644</v>
      </c>
      <c r="K13" s="74" t="s">
        <v>179</v>
      </c>
      <c r="L13" s="74">
        <v>128</v>
      </c>
      <c r="M13" s="80">
        <v>2</v>
      </c>
      <c r="N13" s="74" t="s">
        <v>191</v>
      </c>
      <c r="O13" s="74" t="s">
        <v>236</v>
      </c>
      <c r="P13" s="74" t="s">
        <v>887</v>
      </c>
      <c r="Q13" s="74" t="b">
        <v>1</v>
      </c>
      <c r="R13" s="74"/>
    </row>
    <row r="14" spans="1:18" x14ac:dyDescent="0.3">
      <c r="A14" s="99"/>
      <c r="B14" s="73" t="s">
        <v>23</v>
      </c>
      <c r="C14" s="73" t="str" cm="1">
        <f t="array" ref="C14">UPPER(INDEX(_xlfn.TEXTSPLIT($D14, "-"), 3))</f>
        <v>DIS</v>
      </c>
      <c r="D14" s="78" t="s">
        <v>317</v>
      </c>
      <c r="E14" s="85" t="s">
        <v>24</v>
      </c>
      <c r="F14" s="73" t="s">
        <v>360</v>
      </c>
      <c r="G14" s="73" t="s">
        <v>645</v>
      </c>
      <c r="H14" s="73" t="s">
        <v>179</v>
      </c>
      <c r="I14" s="73">
        <v>128</v>
      </c>
      <c r="J14" s="73" t="s">
        <v>646</v>
      </c>
      <c r="K14" s="73" t="s">
        <v>179</v>
      </c>
      <c r="L14" s="73">
        <v>128</v>
      </c>
      <c r="M14" s="78">
        <v>3</v>
      </c>
      <c r="N14" s="73" t="s">
        <v>191</v>
      </c>
      <c r="O14" s="73" t="s">
        <v>236</v>
      </c>
      <c r="P14" s="73" t="s">
        <v>887</v>
      </c>
      <c r="Q14" s="73" t="b">
        <v>1</v>
      </c>
      <c r="R14" s="73"/>
    </row>
    <row r="15" spans="1:18" x14ac:dyDescent="0.3">
      <c r="A15" s="99"/>
      <c r="B15" s="74" t="s">
        <v>23</v>
      </c>
      <c r="C15" s="74" t="str" cm="1">
        <f t="array" ref="C15">UPPER(INDEX(_xlfn.TEXTSPLIT($D15, "-"), 3))</f>
        <v>DIS</v>
      </c>
      <c r="D15" s="80" t="s">
        <v>317</v>
      </c>
      <c r="E15" s="86" t="s">
        <v>24</v>
      </c>
      <c r="F15" s="74" t="s">
        <v>361</v>
      </c>
      <c r="G15" s="74" t="s">
        <v>647</v>
      </c>
      <c r="H15" s="74" t="s">
        <v>179</v>
      </c>
      <c r="I15" s="74">
        <v>128</v>
      </c>
      <c r="J15" s="74" t="s">
        <v>648</v>
      </c>
      <c r="K15" s="74" t="s">
        <v>179</v>
      </c>
      <c r="L15" s="74">
        <v>128</v>
      </c>
      <c r="M15" s="80">
        <v>1</v>
      </c>
      <c r="N15" s="74" t="s">
        <v>191</v>
      </c>
      <c r="O15" s="74" t="s">
        <v>236</v>
      </c>
      <c r="P15" s="74" t="s">
        <v>887</v>
      </c>
      <c r="Q15" s="74" t="b">
        <v>1</v>
      </c>
      <c r="R15" s="74"/>
    </row>
    <row r="16" spans="1:18" x14ac:dyDescent="0.3">
      <c r="A16" s="99"/>
      <c r="B16" s="73" t="s">
        <v>23</v>
      </c>
      <c r="C16" s="73" t="str" cm="1">
        <f t="array" ref="C16">UPPER(INDEX(_xlfn.TEXTSPLIT($D16, "-"), 3))</f>
        <v>DIS</v>
      </c>
      <c r="D16" s="78" t="s">
        <v>317</v>
      </c>
      <c r="E16" s="85" t="s">
        <v>24</v>
      </c>
      <c r="F16" s="73" t="s">
        <v>362</v>
      </c>
      <c r="G16" s="73" t="s">
        <v>649</v>
      </c>
      <c r="H16" s="73" t="s">
        <v>179</v>
      </c>
      <c r="I16" s="73">
        <v>128</v>
      </c>
      <c r="J16" s="73" t="s">
        <v>650</v>
      </c>
      <c r="K16" s="73" t="s">
        <v>179</v>
      </c>
      <c r="L16" s="73">
        <v>128</v>
      </c>
      <c r="M16" s="78">
        <v>2</v>
      </c>
      <c r="N16" s="73" t="s">
        <v>191</v>
      </c>
      <c r="O16" s="73" t="s">
        <v>236</v>
      </c>
      <c r="P16" s="73" t="s">
        <v>887</v>
      </c>
      <c r="Q16" s="73" t="b">
        <v>1</v>
      </c>
      <c r="R16" s="73"/>
    </row>
    <row r="17" spans="1:18" x14ac:dyDescent="0.3">
      <c r="A17" s="99"/>
      <c r="B17" s="74" t="s">
        <v>23</v>
      </c>
      <c r="C17" s="74" t="str" cm="1">
        <f t="array" ref="C17">UPPER(INDEX(_xlfn.TEXTSPLIT($D17, "-"), 3))</f>
        <v>DIS</v>
      </c>
      <c r="D17" s="80" t="s">
        <v>317</v>
      </c>
      <c r="E17" s="86" t="s">
        <v>24</v>
      </c>
      <c r="F17" s="74" t="s">
        <v>363</v>
      </c>
      <c r="G17" s="74" t="s">
        <v>651</v>
      </c>
      <c r="H17" s="74" t="s">
        <v>179</v>
      </c>
      <c r="I17" s="74">
        <v>128</v>
      </c>
      <c r="J17" s="74" t="s">
        <v>652</v>
      </c>
      <c r="K17" s="74" t="s">
        <v>179</v>
      </c>
      <c r="L17" s="74">
        <v>128</v>
      </c>
      <c r="M17" s="80">
        <v>1</v>
      </c>
      <c r="N17" s="74" t="s">
        <v>191</v>
      </c>
      <c r="O17" s="74" t="s">
        <v>236</v>
      </c>
      <c r="P17" s="74" t="s">
        <v>887</v>
      </c>
      <c r="Q17" s="74" t="b">
        <v>1</v>
      </c>
      <c r="R17" s="74"/>
    </row>
    <row r="18" spans="1:18" x14ac:dyDescent="0.3">
      <c r="A18" s="99"/>
      <c r="B18" s="73" t="s">
        <v>23</v>
      </c>
      <c r="C18" s="73" t="str" cm="1">
        <f t="array" ref="C18">UPPER(INDEX(_xlfn.TEXTSPLIT($D18, "-"), 3))</f>
        <v>DIS</v>
      </c>
      <c r="D18" s="78" t="s">
        <v>317</v>
      </c>
      <c r="E18" s="85" t="s">
        <v>24</v>
      </c>
      <c r="F18" s="73" t="s">
        <v>364</v>
      </c>
      <c r="G18" s="73" t="s">
        <v>653</v>
      </c>
      <c r="H18" s="73" t="s">
        <v>179</v>
      </c>
      <c r="I18" s="73">
        <v>128</v>
      </c>
      <c r="J18" s="73" t="s">
        <v>654</v>
      </c>
      <c r="K18" s="73" t="s">
        <v>179</v>
      </c>
      <c r="L18" s="73">
        <v>128</v>
      </c>
      <c r="M18" s="78">
        <v>2</v>
      </c>
      <c r="N18" s="73" t="s">
        <v>191</v>
      </c>
      <c r="O18" s="73" t="s">
        <v>236</v>
      </c>
      <c r="P18" s="73" t="s">
        <v>887</v>
      </c>
      <c r="Q18" s="73" t="b">
        <v>1</v>
      </c>
      <c r="R18" s="73"/>
    </row>
    <row r="19" spans="1:18" x14ac:dyDescent="0.3">
      <c r="A19" s="99"/>
      <c r="B19" s="74" t="s">
        <v>23</v>
      </c>
      <c r="C19" s="74" t="str" cm="1">
        <f t="array" ref="C19">UPPER(INDEX(_xlfn.TEXTSPLIT($D19, "-"), 3))</f>
        <v>DIS</v>
      </c>
      <c r="D19" s="80" t="s">
        <v>317</v>
      </c>
      <c r="E19" s="86" t="s">
        <v>24</v>
      </c>
      <c r="F19" s="74" t="s">
        <v>365</v>
      </c>
      <c r="G19" s="74" t="s">
        <v>655</v>
      </c>
      <c r="H19" s="74" t="s">
        <v>179</v>
      </c>
      <c r="I19" s="74">
        <v>128</v>
      </c>
      <c r="J19" s="74" t="s">
        <v>656</v>
      </c>
      <c r="K19" s="74" t="s">
        <v>179</v>
      </c>
      <c r="L19" s="74">
        <v>128</v>
      </c>
      <c r="M19" s="80">
        <v>1</v>
      </c>
      <c r="N19" s="74" t="s">
        <v>191</v>
      </c>
      <c r="O19" s="74" t="s">
        <v>236</v>
      </c>
      <c r="P19" s="74" t="s">
        <v>887</v>
      </c>
      <c r="Q19" s="74" t="b">
        <v>1</v>
      </c>
      <c r="R19" s="74"/>
    </row>
    <row r="20" spans="1:18" x14ac:dyDescent="0.3">
      <c r="A20" s="99"/>
      <c r="B20" s="73" t="s">
        <v>23</v>
      </c>
      <c r="C20" s="73" t="str" cm="1">
        <f t="array" ref="C20">UPPER(INDEX(_xlfn.TEXTSPLIT($D20, "-"), 3))</f>
        <v>DIS</v>
      </c>
      <c r="D20" s="78" t="s">
        <v>317</v>
      </c>
      <c r="E20" s="85" t="s">
        <v>24</v>
      </c>
      <c r="F20" s="73" t="s">
        <v>366</v>
      </c>
      <c r="G20" s="73" t="s">
        <v>657</v>
      </c>
      <c r="H20" s="73" t="s">
        <v>179</v>
      </c>
      <c r="I20" s="73">
        <v>128</v>
      </c>
      <c r="J20" s="73" t="s">
        <v>658</v>
      </c>
      <c r="K20" s="73" t="s">
        <v>179</v>
      </c>
      <c r="L20" s="73">
        <v>128</v>
      </c>
      <c r="M20" s="78">
        <v>2</v>
      </c>
      <c r="N20" s="73" t="s">
        <v>191</v>
      </c>
      <c r="O20" s="73" t="s">
        <v>236</v>
      </c>
      <c r="P20" s="73" t="s">
        <v>887</v>
      </c>
      <c r="Q20" s="73" t="b">
        <v>1</v>
      </c>
      <c r="R20" s="73"/>
    </row>
    <row r="21" spans="1:18" x14ac:dyDescent="0.3">
      <c r="A21" s="99"/>
      <c r="B21" s="74" t="s">
        <v>23</v>
      </c>
      <c r="C21" s="74" t="str" cm="1">
        <f t="array" ref="C21">UPPER(INDEX(_xlfn.TEXTSPLIT($D21, "-"), 3))</f>
        <v>DIS</v>
      </c>
      <c r="D21" s="80" t="s">
        <v>317</v>
      </c>
      <c r="E21" s="86" t="s">
        <v>24</v>
      </c>
      <c r="F21" s="74" t="s">
        <v>367</v>
      </c>
      <c r="G21" s="74" t="s">
        <v>659</v>
      </c>
      <c r="H21" s="74" t="s">
        <v>179</v>
      </c>
      <c r="I21" s="74">
        <v>128</v>
      </c>
      <c r="J21" s="74" t="s">
        <v>660</v>
      </c>
      <c r="K21" s="74" t="s">
        <v>179</v>
      </c>
      <c r="L21" s="74">
        <v>128</v>
      </c>
      <c r="M21" s="80">
        <v>3</v>
      </c>
      <c r="N21" s="74" t="s">
        <v>191</v>
      </c>
      <c r="O21" s="74" t="s">
        <v>236</v>
      </c>
      <c r="P21" s="74" t="s">
        <v>887</v>
      </c>
      <c r="Q21" s="74" t="b">
        <v>1</v>
      </c>
      <c r="R21" s="74"/>
    </row>
    <row r="22" spans="1:18" x14ac:dyDescent="0.3">
      <c r="A22" s="99"/>
      <c r="B22" s="73" t="s">
        <v>23</v>
      </c>
      <c r="C22" s="73" t="str" cm="1">
        <f t="array" ref="C22">UPPER(INDEX(_xlfn.TEXTSPLIT($D22, "-"), 3))</f>
        <v>DIS</v>
      </c>
      <c r="D22" s="78" t="s">
        <v>317</v>
      </c>
      <c r="E22" s="85" t="s">
        <v>24</v>
      </c>
      <c r="F22" s="73" t="s">
        <v>368</v>
      </c>
      <c r="G22" s="73" t="s">
        <v>661</v>
      </c>
      <c r="H22" s="73" t="s">
        <v>179</v>
      </c>
      <c r="I22" s="73">
        <v>128</v>
      </c>
      <c r="J22" s="73" t="s">
        <v>662</v>
      </c>
      <c r="K22" s="73" t="s">
        <v>179</v>
      </c>
      <c r="L22" s="73">
        <v>128</v>
      </c>
      <c r="M22" s="78">
        <v>1</v>
      </c>
      <c r="N22" s="73" t="s">
        <v>191</v>
      </c>
      <c r="O22" s="73" t="s">
        <v>236</v>
      </c>
      <c r="P22" s="73" t="s">
        <v>887</v>
      </c>
      <c r="Q22" s="73" t="b">
        <v>1</v>
      </c>
      <c r="R22" s="73"/>
    </row>
    <row r="23" spans="1:18" x14ac:dyDescent="0.3">
      <c r="A23" s="99"/>
      <c r="B23" s="74" t="s">
        <v>23</v>
      </c>
      <c r="C23" s="74" t="str" cm="1">
        <f t="array" ref="C23">UPPER(INDEX(_xlfn.TEXTSPLIT($D23, "-"), 3))</f>
        <v>DIS</v>
      </c>
      <c r="D23" s="80" t="s">
        <v>317</v>
      </c>
      <c r="E23" s="86" t="s">
        <v>24</v>
      </c>
      <c r="F23" s="74" t="s">
        <v>369</v>
      </c>
      <c r="G23" s="74" t="s">
        <v>663</v>
      </c>
      <c r="H23" s="74" t="s">
        <v>179</v>
      </c>
      <c r="I23" s="74">
        <v>128</v>
      </c>
      <c r="J23" s="74" t="s">
        <v>664</v>
      </c>
      <c r="K23" s="74" t="s">
        <v>179</v>
      </c>
      <c r="L23" s="74">
        <v>128</v>
      </c>
      <c r="M23" s="80">
        <v>1</v>
      </c>
      <c r="N23" s="74" t="s">
        <v>191</v>
      </c>
      <c r="O23" s="74" t="s">
        <v>236</v>
      </c>
      <c r="P23" s="74" t="s">
        <v>887</v>
      </c>
      <c r="Q23" s="74" t="b">
        <v>1</v>
      </c>
      <c r="R23" s="74"/>
    </row>
    <row r="24" spans="1:18" x14ac:dyDescent="0.3">
      <c r="A24" s="99"/>
      <c r="B24" s="73" t="s">
        <v>23</v>
      </c>
      <c r="C24" s="73" t="str" cm="1">
        <f t="array" ref="C24">UPPER(INDEX(_xlfn.TEXTSPLIT($D24, "-"), 3))</f>
        <v>DIS</v>
      </c>
      <c r="D24" s="78" t="s">
        <v>317</v>
      </c>
      <c r="E24" s="85" t="s">
        <v>24</v>
      </c>
      <c r="F24" s="73" t="s">
        <v>370</v>
      </c>
      <c r="G24" s="73" t="s">
        <v>665</v>
      </c>
      <c r="H24" s="73" t="s">
        <v>179</v>
      </c>
      <c r="I24" s="73">
        <v>128</v>
      </c>
      <c r="J24" s="73" t="s">
        <v>666</v>
      </c>
      <c r="K24" s="73" t="s">
        <v>179</v>
      </c>
      <c r="L24" s="73">
        <v>128</v>
      </c>
      <c r="M24" s="78">
        <v>2</v>
      </c>
      <c r="N24" s="73" t="s">
        <v>191</v>
      </c>
      <c r="O24" s="73" t="s">
        <v>236</v>
      </c>
      <c r="P24" s="73" t="s">
        <v>887</v>
      </c>
      <c r="Q24" s="73" t="b">
        <v>1</v>
      </c>
      <c r="R24" s="73"/>
    </row>
    <row r="25" spans="1:18" x14ac:dyDescent="0.3">
      <c r="A25" s="99"/>
      <c r="B25" s="74" t="s">
        <v>23</v>
      </c>
      <c r="C25" s="74" t="str" cm="1">
        <f t="array" ref="C25">UPPER(INDEX(_xlfn.TEXTSPLIT($D25, "-"), 3))</f>
        <v>DIS</v>
      </c>
      <c r="D25" s="80" t="s">
        <v>317</v>
      </c>
      <c r="E25" s="86" t="s">
        <v>24</v>
      </c>
      <c r="F25" s="74" t="s">
        <v>371</v>
      </c>
      <c r="G25" s="74" t="s">
        <v>667</v>
      </c>
      <c r="H25" s="74" t="s">
        <v>179</v>
      </c>
      <c r="I25" s="74">
        <v>128</v>
      </c>
      <c r="J25" s="74" t="s">
        <v>668</v>
      </c>
      <c r="K25" s="74" t="s">
        <v>179</v>
      </c>
      <c r="L25" s="74">
        <v>128</v>
      </c>
      <c r="M25" s="80">
        <v>1</v>
      </c>
      <c r="N25" s="74" t="s">
        <v>191</v>
      </c>
      <c r="O25" s="74" t="s">
        <v>236</v>
      </c>
      <c r="P25" s="74" t="s">
        <v>887</v>
      </c>
      <c r="Q25" s="74" t="b">
        <v>1</v>
      </c>
      <c r="R25" s="74"/>
    </row>
    <row r="26" spans="1:18" x14ac:dyDescent="0.3">
      <c r="A26" s="99"/>
      <c r="B26" s="73" t="s">
        <v>23</v>
      </c>
      <c r="C26" s="73" t="str" cm="1">
        <f t="array" ref="C26">UPPER(INDEX(_xlfn.TEXTSPLIT($D26, "-"), 3))</f>
        <v>DIS</v>
      </c>
      <c r="D26" s="78" t="s">
        <v>317</v>
      </c>
      <c r="E26" s="85" t="s">
        <v>24</v>
      </c>
      <c r="F26" s="73" t="s">
        <v>372</v>
      </c>
      <c r="G26" s="73" t="s">
        <v>669</v>
      </c>
      <c r="H26" s="73" t="s">
        <v>179</v>
      </c>
      <c r="I26" s="73">
        <v>128</v>
      </c>
      <c r="J26" s="73" t="s">
        <v>670</v>
      </c>
      <c r="K26" s="73" t="s">
        <v>179</v>
      </c>
      <c r="L26" s="73">
        <v>128</v>
      </c>
      <c r="M26" s="78">
        <v>2</v>
      </c>
      <c r="N26" s="73" t="s">
        <v>191</v>
      </c>
      <c r="O26" s="73" t="s">
        <v>236</v>
      </c>
      <c r="P26" s="73" t="s">
        <v>887</v>
      </c>
      <c r="Q26" s="73" t="b">
        <v>1</v>
      </c>
      <c r="R26" s="73"/>
    </row>
    <row r="27" spans="1:18" x14ac:dyDescent="0.3">
      <c r="A27" s="99"/>
      <c r="B27" s="74" t="s">
        <v>23</v>
      </c>
      <c r="C27" s="74" t="str" cm="1">
        <f t="array" ref="C27">UPPER(INDEX(_xlfn.TEXTSPLIT($D27, "-"), 3))</f>
        <v>DIS</v>
      </c>
      <c r="D27" s="80" t="s">
        <v>317</v>
      </c>
      <c r="E27" s="86" t="s">
        <v>24</v>
      </c>
      <c r="F27" s="74" t="s">
        <v>373</v>
      </c>
      <c r="G27" s="74" t="s">
        <v>671</v>
      </c>
      <c r="H27" s="74" t="s">
        <v>179</v>
      </c>
      <c r="I27" s="74">
        <v>128</v>
      </c>
      <c r="J27" s="74" t="s">
        <v>672</v>
      </c>
      <c r="K27" s="74" t="s">
        <v>179</v>
      </c>
      <c r="L27" s="74">
        <v>128</v>
      </c>
      <c r="M27" s="80">
        <v>1</v>
      </c>
      <c r="N27" s="74" t="s">
        <v>191</v>
      </c>
      <c r="O27" s="74" t="s">
        <v>236</v>
      </c>
      <c r="P27" s="74" t="s">
        <v>887</v>
      </c>
      <c r="Q27" s="74" t="b">
        <v>1</v>
      </c>
      <c r="R27" s="74"/>
    </row>
    <row r="28" spans="1:18" x14ac:dyDescent="0.3">
      <c r="A28" s="99"/>
      <c r="B28" s="73" t="s">
        <v>23</v>
      </c>
      <c r="C28" s="73" t="str" cm="1">
        <f t="array" ref="C28">UPPER(INDEX(_xlfn.TEXTSPLIT($D28, "-"), 3))</f>
        <v>DIS</v>
      </c>
      <c r="D28" s="78" t="s">
        <v>317</v>
      </c>
      <c r="E28" s="85" t="s">
        <v>24</v>
      </c>
      <c r="F28" s="73" t="s">
        <v>374</v>
      </c>
      <c r="G28" s="73" t="s">
        <v>673</v>
      </c>
      <c r="H28" s="73" t="s">
        <v>179</v>
      </c>
      <c r="I28" s="73">
        <v>128</v>
      </c>
      <c r="J28" s="73" t="s">
        <v>674</v>
      </c>
      <c r="K28" s="73" t="s">
        <v>179</v>
      </c>
      <c r="L28" s="73">
        <v>128</v>
      </c>
      <c r="M28" s="78">
        <v>2</v>
      </c>
      <c r="N28" s="73" t="s">
        <v>191</v>
      </c>
      <c r="O28" s="73" t="s">
        <v>236</v>
      </c>
      <c r="P28" s="73" t="s">
        <v>887</v>
      </c>
      <c r="Q28" s="73" t="b">
        <v>1</v>
      </c>
      <c r="R28" s="73"/>
    </row>
    <row r="29" spans="1:18" x14ac:dyDescent="0.3">
      <c r="A29" s="99"/>
      <c r="B29" s="74" t="s">
        <v>23</v>
      </c>
      <c r="C29" s="74" t="str" cm="1">
        <f t="array" ref="C29">UPPER(INDEX(_xlfn.TEXTSPLIT($D29, "-"), 3))</f>
        <v>DIS</v>
      </c>
      <c r="D29" s="80" t="s">
        <v>317</v>
      </c>
      <c r="E29" s="86" t="s">
        <v>24</v>
      </c>
      <c r="F29" s="74" t="s">
        <v>375</v>
      </c>
      <c r="G29" s="74" t="s">
        <v>675</v>
      </c>
      <c r="H29" s="74" t="s">
        <v>179</v>
      </c>
      <c r="I29" s="74">
        <v>128</v>
      </c>
      <c r="J29" s="74" t="s">
        <v>676</v>
      </c>
      <c r="K29" s="74" t="s">
        <v>179</v>
      </c>
      <c r="L29" s="74">
        <v>128</v>
      </c>
      <c r="M29" s="80">
        <v>1</v>
      </c>
      <c r="N29" s="74" t="s">
        <v>191</v>
      </c>
      <c r="O29" s="74" t="s">
        <v>236</v>
      </c>
      <c r="P29" s="74" t="s">
        <v>887</v>
      </c>
      <c r="Q29" s="74" t="b">
        <v>1</v>
      </c>
      <c r="R29" s="74"/>
    </row>
    <row r="30" spans="1:18" x14ac:dyDescent="0.3">
      <c r="A30" s="99"/>
      <c r="B30" s="73" t="s">
        <v>23</v>
      </c>
      <c r="C30" s="73" t="str" cm="1">
        <f t="array" ref="C30">UPPER(INDEX(_xlfn.TEXTSPLIT($D30, "-"), 3))</f>
        <v>DIS</v>
      </c>
      <c r="D30" s="78" t="s">
        <v>317</v>
      </c>
      <c r="E30" s="85" t="s">
        <v>24</v>
      </c>
      <c r="F30" s="73" t="s">
        <v>376</v>
      </c>
      <c r="G30" s="73" t="s">
        <v>677</v>
      </c>
      <c r="H30" s="73" t="s">
        <v>179</v>
      </c>
      <c r="I30" s="73">
        <v>128</v>
      </c>
      <c r="J30" s="73" t="s">
        <v>678</v>
      </c>
      <c r="K30" s="73" t="s">
        <v>179</v>
      </c>
      <c r="L30" s="73">
        <v>128</v>
      </c>
      <c r="M30" s="78">
        <v>2</v>
      </c>
      <c r="N30" s="73" t="s">
        <v>191</v>
      </c>
      <c r="O30" s="73" t="s">
        <v>236</v>
      </c>
      <c r="P30" s="73" t="s">
        <v>887</v>
      </c>
      <c r="Q30" s="73" t="b">
        <v>1</v>
      </c>
      <c r="R30" s="73"/>
    </row>
    <row r="31" spans="1:18" x14ac:dyDescent="0.3">
      <c r="A31" s="99"/>
      <c r="B31" s="74" t="s">
        <v>23</v>
      </c>
      <c r="C31" s="74" t="str" cm="1">
        <f t="array" ref="C31">UPPER(INDEX(_xlfn.TEXTSPLIT($D31, "-"), 3))</f>
        <v>DIS</v>
      </c>
      <c r="D31" s="80" t="s">
        <v>317</v>
      </c>
      <c r="E31" s="86" t="s">
        <v>24</v>
      </c>
      <c r="F31" s="74" t="s">
        <v>377</v>
      </c>
      <c r="G31" s="74" t="s">
        <v>225</v>
      </c>
      <c r="H31" s="74" t="s">
        <v>225</v>
      </c>
      <c r="I31" s="74" t="s">
        <v>225</v>
      </c>
      <c r="J31" s="74" t="s">
        <v>225</v>
      </c>
      <c r="K31" s="74" t="s">
        <v>225</v>
      </c>
      <c r="L31" s="74" t="s">
        <v>225</v>
      </c>
      <c r="M31" s="80" t="s">
        <v>225</v>
      </c>
      <c r="N31" s="74" t="s">
        <v>191</v>
      </c>
      <c r="O31" s="74" t="s">
        <v>236</v>
      </c>
      <c r="P31" s="74" t="s">
        <v>887</v>
      </c>
      <c r="Q31" s="74" t="b">
        <v>1</v>
      </c>
      <c r="R31" s="74"/>
    </row>
    <row r="32" spans="1:18" x14ac:dyDescent="0.3">
      <c r="A32" s="99"/>
      <c r="B32" s="73" t="s">
        <v>23</v>
      </c>
      <c r="C32" s="73" t="str" cm="1">
        <f t="array" ref="C32">UPPER(INDEX(_xlfn.TEXTSPLIT($D32, "-"), 3))</f>
        <v>DTG</v>
      </c>
      <c r="D32" s="78" t="s">
        <v>319</v>
      </c>
      <c r="E32" s="85" t="s">
        <v>24</v>
      </c>
      <c r="F32" s="73" t="s">
        <v>378</v>
      </c>
      <c r="G32" s="73" t="s">
        <v>679</v>
      </c>
      <c r="H32" s="73" t="s">
        <v>680</v>
      </c>
      <c r="I32" s="73">
        <v>1024</v>
      </c>
      <c r="J32" s="73" t="s">
        <v>681</v>
      </c>
      <c r="K32" s="73" t="s">
        <v>179</v>
      </c>
      <c r="L32" s="73">
        <v>128</v>
      </c>
      <c r="M32" s="78">
        <v>1</v>
      </c>
      <c r="N32" s="73" t="s">
        <v>191</v>
      </c>
      <c r="O32" s="73" t="s">
        <v>236</v>
      </c>
      <c r="P32" s="73" t="s">
        <v>887</v>
      </c>
      <c r="Q32" s="73" t="b">
        <v>1</v>
      </c>
      <c r="R32" s="73"/>
    </row>
    <row r="33" spans="1:18" x14ac:dyDescent="0.3">
      <c r="A33" s="99"/>
      <c r="B33" s="74" t="s">
        <v>23</v>
      </c>
      <c r="C33" s="74" t="str" cm="1">
        <f t="array" ref="C33">UPPER(INDEX(_xlfn.TEXTSPLIT($D33, "-"), 3))</f>
        <v>DTG</v>
      </c>
      <c r="D33" s="80" t="s">
        <v>319</v>
      </c>
      <c r="E33" s="86" t="s">
        <v>24</v>
      </c>
      <c r="F33" s="74" t="s">
        <v>379</v>
      </c>
      <c r="G33" s="74" t="s">
        <v>682</v>
      </c>
      <c r="H33" s="74" t="s">
        <v>680</v>
      </c>
      <c r="I33" s="74">
        <v>1024</v>
      </c>
      <c r="J33" s="74" t="s">
        <v>683</v>
      </c>
      <c r="K33" s="74" t="s">
        <v>179</v>
      </c>
      <c r="L33" s="74">
        <v>128</v>
      </c>
      <c r="M33" s="80">
        <v>2</v>
      </c>
      <c r="N33" s="74" t="s">
        <v>191</v>
      </c>
      <c r="O33" s="74" t="s">
        <v>236</v>
      </c>
      <c r="P33" s="74" t="s">
        <v>887</v>
      </c>
      <c r="Q33" s="74" t="b">
        <v>1</v>
      </c>
      <c r="R33" s="74"/>
    </row>
    <row r="34" spans="1:18" x14ac:dyDescent="0.3">
      <c r="A34" s="99"/>
      <c r="B34" s="73" t="s">
        <v>23</v>
      </c>
      <c r="C34" s="73" t="str" cm="1">
        <f t="array" ref="C34">UPPER(INDEX(_xlfn.TEXTSPLIT($D34, "-"), 3))</f>
        <v>DTG</v>
      </c>
      <c r="D34" s="78" t="s">
        <v>319</v>
      </c>
      <c r="E34" s="85" t="s">
        <v>24</v>
      </c>
      <c r="F34" s="73" t="s">
        <v>380</v>
      </c>
      <c r="G34" s="73" t="s">
        <v>684</v>
      </c>
      <c r="H34" s="73" t="s">
        <v>680</v>
      </c>
      <c r="I34" s="73">
        <v>1024</v>
      </c>
      <c r="J34" s="73" t="s">
        <v>685</v>
      </c>
      <c r="K34" s="73" t="s">
        <v>179</v>
      </c>
      <c r="L34" s="73">
        <v>128</v>
      </c>
      <c r="M34" s="78">
        <v>3</v>
      </c>
      <c r="N34" s="73" t="s">
        <v>191</v>
      </c>
      <c r="O34" s="73" t="s">
        <v>236</v>
      </c>
      <c r="P34" s="73" t="s">
        <v>887</v>
      </c>
      <c r="Q34" s="73" t="b">
        <v>1</v>
      </c>
      <c r="R34" s="73"/>
    </row>
    <row r="35" spans="1:18" x14ac:dyDescent="0.3">
      <c r="A35" s="99"/>
      <c r="B35" s="74" t="s">
        <v>23</v>
      </c>
      <c r="C35" s="74" t="str" cm="1">
        <f t="array" ref="C35">UPPER(INDEX(_xlfn.TEXTSPLIT($D35, "-"), 3))</f>
        <v>DTG</v>
      </c>
      <c r="D35" s="80" t="s">
        <v>319</v>
      </c>
      <c r="E35" s="86" t="s">
        <v>24</v>
      </c>
      <c r="F35" s="74" t="s">
        <v>381</v>
      </c>
      <c r="G35" s="74" t="s">
        <v>686</v>
      </c>
      <c r="H35" s="74" t="s">
        <v>680</v>
      </c>
      <c r="I35" s="74">
        <v>1024</v>
      </c>
      <c r="J35" s="74" t="s">
        <v>687</v>
      </c>
      <c r="K35" s="74" t="s">
        <v>179</v>
      </c>
      <c r="L35" s="74">
        <v>128</v>
      </c>
      <c r="M35" s="80">
        <v>1</v>
      </c>
      <c r="N35" s="74" t="s">
        <v>191</v>
      </c>
      <c r="O35" s="74" t="s">
        <v>236</v>
      </c>
      <c r="P35" s="74" t="s">
        <v>887</v>
      </c>
      <c r="Q35" s="74" t="b">
        <v>1</v>
      </c>
      <c r="R35" s="74"/>
    </row>
    <row r="36" spans="1:18" x14ac:dyDescent="0.3">
      <c r="A36" s="99"/>
      <c r="B36" s="73" t="s">
        <v>23</v>
      </c>
      <c r="C36" s="73" t="str" cm="1">
        <f t="array" ref="C36">UPPER(INDEX(_xlfn.TEXTSPLIT($D36, "-"), 3))</f>
        <v>DTG</v>
      </c>
      <c r="D36" s="78" t="s">
        <v>319</v>
      </c>
      <c r="E36" s="85" t="s">
        <v>24</v>
      </c>
      <c r="F36" s="73" t="s">
        <v>382</v>
      </c>
      <c r="G36" s="73" t="s">
        <v>688</v>
      </c>
      <c r="H36" s="73" t="s">
        <v>179</v>
      </c>
      <c r="I36" s="73">
        <v>512</v>
      </c>
      <c r="J36" s="73" t="s">
        <v>689</v>
      </c>
      <c r="K36" s="73" t="s">
        <v>179</v>
      </c>
      <c r="L36" s="73">
        <v>128</v>
      </c>
      <c r="M36" s="78">
        <v>1</v>
      </c>
      <c r="N36" s="73" t="s">
        <v>191</v>
      </c>
      <c r="O36" s="73" t="s">
        <v>236</v>
      </c>
      <c r="P36" s="73" t="s">
        <v>887</v>
      </c>
      <c r="Q36" s="73" t="b">
        <v>1</v>
      </c>
      <c r="R36" s="73"/>
    </row>
    <row r="37" spans="1:18" x14ac:dyDescent="0.3">
      <c r="A37" s="99"/>
      <c r="B37" s="74" t="s">
        <v>23</v>
      </c>
      <c r="C37" s="74" t="str" cm="1">
        <f t="array" ref="C37">UPPER(INDEX(_xlfn.TEXTSPLIT($D37, "-"), 3))</f>
        <v>DTG</v>
      </c>
      <c r="D37" s="80" t="s">
        <v>319</v>
      </c>
      <c r="E37" s="86" t="s">
        <v>24</v>
      </c>
      <c r="F37" s="74" t="s">
        <v>383</v>
      </c>
      <c r="G37" s="74" t="s">
        <v>690</v>
      </c>
      <c r="H37" s="74" t="s">
        <v>179</v>
      </c>
      <c r="I37" s="74">
        <v>512</v>
      </c>
      <c r="J37" s="74" t="s">
        <v>691</v>
      </c>
      <c r="K37" s="74" t="s">
        <v>179</v>
      </c>
      <c r="L37" s="74">
        <v>128</v>
      </c>
      <c r="M37" s="80">
        <v>2</v>
      </c>
      <c r="N37" s="74" t="s">
        <v>191</v>
      </c>
      <c r="O37" s="74" t="s">
        <v>236</v>
      </c>
      <c r="P37" s="74" t="s">
        <v>887</v>
      </c>
      <c r="Q37" s="74" t="b">
        <v>1</v>
      </c>
      <c r="R37" s="74"/>
    </row>
    <row r="38" spans="1:18" x14ac:dyDescent="0.3">
      <c r="A38" s="99"/>
      <c r="B38" s="73" t="s">
        <v>23</v>
      </c>
      <c r="C38" s="73" t="str" cm="1">
        <f t="array" ref="C38">UPPER(INDEX(_xlfn.TEXTSPLIT($D38, "-"), 3))</f>
        <v>DTG</v>
      </c>
      <c r="D38" s="78" t="s">
        <v>319</v>
      </c>
      <c r="E38" s="85" t="s">
        <v>24</v>
      </c>
      <c r="F38" s="73" t="s">
        <v>384</v>
      </c>
      <c r="G38" s="73" t="s">
        <v>692</v>
      </c>
      <c r="H38" s="73" t="s">
        <v>179</v>
      </c>
      <c r="I38" s="73">
        <v>128</v>
      </c>
      <c r="J38" s="73" t="s">
        <v>693</v>
      </c>
      <c r="K38" s="73" t="s">
        <v>179</v>
      </c>
      <c r="L38" s="73">
        <v>128</v>
      </c>
      <c r="M38" s="78">
        <v>1</v>
      </c>
      <c r="N38" s="73" t="s">
        <v>191</v>
      </c>
      <c r="O38" s="73" t="s">
        <v>236</v>
      </c>
      <c r="P38" s="73" t="s">
        <v>887</v>
      </c>
      <c r="Q38" s="73" t="b">
        <v>1</v>
      </c>
      <c r="R38" s="73"/>
    </row>
    <row r="39" spans="1:18" x14ac:dyDescent="0.3">
      <c r="A39" s="99"/>
      <c r="B39" s="74" t="s">
        <v>23</v>
      </c>
      <c r="C39" s="74" t="str" cm="1">
        <f t="array" ref="C39">UPPER(INDEX(_xlfn.TEXTSPLIT($D39, "-"), 3))</f>
        <v>DTG</v>
      </c>
      <c r="D39" s="80" t="s">
        <v>319</v>
      </c>
      <c r="E39" s="86" t="s">
        <v>24</v>
      </c>
      <c r="F39" s="74" t="s">
        <v>385</v>
      </c>
      <c r="G39" s="74" t="s">
        <v>694</v>
      </c>
      <c r="H39" s="74" t="s">
        <v>179</v>
      </c>
      <c r="I39" s="74">
        <v>128</v>
      </c>
      <c r="J39" s="74" t="s">
        <v>695</v>
      </c>
      <c r="K39" s="74" t="s">
        <v>179</v>
      </c>
      <c r="L39" s="74">
        <v>128</v>
      </c>
      <c r="M39" s="80">
        <v>2</v>
      </c>
      <c r="N39" s="74" t="s">
        <v>191</v>
      </c>
      <c r="O39" s="74" t="s">
        <v>236</v>
      </c>
      <c r="P39" s="74" t="s">
        <v>887</v>
      </c>
      <c r="Q39" s="74" t="b">
        <v>1</v>
      </c>
      <c r="R39" s="74"/>
    </row>
    <row r="40" spans="1:18" x14ac:dyDescent="0.3">
      <c r="A40" s="99"/>
      <c r="B40" s="73" t="s">
        <v>23</v>
      </c>
      <c r="C40" s="73" t="str" cm="1">
        <f t="array" ref="C40">UPPER(INDEX(_xlfn.TEXTSPLIT($D40, "-"), 3))</f>
        <v>DTG</v>
      </c>
      <c r="D40" s="78" t="s">
        <v>319</v>
      </c>
      <c r="E40" s="85" t="s">
        <v>24</v>
      </c>
      <c r="F40" s="73" t="s">
        <v>386</v>
      </c>
      <c r="G40" s="73" t="s">
        <v>696</v>
      </c>
      <c r="H40" s="73" t="s">
        <v>179</v>
      </c>
      <c r="I40" s="73">
        <v>128</v>
      </c>
      <c r="J40" s="73" t="s">
        <v>697</v>
      </c>
      <c r="K40" s="73" t="s">
        <v>179</v>
      </c>
      <c r="L40" s="73">
        <v>128</v>
      </c>
      <c r="M40" s="78">
        <v>3</v>
      </c>
      <c r="N40" s="73" t="s">
        <v>191</v>
      </c>
      <c r="O40" s="73" t="s">
        <v>236</v>
      </c>
      <c r="P40" s="73" t="s">
        <v>887</v>
      </c>
      <c r="Q40" s="73" t="b">
        <v>1</v>
      </c>
      <c r="R40" s="73"/>
    </row>
    <row r="41" spans="1:18" x14ac:dyDescent="0.3">
      <c r="A41" s="99"/>
      <c r="B41" s="74" t="s">
        <v>23</v>
      </c>
      <c r="C41" s="74" t="str" cm="1">
        <f t="array" ref="C41">UPPER(INDEX(_xlfn.TEXTSPLIT($D41, "-"), 3))</f>
        <v>DTG</v>
      </c>
      <c r="D41" s="80" t="s">
        <v>319</v>
      </c>
      <c r="E41" s="86" t="s">
        <v>24</v>
      </c>
      <c r="F41" s="74" t="s">
        <v>387</v>
      </c>
      <c r="G41" s="74" t="s">
        <v>698</v>
      </c>
      <c r="H41" s="74" t="s">
        <v>179</v>
      </c>
      <c r="I41" s="74">
        <v>128</v>
      </c>
      <c r="J41" s="74" t="s">
        <v>699</v>
      </c>
      <c r="K41" s="74" t="s">
        <v>179</v>
      </c>
      <c r="L41" s="74">
        <v>128</v>
      </c>
      <c r="M41" s="80">
        <v>1</v>
      </c>
      <c r="N41" s="74" t="s">
        <v>191</v>
      </c>
      <c r="O41" s="74" t="s">
        <v>236</v>
      </c>
      <c r="P41" s="74" t="s">
        <v>887</v>
      </c>
      <c r="Q41" s="74" t="b">
        <v>1</v>
      </c>
      <c r="R41" s="74"/>
    </row>
    <row r="42" spans="1:18" x14ac:dyDescent="0.3">
      <c r="A42" s="99"/>
      <c r="B42" s="73" t="s">
        <v>23</v>
      </c>
      <c r="C42" s="73" t="str" cm="1">
        <f t="array" ref="C42">UPPER(INDEX(_xlfn.TEXTSPLIT($D42, "-"), 3))</f>
        <v>DTG</v>
      </c>
      <c r="D42" s="78" t="s">
        <v>319</v>
      </c>
      <c r="E42" s="85" t="s">
        <v>24</v>
      </c>
      <c r="F42" s="73" t="s">
        <v>388</v>
      </c>
      <c r="G42" s="73" t="s">
        <v>700</v>
      </c>
      <c r="H42" s="73" t="s">
        <v>179</v>
      </c>
      <c r="I42" s="73">
        <v>128</v>
      </c>
      <c r="J42" s="73" t="s">
        <v>701</v>
      </c>
      <c r="K42" s="73" t="s">
        <v>179</v>
      </c>
      <c r="L42" s="73">
        <v>128</v>
      </c>
      <c r="M42" s="78">
        <v>2</v>
      </c>
      <c r="N42" s="73" t="s">
        <v>191</v>
      </c>
      <c r="O42" s="73" t="s">
        <v>236</v>
      </c>
      <c r="P42" s="73" t="s">
        <v>887</v>
      </c>
      <c r="Q42" s="73" t="b">
        <v>1</v>
      </c>
      <c r="R42" s="73"/>
    </row>
    <row r="43" spans="1:18" x14ac:dyDescent="0.3">
      <c r="A43" s="99"/>
      <c r="B43" s="74" t="s">
        <v>23</v>
      </c>
      <c r="C43" s="74" t="str" cm="1">
        <f t="array" ref="C43">UPPER(INDEX(_xlfn.TEXTSPLIT($D43, "-"), 3))</f>
        <v>DTG</v>
      </c>
      <c r="D43" s="80" t="s">
        <v>319</v>
      </c>
      <c r="E43" s="86" t="s">
        <v>24</v>
      </c>
      <c r="F43" s="74" t="s">
        <v>389</v>
      </c>
      <c r="G43" s="74" t="s">
        <v>702</v>
      </c>
      <c r="H43" s="74" t="s">
        <v>179</v>
      </c>
      <c r="I43" s="74">
        <v>128</v>
      </c>
      <c r="J43" s="74" t="s">
        <v>703</v>
      </c>
      <c r="K43" s="74" t="s">
        <v>179</v>
      </c>
      <c r="L43" s="74">
        <v>128</v>
      </c>
      <c r="M43" s="80">
        <v>3</v>
      </c>
      <c r="N43" s="74" t="s">
        <v>191</v>
      </c>
      <c r="O43" s="74" t="s">
        <v>236</v>
      </c>
      <c r="P43" s="74" t="s">
        <v>887</v>
      </c>
      <c r="Q43" s="74" t="b">
        <v>1</v>
      </c>
      <c r="R43" s="74"/>
    </row>
    <row r="44" spans="1:18" x14ac:dyDescent="0.3">
      <c r="A44" s="99"/>
      <c r="B44" s="73" t="s">
        <v>23</v>
      </c>
      <c r="C44" s="73" t="str" cm="1">
        <f t="array" ref="C44">UPPER(INDEX(_xlfn.TEXTSPLIT($D44, "-"), 3))</f>
        <v>DTG</v>
      </c>
      <c r="D44" s="78" t="s">
        <v>319</v>
      </c>
      <c r="E44" s="85" t="s">
        <v>24</v>
      </c>
      <c r="F44" s="73" t="s">
        <v>390</v>
      </c>
      <c r="G44" s="73" t="s">
        <v>704</v>
      </c>
      <c r="H44" s="73" t="s">
        <v>179</v>
      </c>
      <c r="I44" s="73">
        <v>128</v>
      </c>
      <c r="J44" s="73" t="s">
        <v>705</v>
      </c>
      <c r="K44" s="73" t="s">
        <v>179</v>
      </c>
      <c r="L44" s="73">
        <v>128</v>
      </c>
      <c r="M44" s="78">
        <v>1</v>
      </c>
      <c r="N44" s="73" t="s">
        <v>191</v>
      </c>
      <c r="O44" s="73" t="s">
        <v>236</v>
      </c>
      <c r="P44" s="73" t="s">
        <v>887</v>
      </c>
      <c r="Q44" s="73" t="b">
        <v>1</v>
      </c>
      <c r="R44" s="73"/>
    </row>
    <row r="45" spans="1:18" x14ac:dyDescent="0.3">
      <c r="A45" s="99"/>
      <c r="B45" s="74" t="s">
        <v>23</v>
      </c>
      <c r="C45" s="74" t="str" cm="1">
        <f t="array" ref="C45">UPPER(INDEX(_xlfn.TEXTSPLIT($D45, "-"), 3))</f>
        <v>DTG</v>
      </c>
      <c r="D45" s="80" t="s">
        <v>319</v>
      </c>
      <c r="E45" s="86" t="s">
        <v>24</v>
      </c>
      <c r="F45" s="74" t="s">
        <v>391</v>
      </c>
      <c r="G45" s="74" t="s">
        <v>706</v>
      </c>
      <c r="H45" s="74" t="s">
        <v>179</v>
      </c>
      <c r="I45" s="74">
        <v>128</v>
      </c>
      <c r="J45" s="74" t="s">
        <v>707</v>
      </c>
      <c r="K45" s="74" t="s">
        <v>179</v>
      </c>
      <c r="L45" s="74">
        <v>128</v>
      </c>
      <c r="M45" s="80">
        <v>2</v>
      </c>
      <c r="N45" s="74" t="s">
        <v>191</v>
      </c>
      <c r="O45" s="74" t="s">
        <v>236</v>
      </c>
      <c r="P45" s="74" t="s">
        <v>887</v>
      </c>
      <c r="Q45" s="74" t="b">
        <v>1</v>
      </c>
      <c r="R45" s="74"/>
    </row>
    <row r="46" spans="1:18" x14ac:dyDescent="0.3">
      <c r="A46" s="99"/>
      <c r="B46" s="73" t="s">
        <v>23</v>
      </c>
      <c r="C46" s="73" t="str" cm="1">
        <f t="array" ref="C46">UPPER(INDEX(_xlfn.TEXTSPLIT($D46, "-"), 3))</f>
        <v>DTG</v>
      </c>
      <c r="D46" s="78" t="s">
        <v>319</v>
      </c>
      <c r="E46" s="85" t="s">
        <v>24</v>
      </c>
      <c r="F46" s="73" t="s">
        <v>392</v>
      </c>
      <c r="G46" s="73" t="s">
        <v>708</v>
      </c>
      <c r="H46" s="73" t="s">
        <v>179</v>
      </c>
      <c r="I46" s="73">
        <v>128</v>
      </c>
      <c r="J46" s="73" t="s">
        <v>709</v>
      </c>
      <c r="K46" s="73" t="s">
        <v>179</v>
      </c>
      <c r="L46" s="73">
        <v>128</v>
      </c>
      <c r="M46" s="78">
        <v>3</v>
      </c>
      <c r="N46" s="73" t="s">
        <v>191</v>
      </c>
      <c r="O46" s="73" t="s">
        <v>236</v>
      </c>
      <c r="P46" s="73" t="s">
        <v>887</v>
      </c>
      <c r="Q46" s="73" t="b">
        <v>1</v>
      </c>
      <c r="R46" s="73"/>
    </row>
    <row r="47" spans="1:18" x14ac:dyDescent="0.3">
      <c r="A47" s="99"/>
      <c r="B47" s="74" t="s">
        <v>23</v>
      </c>
      <c r="C47" s="74" t="str" cm="1">
        <f t="array" ref="C47">UPPER(INDEX(_xlfn.TEXTSPLIT($D47, "-"), 3))</f>
        <v>DTG</v>
      </c>
      <c r="D47" s="80" t="s">
        <v>319</v>
      </c>
      <c r="E47" s="86" t="s">
        <v>24</v>
      </c>
      <c r="F47" s="74" t="s">
        <v>393</v>
      </c>
      <c r="G47" s="74" t="s">
        <v>710</v>
      </c>
      <c r="H47" s="74" t="s">
        <v>179</v>
      </c>
      <c r="I47" s="74">
        <v>128</v>
      </c>
      <c r="J47" s="74" t="s">
        <v>711</v>
      </c>
      <c r="K47" s="74" t="s">
        <v>179</v>
      </c>
      <c r="L47" s="74">
        <v>128</v>
      </c>
      <c r="M47" s="80">
        <v>1</v>
      </c>
      <c r="N47" s="74" t="s">
        <v>191</v>
      </c>
      <c r="O47" s="74" t="s">
        <v>236</v>
      </c>
      <c r="P47" s="74" t="s">
        <v>887</v>
      </c>
      <c r="Q47" s="74" t="b">
        <v>1</v>
      </c>
      <c r="R47" s="74"/>
    </row>
    <row r="48" spans="1:18" x14ac:dyDescent="0.3">
      <c r="A48" s="99"/>
      <c r="B48" s="73" t="s">
        <v>23</v>
      </c>
      <c r="C48" s="73" t="str" cm="1">
        <f t="array" ref="C48">UPPER(INDEX(_xlfn.TEXTSPLIT($D48, "-"), 3))</f>
        <v>DTG</v>
      </c>
      <c r="D48" s="78" t="s">
        <v>319</v>
      </c>
      <c r="E48" s="85" t="s">
        <v>24</v>
      </c>
      <c r="F48" s="73" t="s">
        <v>394</v>
      </c>
      <c r="G48" s="73" t="s">
        <v>712</v>
      </c>
      <c r="H48" s="73" t="s">
        <v>179</v>
      </c>
      <c r="I48" s="73">
        <v>128</v>
      </c>
      <c r="J48" s="73" t="s">
        <v>713</v>
      </c>
      <c r="K48" s="73" t="s">
        <v>179</v>
      </c>
      <c r="L48" s="73">
        <v>128</v>
      </c>
      <c r="M48" s="78">
        <v>2</v>
      </c>
      <c r="N48" s="73" t="s">
        <v>191</v>
      </c>
      <c r="O48" s="73" t="s">
        <v>236</v>
      </c>
      <c r="P48" s="73" t="s">
        <v>887</v>
      </c>
      <c r="Q48" s="73" t="b">
        <v>1</v>
      </c>
      <c r="R48" s="73"/>
    </row>
    <row r="49" spans="1:18" x14ac:dyDescent="0.3">
      <c r="A49" s="99"/>
      <c r="B49" s="74" t="s">
        <v>23</v>
      </c>
      <c r="C49" s="74" t="str" cm="1">
        <f t="array" ref="C49">UPPER(INDEX(_xlfn.TEXTSPLIT($D49, "-"), 3))</f>
        <v>DTG</v>
      </c>
      <c r="D49" s="80" t="s">
        <v>319</v>
      </c>
      <c r="E49" s="86" t="s">
        <v>24</v>
      </c>
      <c r="F49" s="74" t="s">
        <v>395</v>
      </c>
      <c r="G49" s="74" t="s">
        <v>714</v>
      </c>
      <c r="H49" s="74" t="s">
        <v>179</v>
      </c>
      <c r="I49" s="74">
        <v>128</v>
      </c>
      <c r="J49" s="74" t="s">
        <v>715</v>
      </c>
      <c r="K49" s="74" t="s">
        <v>179</v>
      </c>
      <c r="L49" s="74">
        <v>128</v>
      </c>
      <c r="M49" s="80">
        <v>3</v>
      </c>
      <c r="N49" s="74" t="s">
        <v>191</v>
      </c>
      <c r="O49" s="74" t="s">
        <v>236</v>
      </c>
      <c r="P49" s="74" t="s">
        <v>887</v>
      </c>
      <c r="Q49" s="74" t="b">
        <v>1</v>
      </c>
      <c r="R49" s="74"/>
    </row>
    <row r="50" spans="1:18" x14ac:dyDescent="0.3">
      <c r="A50" s="99"/>
      <c r="B50" s="73" t="s">
        <v>23</v>
      </c>
      <c r="C50" s="73" t="str" cm="1">
        <f t="array" ref="C50">UPPER(INDEX(_xlfn.TEXTSPLIT($D50, "-"), 3))</f>
        <v>DTG</v>
      </c>
      <c r="D50" s="78" t="s">
        <v>319</v>
      </c>
      <c r="E50" s="85" t="s">
        <v>24</v>
      </c>
      <c r="F50" s="73" t="s">
        <v>396</v>
      </c>
      <c r="G50" s="73" t="s">
        <v>716</v>
      </c>
      <c r="H50" s="73" t="s">
        <v>179</v>
      </c>
      <c r="I50" s="73">
        <v>128</v>
      </c>
      <c r="J50" s="73" t="s">
        <v>717</v>
      </c>
      <c r="K50" s="73" t="s">
        <v>179</v>
      </c>
      <c r="L50" s="73">
        <v>128</v>
      </c>
      <c r="M50" s="78">
        <v>1</v>
      </c>
      <c r="N50" s="73" t="s">
        <v>191</v>
      </c>
      <c r="O50" s="73" t="s">
        <v>236</v>
      </c>
      <c r="P50" s="73" t="s">
        <v>887</v>
      </c>
      <c r="Q50" s="73" t="b">
        <v>1</v>
      </c>
      <c r="R50" s="73"/>
    </row>
    <row r="51" spans="1:18" x14ac:dyDescent="0.3">
      <c r="A51" s="99"/>
      <c r="B51" s="74" t="s">
        <v>23</v>
      </c>
      <c r="C51" s="74" t="str" cm="1">
        <f t="array" ref="C51">UPPER(INDEX(_xlfn.TEXTSPLIT($D51, "-"), 3))</f>
        <v>DTG</v>
      </c>
      <c r="D51" s="80" t="s">
        <v>319</v>
      </c>
      <c r="E51" s="86" t="s">
        <v>24</v>
      </c>
      <c r="F51" s="74" t="s">
        <v>397</v>
      </c>
      <c r="G51" s="74" t="s">
        <v>718</v>
      </c>
      <c r="H51" s="74" t="s">
        <v>179</v>
      </c>
      <c r="I51" s="74">
        <v>128</v>
      </c>
      <c r="J51" s="74" t="s">
        <v>719</v>
      </c>
      <c r="K51" s="74" t="s">
        <v>179</v>
      </c>
      <c r="L51" s="74">
        <v>128</v>
      </c>
      <c r="M51" s="80">
        <v>2</v>
      </c>
      <c r="N51" s="74" t="s">
        <v>191</v>
      </c>
      <c r="O51" s="74" t="s">
        <v>236</v>
      </c>
      <c r="P51" s="74" t="s">
        <v>887</v>
      </c>
      <c r="Q51" s="74" t="b">
        <v>1</v>
      </c>
      <c r="R51" s="74"/>
    </row>
    <row r="52" spans="1:18" x14ac:dyDescent="0.3">
      <c r="A52" s="99"/>
      <c r="B52" s="73" t="s">
        <v>23</v>
      </c>
      <c r="C52" s="73" t="str" cm="1">
        <f t="array" ref="C52">UPPER(INDEX(_xlfn.TEXTSPLIT($D52, "-"), 3))</f>
        <v>DTG</v>
      </c>
      <c r="D52" s="78" t="s">
        <v>319</v>
      </c>
      <c r="E52" s="85" t="s">
        <v>24</v>
      </c>
      <c r="F52" s="73" t="s">
        <v>398</v>
      </c>
      <c r="G52" s="73" t="s">
        <v>720</v>
      </c>
      <c r="H52" s="73" t="s">
        <v>179</v>
      </c>
      <c r="I52" s="73">
        <v>128</v>
      </c>
      <c r="J52" s="73" t="s">
        <v>721</v>
      </c>
      <c r="K52" s="73" t="s">
        <v>179</v>
      </c>
      <c r="L52" s="73">
        <v>128</v>
      </c>
      <c r="M52" s="78">
        <v>3</v>
      </c>
      <c r="N52" s="73" t="s">
        <v>191</v>
      </c>
      <c r="O52" s="73" t="s">
        <v>236</v>
      </c>
      <c r="P52" s="73" t="s">
        <v>887</v>
      </c>
      <c r="Q52" s="73" t="b">
        <v>1</v>
      </c>
      <c r="R52" s="73"/>
    </row>
    <row r="53" spans="1:18" x14ac:dyDescent="0.3">
      <c r="A53" s="99"/>
      <c r="B53" s="74" t="s">
        <v>23</v>
      </c>
      <c r="C53" s="74" t="str" cm="1">
        <f t="array" ref="C53">UPPER(INDEX(_xlfn.TEXTSPLIT($D53, "-"), 3))</f>
        <v>DTG</v>
      </c>
      <c r="D53" s="80" t="s">
        <v>319</v>
      </c>
      <c r="E53" s="86" t="s">
        <v>24</v>
      </c>
      <c r="F53" s="74" t="s">
        <v>399</v>
      </c>
      <c r="G53" s="74" t="s">
        <v>722</v>
      </c>
      <c r="H53" s="74" t="s">
        <v>179</v>
      </c>
      <c r="I53" s="74">
        <v>128</v>
      </c>
      <c r="J53" s="74" t="s">
        <v>723</v>
      </c>
      <c r="K53" s="74" t="s">
        <v>179</v>
      </c>
      <c r="L53" s="74">
        <v>128</v>
      </c>
      <c r="M53" s="80">
        <v>1</v>
      </c>
      <c r="N53" s="74" t="s">
        <v>191</v>
      </c>
      <c r="O53" s="74" t="s">
        <v>236</v>
      </c>
      <c r="P53" s="74" t="s">
        <v>887</v>
      </c>
      <c r="Q53" s="74" t="b">
        <v>1</v>
      </c>
      <c r="R53" s="74"/>
    </row>
    <row r="54" spans="1:18" x14ac:dyDescent="0.3">
      <c r="A54" s="99"/>
      <c r="B54" s="73" t="s">
        <v>23</v>
      </c>
      <c r="C54" s="73" t="str" cm="1">
        <f t="array" ref="C54">UPPER(INDEX(_xlfn.TEXTSPLIT($D54, "-"), 3))</f>
        <v>DTG</v>
      </c>
      <c r="D54" s="78" t="s">
        <v>319</v>
      </c>
      <c r="E54" s="85" t="s">
        <v>24</v>
      </c>
      <c r="F54" s="73" t="s">
        <v>400</v>
      </c>
      <c r="G54" s="73" t="s">
        <v>724</v>
      </c>
      <c r="H54" s="73" t="s">
        <v>179</v>
      </c>
      <c r="I54" s="73">
        <v>128</v>
      </c>
      <c r="J54" s="73" t="s">
        <v>725</v>
      </c>
      <c r="K54" s="73" t="s">
        <v>179</v>
      </c>
      <c r="L54" s="73">
        <v>128</v>
      </c>
      <c r="M54" s="78">
        <v>2</v>
      </c>
      <c r="N54" s="73" t="s">
        <v>191</v>
      </c>
      <c r="O54" s="73" t="s">
        <v>236</v>
      </c>
      <c r="P54" s="73" t="s">
        <v>887</v>
      </c>
      <c r="Q54" s="73" t="b">
        <v>1</v>
      </c>
      <c r="R54" s="73"/>
    </row>
    <row r="55" spans="1:18" x14ac:dyDescent="0.3">
      <c r="A55" s="99"/>
      <c r="B55" s="74" t="s">
        <v>23</v>
      </c>
      <c r="C55" s="74" t="str" cm="1">
        <f t="array" ref="C55">UPPER(INDEX(_xlfn.TEXTSPLIT($D55, "-"), 3))</f>
        <v>DTG</v>
      </c>
      <c r="D55" s="80" t="s">
        <v>319</v>
      </c>
      <c r="E55" s="86" t="s">
        <v>24</v>
      </c>
      <c r="F55" s="74" t="s">
        <v>401</v>
      </c>
      <c r="G55" s="74" t="s">
        <v>726</v>
      </c>
      <c r="H55" s="74" t="s">
        <v>179</v>
      </c>
      <c r="I55" s="74">
        <v>128</v>
      </c>
      <c r="J55" s="74" t="s">
        <v>727</v>
      </c>
      <c r="K55" s="74" t="s">
        <v>179</v>
      </c>
      <c r="L55" s="74">
        <v>128</v>
      </c>
      <c r="M55" s="80">
        <v>3</v>
      </c>
      <c r="N55" s="74" t="s">
        <v>191</v>
      </c>
      <c r="O55" s="74" t="s">
        <v>236</v>
      </c>
      <c r="P55" s="74" t="s">
        <v>887</v>
      </c>
      <c r="Q55" s="74" t="b">
        <v>1</v>
      </c>
      <c r="R55" s="74"/>
    </row>
    <row r="56" spans="1:18" x14ac:dyDescent="0.3">
      <c r="A56" s="99"/>
      <c r="B56" s="73" t="s">
        <v>23</v>
      </c>
      <c r="C56" s="73" t="str" cm="1">
        <f t="array" ref="C56">UPPER(INDEX(_xlfn.TEXTSPLIT($D56, "-"), 3))</f>
        <v>DTG</v>
      </c>
      <c r="D56" s="78" t="s">
        <v>319</v>
      </c>
      <c r="E56" s="85" t="s">
        <v>24</v>
      </c>
      <c r="F56" s="73" t="s">
        <v>402</v>
      </c>
      <c r="G56" s="73" t="s">
        <v>728</v>
      </c>
      <c r="H56" s="73" t="s">
        <v>179</v>
      </c>
      <c r="I56" s="73">
        <v>128</v>
      </c>
      <c r="J56" s="73" t="s">
        <v>729</v>
      </c>
      <c r="K56" s="73" t="s">
        <v>179</v>
      </c>
      <c r="L56" s="73">
        <v>128</v>
      </c>
      <c r="M56" s="78">
        <v>1</v>
      </c>
      <c r="N56" s="73" t="s">
        <v>191</v>
      </c>
      <c r="O56" s="73" t="s">
        <v>236</v>
      </c>
      <c r="P56" s="73" t="s">
        <v>887</v>
      </c>
      <c r="Q56" s="73" t="b">
        <v>1</v>
      </c>
      <c r="R56" s="73"/>
    </row>
    <row r="57" spans="1:18" x14ac:dyDescent="0.3">
      <c r="A57" s="99"/>
      <c r="B57" s="74" t="s">
        <v>23</v>
      </c>
      <c r="C57" s="74" t="str" cm="1">
        <f t="array" ref="C57">UPPER(INDEX(_xlfn.TEXTSPLIT($D57, "-"), 3))</f>
        <v>DTG</v>
      </c>
      <c r="D57" s="80" t="s">
        <v>319</v>
      </c>
      <c r="E57" s="86" t="s">
        <v>24</v>
      </c>
      <c r="F57" s="74" t="s">
        <v>403</v>
      </c>
      <c r="G57" s="74" t="s">
        <v>730</v>
      </c>
      <c r="H57" s="74" t="s">
        <v>179</v>
      </c>
      <c r="I57" s="74">
        <v>128</v>
      </c>
      <c r="J57" s="74" t="s">
        <v>731</v>
      </c>
      <c r="K57" s="74" t="s">
        <v>179</v>
      </c>
      <c r="L57" s="74">
        <v>128</v>
      </c>
      <c r="M57" s="80">
        <v>2</v>
      </c>
      <c r="N57" s="74" t="s">
        <v>191</v>
      </c>
      <c r="O57" s="74" t="s">
        <v>236</v>
      </c>
      <c r="P57" s="74" t="s">
        <v>887</v>
      </c>
      <c r="Q57" s="74" t="b">
        <v>1</v>
      </c>
      <c r="R57" s="74"/>
    </row>
    <row r="58" spans="1:18" x14ac:dyDescent="0.3">
      <c r="A58" s="99"/>
      <c r="B58" s="73" t="s">
        <v>23</v>
      </c>
      <c r="C58" s="73" t="str" cm="1">
        <f t="array" ref="C58">UPPER(INDEX(_xlfn.TEXTSPLIT($D58, "-"), 3))</f>
        <v>DTG</v>
      </c>
      <c r="D58" s="78" t="s">
        <v>319</v>
      </c>
      <c r="E58" s="85" t="s">
        <v>24</v>
      </c>
      <c r="F58" s="73" t="s">
        <v>404</v>
      </c>
      <c r="G58" s="73" t="s">
        <v>732</v>
      </c>
      <c r="H58" s="73" t="s">
        <v>179</v>
      </c>
      <c r="I58" s="73">
        <v>128</v>
      </c>
      <c r="J58" s="73" t="s">
        <v>733</v>
      </c>
      <c r="K58" s="73" t="s">
        <v>179</v>
      </c>
      <c r="L58" s="73">
        <v>128</v>
      </c>
      <c r="M58" s="78">
        <v>3</v>
      </c>
      <c r="N58" s="73" t="s">
        <v>191</v>
      </c>
      <c r="O58" s="73" t="s">
        <v>236</v>
      </c>
      <c r="P58" s="73" t="s">
        <v>887</v>
      </c>
      <c r="Q58" s="73" t="b">
        <v>1</v>
      </c>
      <c r="R58" s="73"/>
    </row>
    <row r="59" spans="1:18" x14ac:dyDescent="0.3">
      <c r="A59" s="99"/>
      <c r="B59" s="74" t="s">
        <v>23</v>
      </c>
      <c r="C59" s="74" t="str" cm="1">
        <f t="array" ref="C59">UPPER(INDEX(_xlfn.TEXTSPLIT($D59, "-"), 3))</f>
        <v>DTG</v>
      </c>
      <c r="D59" s="80" t="s">
        <v>319</v>
      </c>
      <c r="E59" s="86" t="s">
        <v>24</v>
      </c>
      <c r="F59" s="74" t="s">
        <v>405</v>
      </c>
      <c r="G59" s="74" t="s">
        <v>734</v>
      </c>
      <c r="H59" s="74" t="s">
        <v>179</v>
      </c>
      <c r="I59" s="74">
        <v>128</v>
      </c>
      <c r="J59" s="74" t="s">
        <v>735</v>
      </c>
      <c r="K59" s="74" t="s">
        <v>179</v>
      </c>
      <c r="L59" s="74">
        <v>128</v>
      </c>
      <c r="M59" s="80">
        <v>1</v>
      </c>
      <c r="N59" s="74" t="s">
        <v>191</v>
      </c>
      <c r="O59" s="74" t="s">
        <v>236</v>
      </c>
      <c r="P59" s="74" t="s">
        <v>887</v>
      </c>
      <c r="Q59" s="74" t="b">
        <v>1</v>
      </c>
      <c r="R59" s="74"/>
    </row>
    <row r="60" spans="1:18" x14ac:dyDescent="0.3">
      <c r="A60" s="99"/>
      <c r="B60" s="73" t="s">
        <v>23</v>
      </c>
      <c r="C60" s="73" t="str" cm="1">
        <f t="array" ref="C60">UPPER(INDEX(_xlfn.TEXTSPLIT($D60, "-"), 3))</f>
        <v>DTG</v>
      </c>
      <c r="D60" s="78" t="s">
        <v>319</v>
      </c>
      <c r="E60" s="85" t="s">
        <v>24</v>
      </c>
      <c r="F60" s="73" t="s">
        <v>406</v>
      </c>
      <c r="G60" s="73" t="s">
        <v>736</v>
      </c>
      <c r="H60" s="73" t="s">
        <v>179</v>
      </c>
      <c r="I60" s="73">
        <v>128</v>
      </c>
      <c r="J60" s="73" t="s">
        <v>737</v>
      </c>
      <c r="K60" s="73" t="s">
        <v>179</v>
      </c>
      <c r="L60" s="73">
        <v>128</v>
      </c>
      <c r="M60" s="78">
        <v>2</v>
      </c>
      <c r="N60" s="73" t="s">
        <v>191</v>
      </c>
      <c r="O60" s="73" t="s">
        <v>236</v>
      </c>
      <c r="P60" s="73" t="s">
        <v>887</v>
      </c>
      <c r="Q60" s="73" t="b">
        <v>1</v>
      </c>
      <c r="R60" s="73"/>
    </row>
    <row r="61" spans="1:18" x14ac:dyDescent="0.3">
      <c r="A61" s="99"/>
      <c r="B61" s="74" t="s">
        <v>23</v>
      </c>
      <c r="C61" s="74" t="str" cm="1">
        <f t="array" ref="C61">UPPER(INDEX(_xlfn.TEXTSPLIT($D61, "-"), 3))</f>
        <v>DTG</v>
      </c>
      <c r="D61" s="80" t="s">
        <v>319</v>
      </c>
      <c r="E61" s="86" t="s">
        <v>24</v>
      </c>
      <c r="F61" s="74" t="s">
        <v>407</v>
      </c>
      <c r="G61" s="74" t="s">
        <v>738</v>
      </c>
      <c r="H61" s="74" t="s">
        <v>179</v>
      </c>
      <c r="I61" s="74">
        <v>128</v>
      </c>
      <c r="J61" s="74" t="s">
        <v>739</v>
      </c>
      <c r="K61" s="74" t="s">
        <v>179</v>
      </c>
      <c r="L61" s="74">
        <v>128</v>
      </c>
      <c r="M61" s="80">
        <v>3</v>
      </c>
      <c r="N61" s="74" t="s">
        <v>191</v>
      </c>
      <c r="O61" s="74" t="s">
        <v>236</v>
      </c>
      <c r="P61" s="74" t="s">
        <v>887</v>
      </c>
      <c r="Q61" s="74" t="b">
        <v>1</v>
      </c>
      <c r="R61" s="74"/>
    </row>
    <row r="62" spans="1:18" x14ac:dyDescent="0.3">
      <c r="A62" s="99"/>
      <c r="B62" s="73" t="s">
        <v>23</v>
      </c>
      <c r="C62" s="73" t="str" cm="1">
        <f t="array" ref="C62">UPPER(INDEX(_xlfn.TEXTSPLIT($D62, "-"), 3))</f>
        <v>DTG</v>
      </c>
      <c r="D62" s="78" t="s">
        <v>319</v>
      </c>
      <c r="E62" s="85" t="s">
        <v>24</v>
      </c>
      <c r="F62" s="73" t="s">
        <v>408</v>
      </c>
      <c r="G62" s="73" t="s">
        <v>740</v>
      </c>
      <c r="H62" s="73" t="s">
        <v>179</v>
      </c>
      <c r="I62" s="73">
        <v>128</v>
      </c>
      <c r="J62" s="73" t="s">
        <v>741</v>
      </c>
      <c r="K62" s="73" t="s">
        <v>179</v>
      </c>
      <c r="L62" s="73">
        <v>128</v>
      </c>
      <c r="M62" s="78">
        <v>1</v>
      </c>
      <c r="N62" s="73" t="s">
        <v>191</v>
      </c>
      <c r="O62" s="73" t="s">
        <v>236</v>
      </c>
      <c r="P62" s="73" t="s">
        <v>887</v>
      </c>
      <c r="Q62" s="73" t="b">
        <v>1</v>
      </c>
      <c r="R62" s="73"/>
    </row>
    <row r="63" spans="1:18" x14ac:dyDescent="0.3">
      <c r="A63" s="99"/>
      <c r="B63" s="74" t="s">
        <v>23</v>
      </c>
      <c r="C63" s="74" t="str" cm="1">
        <f t="array" ref="C63">UPPER(INDEX(_xlfn.TEXTSPLIT($D63, "-"), 3))</f>
        <v>DTG</v>
      </c>
      <c r="D63" s="80" t="s">
        <v>319</v>
      </c>
      <c r="E63" s="86" t="s">
        <v>24</v>
      </c>
      <c r="F63" s="74" t="s">
        <v>409</v>
      </c>
      <c r="G63" s="74" t="s">
        <v>742</v>
      </c>
      <c r="H63" s="74" t="s">
        <v>179</v>
      </c>
      <c r="I63" s="74">
        <v>128</v>
      </c>
      <c r="J63" s="74" t="s">
        <v>743</v>
      </c>
      <c r="K63" s="74" t="s">
        <v>179</v>
      </c>
      <c r="L63" s="74">
        <v>128</v>
      </c>
      <c r="M63" s="80">
        <v>2</v>
      </c>
      <c r="N63" s="74" t="s">
        <v>191</v>
      </c>
      <c r="O63" s="74" t="s">
        <v>236</v>
      </c>
      <c r="P63" s="74" t="s">
        <v>887</v>
      </c>
      <c r="Q63" s="74" t="b">
        <v>1</v>
      </c>
      <c r="R63" s="74"/>
    </row>
    <row r="64" spans="1:18" x14ac:dyDescent="0.3">
      <c r="A64" s="99"/>
      <c r="B64" s="73" t="s">
        <v>23</v>
      </c>
      <c r="C64" s="73" t="str" cm="1">
        <f t="array" ref="C64">UPPER(INDEX(_xlfn.TEXTSPLIT($D64, "-"), 3))</f>
        <v>DTG</v>
      </c>
      <c r="D64" s="78" t="s">
        <v>319</v>
      </c>
      <c r="E64" s="85" t="s">
        <v>24</v>
      </c>
      <c r="F64" s="73" t="s">
        <v>410</v>
      </c>
      <c r="G64" s="73" t="s">
        <v>744</v>
      </c>
      <c r="H64" s="73" t="s">
        <v>179</v>
      </c>
      <c r="I64" s="73">
        <v>128</v>
      </c>
      <c r="J64" s="73" t="s">
        <v>745</v>
      </c>
      <c r="K64" s="73" t="s">
        <v>179</v>
      </c>
      <c r="L64" s="73">
        <v>128</v>
      </c>
      <c r="M64" s="78">
        <v>1</v>
      </c>
      <c r="N64" s="73" t="s">
        <v>191</v>
      </c>
      <c r="O64" s="73" t="s">
        <v>236</v>
      </c>
      <c r="P64" s="73" t="s">
        <v>887</v>
      </c>
      <c r="Q64" s="73" t="b">
        <v>1</v>
      </c>
      <c r="R64" s="73"/>
    </row>
    <row r="65" spans="1:18" x14ac:dyDescent="0.3">
      <c r="A65" s="99"/>
      <c r="B65" s="74" t="s">
        <v>23</v>
      </c>
      <c r="C65" s="74" t="str" cm="1">
        <f t="array" ref="C65">UPPER(INDEX(_xlfn.TEXTSPLIT($D65, "-"), 3))</f>
        <v>DTG</v>
      </c>
      <c r="D65" s="80" t="s">
        <v>319</v>
      </c>
      <c r="E65" s="86" t="s">
        <v>24</v>
      </c>
      <c r="F65" s="74" t="s">
        <v>411</v>
      </c>
      <c r="G65" s="74" t="s">
        <v>746</v>
      </c>
      <c r="H65" s="74" t="s">
        <v>179</v>
      </c>
      <c r="I65" s="74">
        <v>128</v>
      </c>
      <c r="J65" s="74" t="s">
        <v>747</v>
      </c>
      <c r="K65" s="74" t="s">
        <v>179</v>
      </c>
      <c r="L65" s="74">
        <v>128</v>
      </c>
      <c r="M65" s="80">
        <v>2</v>
      </c>
      <c r="N65" s="74" t="s">
        <v>191</v>
      </c>
      <c r="O65" s="74" t="s">
        <v>236</v>
      </c>
      <c r="P65" s="74" t="s">
        <v>887</v>
      </c>
      <c r="Q65" s="74" t="b">
        <v>1</v>
      </c>
      <c r="R65" s="74"/>
    </row>
    <row r="66" spans="1:18" x14ac:dyDescent="0.3">
      <c r="A66" s="99"/>
      <c r="B66" s="73" t="s">
        <v>23</v>
      </c>
      <c r="C66" s="73" t="str" cm="1">
        <f t="array" ref="C66">UPPER(INDEX(_xlfn.TEXTSPLIT($D66, "-"), 3))</f>
        <v>DTG</v>
      </c>
      <c r="D66" s="78" t="s">
        <v>319</v>
      </c>
      <c r="E66" s="85" t="s">
        <v>24</v>
      </c>
      <c r="F66" s="73" t="s">
        <v>412</v>
      </c>
      <c r="G66" s="73" t="s">
        <v>748</v>
      </c>
      <c r="H66" s="73" t="s">
        <v>179</v>
      </c>
      <c r="I66" s="73">
        <v>512</v>
      </c>
      <c r="J66" s="73" t="s">
        <v>749</v>
      </c>
      <c r="K66" s="73" t="s">
        <v>179</v>
      </c>
      <c r="L66" s="73">
        <v>128</v>
      </c>
      <c r="M66" s="78">
        <v>1</v>
      </c>
      <c r="N66" s="73" t="s">
        <v>191</v>
      </c>
      <c r="O66" s="73" t="s">
        <v>236</v>
      </c>
      <c r="P66" s="73" t="s">
        <v>887</v>
      </c>
      <c r="Q66" s="73" t="b">
        <v>1</v>
      </c>
      <c r="R66" s="73"/>
    </row>
    <row r="67" spans="1:18" x14ac:dyDescent="0.3">
      <c r="A67" s="99"/>
      <c r="B67" s="100" t="s">
        <v>23</v>
      </c>
      <c r="C67" s="100" t="str" cm="1">
        <f t="array" ref="C67">UPPER(INDEX(_xlfn.TEXTSPLIT($D67, "-"), 3))</f>
        <v>DTG</v>
      </c>
      <c r="D67" s="100" t="s">
        <v>319</v>
      </c>
      <c r="E67" s="106" t="s">
        <v>24</v>
      </c>
      <c r="F67" s="100" t="s">
        <v>413</v>
      </c>
      <c r="G67" s="100" t="s">
        <v>888</v>
      </c>
      <c r="H67" s="100" t="s">
        <v>680</v>
      </c>
      <c r="I67" s="100">
        <v>4096</v>
      </c>
      <c r="J67" s="100" t="s">
        <v>889</v>
      </c>
      <c r="K67" s="100" t="s">
        <v>680</v>
      </c>
      <c r="L67" s="100">
        <v>4096</v>
      </c>
      <c r="M67" s="100">
        <v>1</v>
      </c>
      <c r="N67" s="100" t="s">
        <v>191</v>
      </c>
      <c r="O67" s="100" t="s">
        <v>236</v>
      </c>
      <c r="P67" s="100" t="s">
        <v>887</v>
      </c>
      <c r="Q67" s="100" t="b">
        <v>1</v>
      </c>
      <c r="R67" s="100" t="s">
        <v>918</v>
      </c>
    </row>
    <row r="68" spans="1:18" x14ac:dyDescent="0.3">
      <c r="A68" s="99"/>
      <c r="B68" s="100" t="s">
        <v>23</v>
      </c>
      <c r="C68" s="100" t="str" cm="1">
        <f t="array" ref="C68">UPPER(INDEX(_xlfn.TEXTSPLIT($D68, "-"), 3))</f>
        <v>DTG</v>
      </c>
      <c r="D68" s="100" t="s">
        <v>319</v>
      </c>
      <c r="E68" s="106" t="s">
        <v>24</v>
      </c>
      <c r="F68" s="100" t="s">
        <v>413</v>
      </c>
      <c r="G68" s="100" t="s">
        <v>890</v>
      </c>
      <c r="H68" s="100" t="s">
        <v>680</v>
      </c>
      <c r="I68" s="100">
        <v>4096</v>
      </c>
      <c r="J68" s="100" t="s">
        <v>891</v>
      </c>
      <c r="K68" s="100" t="s">
        <v>680</v>
      </c>
      <c r="L68" s="100">
        <v>4096</v>
      </c>
      <c r="M68" s="100">
        <v>1</v>
      </c>
      <c r="N68" s="100" t="s">
        <v>191</v>
      </c>
      <c r="O68" s="100" t="s">
        <v>236</v>
      </c>
      <c r="P68" s="100" t="s">
        <v>887</v>
      </c>
      <c r="Q68" s="100" t="b">
        <v>1</v>
      </c>
      <c r="R68" s="100"/>
    </row>
    <row r="69" spans="1:18" x14ac:dyDescent="0.3">
      <c r="A69" s="99"/>
      <c r="B69" s="100" t="s">
        <v>919</v>
      </c>
      <c r="C69" s="100" t="str" cm="1">
        <f t="array" ref="C69">UPPER(INDEX(_xlfn.TEXTSPLIT($D69, "-"), 3))</f>
        <v>DTG</v>
      </c>
      <c r="D69" s="100" t="s">
        <v>319</v>
      </c>
      <c r="E69" s="106" t="s">
        <v>24</v>
      </c>
      <c r="F69" s="100" t="s">
        <v>413</v>
      </c>
      <c r="G69" s="100" t="s">
        <v>750</v>
      </c>
      <c r="H69" s="100" t="s">
        <v>179</v>
      </c>
      <c r="I69" s="100">
        <v>128</v>
      </c>
      <c r="J69" s="100" t="s">
        <v>225</v>
      </c>
      <c r="K69" s="100" t="s">
        <v>225</v>
      </c>
      <c r="L69" s="100" t="s">
        <v>225</v>
      </c>
      <c r="M69" s="100">
        <v>1</v>
      </c>
      <c r="N69" s="100" t="s">
        <v>191</v>
      </c>
      <c r="O69" s="100" t="s">
        <v>236</v>
      </c>
      <c r="P69" s="100" t="s">
        <v>887</v>
      </c>
      <c r="Q69" s="100" t="b">
        <v>1</v>
      </c>
      <c r="R69" s="100"/>
    </row>
    <row r="70" spans="1:18" x14ac:dyDescent="0.3">
      <c r="A70" s="99"/>
      <c r="B70" s="101" t="s">
        <v>23</v>
      </c>
      <c r="C70" s="101" t="str" cm="1">
        <f t="array" ref="C70">UPPER(INDEX(_xlfn.TEXTSPLIT($D70, "-"), 3))</f>
        <v>DTG</v>
      </c>
      <c r="D70" s="101" t="s">
        <v>319</v>
      </c>
      <c r="E70" s="105" t="s">
        <v>24</v>
      </c>
      <c r="F70" s="101" t="s">
        <v>414</v>
      </c>
      <c r="G70" s="101" t="s">
        <v>896</v>
      </c>
      <c r="H70" s="101" t="s">
        <v>680</v>
      </c>
      <c r="I70" s="101">
        <v>4096</v>
      </c>
      <c r="J70" s="101" t="s">
        <v>898</v>
      </c>
      <c r="K70" s="101" t="s">
        <v>680</v>
      </c>
      <c r="L70" s="101">
        <v>4096</v>
      </c>
      <c r="M70" s="101">
        <v>2</v>
      </c>
      <c r="N70" s="101" t="s">
        <v>191</v>
      </c>
      <c r="O70" s="101" t="s">
        <v>236</v>
      </c>
      <c r="P70" s="101" t="s">
        <v>887</v>
      </c>
      <c r="Q70" s="101" t="b">
        <v>1</v>
      </c>
      <c r="R70" s="101" t="s">
        <v>918</v>
      </c>
    </row>
    <row r="71" spans="1:18" x14ac:dyDescent="0.3">
      <c r="A71" s="99"/>
      <c r="B71" s="101" t="s">
        <v>23</v>
      </c>
      <c r="C71" s="101" t="str" cm="1">
        <f t="array" ref="C71">UPPER(INDEX(_xlfn.TEXTSPLIT($D71, "-"), 3))</f>
        <v>DTG</v>
      </c>
      <c r="D71" s="101" t="s">
        <v>319</v>
      </c>
      <c r="E71" s="105" t="s">
        <v>24</v>
      </c>
      <c r="F71" s="101" t="s">
        <v>414</v>
      </c>
      <c r="G71" s="101" t="s">
        <v>897</v>
      </c>
      <c r="H71" s="101" t="s">
        <v>680</v>
      </c>
      <c r="I71" s="101">
        <v>4096</v>
      </c>
      <c r="J71" s="101" t="s">
        <v>899</v>
      </c>
      <c r="K71" s="101" t="s">
        <v>680</v>
      </c>
      <c r="L71" s="101">
        <v>4096</v>
      </c>
      <c r="M71" s="101">
        <v>2</v>
      </c>
      <c r="N71" s="101" t="s">
        <v>191</v>
      </c>
      <c r="O71" s="101" t="s">
        <v>236</v>
      </c>
      <c r="P71" s="101" t="s">
        <v>887</v>
      </c>
      <c r="Q71" s="101" t="b">
        <v>1</v>
      </c>
      <c r="R71" s="101"/>
    </row>
    <row r="72" spans="1:18" x14ac:dyDescent="0.3">
      <c r="A72" s="99"/>
      <c r="B72" s="101" t="s">
        <v>919</v>
      </c>
      <c r="C72" s="101" t="str" cm="1">
        <f t="array" ref="C72">UPPER(INDEX(_xlfn.TEXTSPLIT($D72, "-"), 3))</f>
        <v>DTG</v>
      </c>
      <c r="D72" s="101" t="s">
        <v>319</v>
      </c>
      <c r="E72" s="105" t="s">
        <v>24</v>
      </c>
      <c r="F72" s="101" t="s">
        <v>414</v>
      </c>
      <c r="G72" s="101" t="s">
        <v>751</v>
      </c>
      <c r="H72" s="101" t="s">
        <v>179</v>
      </c>
      <c r="I72" s="101">
        <v>128</v>
      </c>
      <c r="J72" s="101" t="s">
        <v>225</v>
      </c>
      <c r="K72" s="101" t="s">
        <v>225</v>
      </c>
      <c r="L72" s="101" t="s">
        <v>225</v>
      </c>
      <c r="M72" s="101">
        <v>2</v>
      </c>
      <c r="N72" s="101" t="s">
        <v>191</v>
      </c>
      <c r="O72" s="101" t="s">
        <v>236</v>
      </c>
      <c r="P72" s="101" t="s">
        <v>887</v>
      </c>
      <c r="Q72" s="101" t="b">
        <v>1</v>
      </c>
      <c r="R72" s="101"/>
    </row>
    <row r="73" spans="1:18" x14ac:dyDescent="0.3">
      <c r="A73" s="99"/>
      <c r="B73" s="100" t="s">
        <v>23</v>
      </c>
      <c r="C73" s="100" t="str" cm="1">
        <f t="array" ref="C73">UPPER(INDEX(_xlfn.TEXTSPLIT($D73, "-"), 3))</f>
        <v>DTG</v>
      </c>
      <c r="D73" s="100" t="s">
        <v>319</v>
      </c>
      <c r="E73" s="106" t="s">
        <v>24</v>
      </c>
      <c r="F73" s="100" t="s">
        <v>415</v>
      </c>
      <c r="G73" s="100" t="s">
        <v>895</v>
      </c>
      <c r="H73" s="100" t="s">
        <v>680</v>
      </c>
      <c r="I73" s="100">
        <v>4096</v>
      </c>
      <c r="J73" s="100" t="s">
        <v>892</v>
      </c>
      <c r="K73" s="100" t="s">
        <v>680</v>
      </c>
      <c r="L73" s="100">
        <v>4096</v>
      </c>
      <c r="M73" s="100">
        <v>3</v>
      </c>
      <c r="N73" s="100" t="s">
        <v>191</v>
      </c>
      <c r="O73" s="100" t="s">
        <v>236</v>
      </c>
      <c r="P73" s="100" t="s">
        <v>887</v>
      </c>
      <c r="Q73" s="100" t="b">
        <v>1</v>
      </c>
      <c r="R73" s="100" t="s">
        <v>918</v>
      </c>
    </row>
    <row r="74" spans="1:18" x14ac:dyDescent="0.3">
      <c r="A74" s="99"/>
      <c r="B74" s="100" t="s">
        <v>23</v>
      </c>
      <c r="C74" s="100" t="str" cm="1">
        <f t="array" ref="C74">UPPER(INDEX(_xlfn.TEXTSPLIT($D74, "-"), 3))</f>
        <v>DTG</v>
      </c>
      <c r="D74" s="100" t="s">
        <v>319</v>
      </c>
      <c r="E74" s="106" t="s">
        <v>24</v>
      </c>
      <c r="F74" s="100" t="s">
        <v>415</v>
      </c>
      <c r="G74" s="100" t="s">
        <v>894</v>
      </c>
      <c r="H74" s="100" t="s">
        <v>680</v>
      </c>
      <c r="I74" s="100">
        <v>4096</v>
      </c>
      <c r="J74" s="100" t="s">
        <v>893</v>
      </c>
      <c r="K74" s="100" t="s">
        <v>680</v>
      </c>
      <c r="L74" s="100">
        <v>4096</v>
      </c>
      <c r="M74" s="100">
        <v>3</v>
      </c>
      <c r="N74" s="100" t="s">
        <v>191</v>
      </c>
      <c r="O74" s="100" t="s">
        <v>236</v>
      </c>
      <c r="P74" s="100" t="s">
        <v>887</v>
      </c>
      <c r="Q74" s="100" t="b">
        <v>1</v>
      </c>
      <c r="R74" s="100"/>
    </row>
    <row r="75" spans="1:18" x14ac:dyDescent="0.3">
      <c r="A75" s="99"/>
      <c r="B75" s="100" t="s">
        <v>919</v>
      </c>
      <c r="C75" s="100" t="str" cm="1">
        <f t="array" ref="C75">UPPER(INDEX(_xlfn.TEXTSPLIT($D75, "-"), 3))</f>
        <v>DTG</v>
      </c>
      <c r="D75" s="100" t="s">
        <v>319</v>
      </c>
      <c r="E75" s="106" t="s">
        <v>24</v>
      </c>
      <c r="F75" s="100" t="s">
        <v>415</v>
      </c>
      <c r="G75" s="100" t="s">
        <v>752</v>
      </c>
      <c r="H75" s="100" t="s">
        <v>179</v>
      </c>
      <c r="I75" s="100">
        <v>128</v>
      </c>
      <c r="J75" s="100" t="s">
        <v>225</v>
      </c>
      <c r="K75" s="100" t="s">
        <v>225</v>
      </c>
      <c r="L75" s="100" t="s">
        <v>225</v>
      </c>
      <c r="M75" s="100">
        <v>3</v>
      </c>
      <c r="N75" s="100" t="s">
        <v>191</v>
      </c>
      <c r="O75" s="100" t="s">
        <v>236</v>
      </c>
      <c r="P75" s="100" t="s">
        <v>887</v>
      </c>
      <c r="Q75" s="100" t="b">
        <v>1</v>
      </c>
      <c r="R75" s="100"/>
    </row>
    <row r="76" spans="1:18" x14ac:dyDescent="0.3">
      <c r="A76" s="99"/>
      <c r="B76" s="101" t="s">
        <v>23</v>
      </c>
      <c r="C76" s="101" t="str" cm="1">
        <f t="array" ref="C76">UPPER(INDEX(_xlfn.TEXTSPLIT($D76, "-"), 3))</f>
        <v>DTG</v>
      </c>
      <c r="D76" s="101" t="s">
        <v>319</v>
      </c>
      <c r="E76" s="105" t="s">
        <v>24</v>
      </c>
      <c r="F76" s="101" t="s">
        <v>416</v>
      </c>
      <c r="G76" s="101" t="s">
        <v>900</v>
      </c>
      <c r="H76" s="101" t="s">
        <v>680</v>
      </c>
      <c r="I76" s="101">
        <v>4096</v>
      </c>
      <c r="J76" s="101" t="s">
        <v>901</v>
      </c>
      <c r="K76" s="101" t="s">
        <v>680</v>
      </c>
      <c r="L76" s="101">
        <v>4096</v>
      </c>
      <c r="M76" s="101">
        <v>1</v>
      </c>
      <c r="N76" s="101" t="s">
        <v>191</v>
      </c>
      <c r="O76" s="101" t="s">
        <v>236</v>
      </c>
      <c r="P76" s="101" t="s">
        <v>887</v>
      </c>
      <c r="Q76" s="101" t="b">
        <v>1</v>
      </c>
      <c r="R76" s="101" t="s">
        <v>918</v>
      </c>
    </row>
    <row r="77" spans="1:18" x14ac:dyDescent="0.3">
      <c r="A77" s="99"/>
      <c r="B77" s="101" t="s">
        <v>23</v>
      </c>
      <c r="C77" s="101" t="str" cm="1">
        <f t="array" ref="C77">UPPER(INDEX(_xlfn.TEXTSPLIT($D77, "-"), 3))</f>
        <v>DTG</v>
      </c>
      <c r="D77" s="101" t="s">
        <v>319</v>
      </c>
      <c r="E77" s="105" t="s">
        <v>24</v>
      </c>
      <c r="F77" s="101" t="s">
        <v>416</v>
      </c>
      <c r="G77" s="101" t="s">
        <v>903</v>
      </c>
      <c r="H77" s="101" t="s">
        <v>680</v>
      </c>
      <c r="I77" s="101">
        <v>4096</v>
      </c>
      <c r="J77" s="101" t="s">
        <v>902</v>
      </c>
      <c r="K77" s="101" t="s">
        <v>680</v>
      </c>
      <c r="L77" s="101">
        <v>4096</v>
      </c>
      <c r="M77" s="101">
        <v>1</v>
      </c>
      <c r="N77" s="101" t="s">
        <v>191</v>
      </c>
      <c r="O77" s="101" t="s">
        <v>236</v>
      </c>
      <c r="P77" s="101" t="s">
        <v>887</v>
      </c>
      <c r="Q77" s="101" t="b">
        <v>1</v>
      </c>
      <c r="R77" s="101"/>
    </row>
    <row r="78" spans="1:18" x14ac:dyDescent="0.3">
      <c r="A78" s="99"/>
      <c r="B78" s="101" t="s">
        <v>919</v>
      </c>
      <c r="C78" s="101" t="str" cm="1">
        <f t="array" ref="C78">UPPER(INDEX(_xlfn.TEXTSPLIT($D78, "-"), 3))</f>
        <v>DTG</v>
      </c>
      <c r="D78" s="101" t="s">
        <v>319</v>
      </c>
      <c r="E78" s="105" t="s">
        <v>24</v>
      </c>
      <c r="F78" s="101" t="s">
        <v>416</v>
      </c>
      <c r="G78" s="101" t="s">
        <v>753</v>
      </c>
      <c r="H78" s="101" t="s">
        <v>179</v>
      </c>
      <c r="I78" s="101">
        <v>128</v>
      </c>
      <c r="J78" s="101" t="s">
        <v>225</v>
      </c>
      <c r="K78" s="101" t="s">
        <v>225</v>
      </c>
      <c r="L78" s="101" t="s">
        <v>225</v>
      </c>
      <c r="M78" s="101">
        <v>1</v>
      </c>
      <c r="N78" s="101" t="s">
        <v>191</v>
      </c>
      <c r="O78" s="101" t="s">
        <v>236</v>
      </c>
      <c r="P78" s="101" t="s">
        <v>887</v>
      </c>
      <c r="Q78" s="101" t="b">
        <v>1</v>
      </c>
      <c r="R78" s="101"/>
    </row>
    <row r="79" spans="1:18" x14ac:dyDescent="0.3">
      <c r="A79" s="99"/>
      <c r="B79" s="74" t="s">
        <v>23</v>
      </c>
      <c r="C79" s="74" t="str" cm="1">
        <f t="array" ref="C79">UPPER(INDEX(_xlfn.TEXTSPLIT($D79, "-"), 3))</f>
        <v>DTG</v>
      </c>
      <c r="D79" s="80" t="s">
        <v>319</v>
      </c>
      <c r="E79" s="86" t="s">
        <v>24</v>
      </c>
      <c r="F79" s="74" t="s">
        <v>417</v>
      </c>
      <c r="G79" s="74" t="s">
        <v>754</v>
      </c>
      <c r="H79" s="74" t="s">
        <v>179</v>
      </c>
      <c r="I79" s="74">
        <v>128</v>
      </c>
      <c r="J79" s="74" t="s">
        <v>755</v>
      </c>
      <c r="K79" s="74" t="s">
        <v>179</v>
      </c>
      <c r="L79" s="74">
        <v>128</v>
      </c>
      <c r="M79" s="80">
        <v>1</v>
      </c>
      <c r="N79" s="74" t="s">
        <v>191</v>
      </c>
      <c r="O79" s="74" t="s">
        <v>236</v>
      </c>
      <c r="P79" s="74" t="s">
        <v>887</v>
      </c>
      <c r="Q79" s="74" t="b">
        <v>1</v>
      </c>
      <c r="R79" s="74"/>
    </row>
    <row r="80" spans="1:18" x14ac:dyDescent="0.3">
      <c r="A80" s="99"/>
      <c r="B80" s="73" t="s">
        <v>23</v>
      </c>
      <c r="C80" s="73" t="str" cm="1">
        <f t="array" ref="C80">UPPER(INDEX(_xlfn.TEXTSPLIT($D80, "-"), 3))</f>
        <v>DTG</v>
      </c>
      <c r="D80" s="78" t="s">
        <v>319</v>
      </c>
      <c r="E80" s="85" t="s">
        <v>24</v>
      </c>
      <c r="F80" s="73" t="s">
        <v>418</v>
      </c>
      <c r="G80" s="73" t="s">
        <v>756</v>
      </c>
      <c r="H80" s="73" t="s">
        <v>179</v>
      </c>
      <c r="I80" s="73">
        <v>128</v>
      </c>
      <c r="J80" s="73" t="s">
        <v>757</v>
      </c>
      <c r="K80" s="73" t="s">
        <v>179</v>
      </c>
      <c r="L80" s="73">
        <v>128</v>
      </c>
      <c r="M80" s="78">
        <v>2</v>
      </c>
      <c r="N80" s="73" t="s">
        <v>191</v>
      </c>
      <c r="O80" s="73" t="s">
        <v>236</v>
      </c>
      <c r="P80" s="73" t="s">
        <v>887</v>
      </c>
      <c r="Q80" s="73" t="b">
        <v>1</v>
      </c>
      <c r="R80" s="73"/>
    </row>
    <row r="81" spans="1:18" x14ac:dyDescent="0.3">
      <c r="A81" s="99"/>
      <c r="B81" s="74" t="s">
        <v>23</v>
      </c>
      <c r="C81" s="74" t="str" cm="1">
        <f t="array" ref="C81">UPPER(INDEX(_xlfn.TEXTSPLIT($D81, "-"), 3))</f>
        <v>DTG</v>
      </c>
      <c r="D81" s="80" t="s">
        <v>319</v>
      </c>
      <c r="E81" s="86" t="s">
        <v>24</v>
      </c>
      <c r="F81" s="74" t="s">
        <v>419</v>
      </c>
      <c r="G81" s="74" t="s">
        <v>758</v>
      </c>
      <c r="H81" s="74" t="s">
        <v>179</v>
      </c>
      <c r="I81" s="74">
        <v>128</v>
      </c>
      <c r="J81" s="74" t="s">
        <v>759</v>
      </c>
      <c r="K81" s="74" t="s">
        <v>179</v>
      </c>
      <c r="L81" s="74">
        <v>128</v>
      </c>
      <c r="M81" s="80">
        <v>1</v>
      </c>
      <c r="N81" s="74" t="s">
        <v>191</v>
      </c>
      <c r="O81" s="74" t="s">
        <v>236</v>
      </c>
      <c r="P81" s="74" t="s">
        <v>887</v>
      </c>
      <c r="Q81" s="74" t="b">
        <v>1</v>
      </c>
      <c r="R81" s="74"/>
    </row>
    <row r="82" spans="1:18" x14ac:dyDescent="0.3">
      <c r="A82" s="99"/>
      <c r="B82" s="73" t="s">
        <v>23</v>
      </c>
      <c r="C82" s="73" t="str" cm="1">
        <f t="array" ref="C82">UPPER(INDEX(_xlfn.TEXTSPLIT($D82, "-"), 3))</f>
        <v>DTG</v>
      </c>
      <c r="D82" s="78" t="s">
        <v>319</v>
      </c>
      <c r="E82" s="85" t="s">
        <v>24</v>
      </c>
      <c r="F82" s="73" t="s">
        <v>420</v>
      </c>
      <c r="G82" s="73" t="s">
        <v>760</v>
      </c>
      <c r="H82" s="73" t="s">
        <v>179</v>
      </c>
      <c r="I82" s="73">
        <v>128</v>
      </c>
      <c r="J82" s="73" t="s">
        <v>761</v>
      </c>
      <c r="K82" s="73" t="s">
        <v>179</v>
      </c>
      <c r="L82" s="73">
        <v>128</v>
      </c>
      <c r="M82" s="78">
        <v>2</v>
      </c>
      <c r="N82" s="73" t="s">
        <v>191</v>
      </c>
      <c r="O82" s="73" t="s">
        <v>236</v>
      </c>
      <c r="P82" s="73" t="s">
        <v>887</v>
      </c>
      <c r="Q82" s="73" t="b">
        <v>1</v>
      </c>
      <c r="R82" s="73"/>
    </row>
    <row r="83" spans="1:18" x14ac:dyDescent="0.3">
      <c r="A83" s="99"/>
      <c r="B83" s="74" t="s">
        <v>23</v>
      </c>
      <c r="C83" s="74" t="str" cm="1">
        <f t="array" ref="C83">UPPER(INDEX(_xlfn.TEXTSPLIT($D83, "-"), 3))</f>
        <v>DTG</v>
      </c>
      <c r="D83" s="80" t="s">
        <v>319</v>
      </c>
      <c r="E83" s="86" t="s">
        <v>24</v>
      </c>
      <c r="F83" s="74" t="s">
        <v>421</v>
      </c>
      <c r="G83" s="74" t="s">
        <v>762</v>
      </c>
      <c r="H83" s="74" t="s">
        <v>179</v>
      </c>
      <c r="I83" s="74">
        <v>128</v>
      </c>
      <c r="J83" s="74" t="s">
        <v>763</v>
      </c>
      <c r="K83" s="74" t="s">
        <v>179</v>
      </c>
      <c r="L83" s="74">
        <v>128</v>
      </c>
      <c r="M83" s="80">
        <v>3</v>
      </c>
      <c r="N83" s="74" t="s">
        <v>191</v>
      </c>
      <c r="O83" s="74" t="s">
        <v>236</v>
      </c>
      <c r="P83" s="74" t="s">
        <v>887</v>
      </c>
      <c r="Q83" s="74" t="b">
        <v>1</v>
      </c>
      <c r="R83" s="74"/>
    </row>
    <row r="84" spans="1:18" x14ac:dyDescent="0.3">
      <c r="A84" s="99"/>
      <c r="B84" s="73" t="s">
        <v>23</v>
      </c>
      <c r="C84" s="73" t="str" cm="1">
        <f t="array" ref="C84">UPPER(INDEX(_xlfn.TEXTSPLIT($D84, "-"), 3))</f>
        <v>DTG</v>
      </c>
      <c r="D84" s="78" t="s">
        <v>319</v>
      </c>
      <c r="E84" s="85" t="s">
        <v>24</v>
      </c>
      <c r="F84" s="73" t="s">
        <v>422</v>
      </c>
      <c r="G84" s="73" t="s">
        <v>764</v>
      </c>
      <c r="H84" s="73" t="s">
        <v>179</v>
      </c>
      <c r="I84" s="73">
        <v>128</v>
      </c>
      <c r="J84" s="73" t="s">
        <v>765</v>
      </c>
      <c r="K84" s="73" t="s">
        <v>179</v>
      </c>
      <c r="L84" s="73">
        <v>128</v>
      </c>
      <c r="M84" s="78">
        <v>1</v>
      </c>
      <c r="N84" s="73" t="s">
        <v>191</v>
      </c>
      <c r="O84" s="73" t="s">
        <v>236</v>
      </c>
      <c r="P84" s="73" t="s">
        <v>887</v>
      </c>
      <c r="Q84" s="73" t="b">
        <v>1</v>
      </c>
      <c r="R84" s="73"/>
    </row>
    <row r="85" spans="1:18" x14ac:dyDescent="0.3">
      <c r="A85" s="99"/>
      <c r="B85" s="74" t="s">
        <v>23</v>
      </c>
      <c r="C85" s="74" t="str" cm="1">
        <f t="array" ref="C85">UPPER(INDEX(_xlfn.TEXTSPLIT($D85, "-"), 3))</f>
        <v>DTG</v>
      </c>
      <c r="D85" s="80" t="s">
        <v>319</v>
      </c>
      <c r="E85" s="86" t="s">
        <v>24</v>
      </c>
      <c r="F85" s="74" t="s">
        <v>423</v>
      </c>
      <c r="G85" s="74" t="s">
        <v>766</v>
      </c>
      <c r="H85" s="74" t="s">
        <v>179</v>
      </c>
      <c r="I85" s="74">
        <v>128</v>
      </c>
      <c r="J85" s="74" t="s">
        <v>767</v>
      </c>
      <c r="K85" s="74" t="s">
        <v>179</v>
      </c>
      <c r="L85" s="74">
        <v>128</v>
      </c>
      <c r="M85" s="80">
        <v>2</v>
      </c>
      <c r="N85" s="74" t="s">
        <v>191</v>
      </c>
      <c r="O85" s="74" t="s">
        <v>236</v>
      </c>
      <c r="P85" s="74" t="s">
        <v>887</v>
      </c>
      <c r="Q85" s="74" t="b">
        <v>1</v>
      </c>
      <c r="R85" s="74"/>
    </row>
    <row r="86" spans="1:18" x14ac:dyDescent="0.3">
      <c r="A86" s="99"/>
      <c r="B86" s="73" t="s">
        <v>23</v>
      </c>
      <c r="C86" s="73" t="str" cm="1">
        <f t="array" ref="C86">UPPER(INDEX(_xlfn.TEXTSPLIT($D86, "-"), 3))</f>
        <v>DTG</v>
      </c>
      <c r="D86" s="78" t="s">
        <v>319</v>
      </c>
      <c r="E86" s="85" t="s">
        <v>24</v>
      </c>
      <c r="F86" s="73" t="s">
        <v>424</v>
      </c>
      <c r="G86" s="73" t="s">
        <v>768</v>
      </c>
      <c r="H86" s="73" t="s">
        <v>680</v>
      </c>
      <c r="I86" s="73">
        <v>1024</v>
      </c>
      <c r="J86" s="73" t="s">
        <v>769</v>
      </c>
      <c r="K86" s="73" t="s">
        <v>179</v>
      </c>
      <c r="L86" s="73">
        <v>128</v>
      </c>
      <c r="M86" s="78">
        <v>1</v>
      </c>
      <c r="N86" s="73" t="s">
        <v>191</v>
      </c>
      <c r="O86" s="73" t="s">
        <v>236</v>
      </c>
      <c r="P86" s="73" t="s">
        <v>887</v>
      </c>
      <c r="Q86" s="73" t="b">
        <v>1</v>
      </c>
      <c r="R86" s="73"/>
    </row>
    <row r="87" spans="1:18" x14ac:dyDescent="0.3">
      <c r="A87" s="99"/>
      <c r="B87" s="74" t="s">
        <v>23</v>
      </c>
      <c r="C87" s="74" t="str" cm="1">
        <f t="array" ref="C87">UPPER(INDEX(_xlfn.TEXTSPLIT($D87, "-"), 3))</f>
        <v>DTG</v>
      </c>
      <c r="D87" s="80" t="s">
        <v>319</v>
      </c>
      <c r="E87" s="86" t="s">
        <v>24</v>
      </c>
      <c r="F87" s="74" t="s">
        <v>425</v>
      </c>
      <c r="G87" s="74" t="s">
        <v>770</v>
      </c>
      <c r="H87" s="74" t="s">
        <v>680</v>
      </c>
      <c r="I87" s="74">
        <v>1024</v>
      </c>
      <c r="J87" s="74" t="s">
        <v>771</v>
      </c>
      <c r="K87" s="74" t="s">
        <v>179</v>
      </c>
      <c r="L87" s="74">
        <v>128</v>
      </c>
      <c r="M87" s="80">
        <v>2</v>
      </c>
      <c r="N87" s="74" t="s">
        <v>191</v>
      </c>
      <c r="O87" s="74" t="s">
        <v>236</v>
      </c>
      <c r="P87" s="74" t="s">
        <v>887</v>
      </c>
      <c r="Q87" s="74" t="b">
        <v>1</v>
      </c>
      <c r="R87" s="74"/>
    </row>
    <row r="88" spans="1:18" x14ac:dyDescent="0.3">
      <c r="A88" s="99"/>
      <c r="B88" s="73" t="s">
        <v>23</v>
      </c>
      <c r="C88" s="73" t="str" cm="1">
        <f t="array" ref="C88">UPPER(INDEX(_xlfn.TEXTSPLIT($D88, "-"), 3))</f>
        <v>DTG</v>
      </c>
      <c r="D88" s="78" t="s">
        <v>319</v>
      </c>
      <c r="E88" s="85" t="s">
        <v>24</v>
      </c>
      <c r="F88" s="73" t="s">
        <v>426</v>
      </c>
      <c r="G88" s="73" t="s">
        <v>772</v>
      </c>
      <c r="H88" s="73" t="s">
        <v>680</v>
      </c>
      <c r="I88" s="73">
        <v>1024</v>
      </c>
      <c r="J88" s="73" t="s">
        <v>773</v>
      </c>
      <c r="K88" s="73" t="s">
        <v>179</v>
      </c>
      <c r="L88" s="73">
        <v>128</v>
      </c>
      <c r="M88" s="78">
        <v>3</v>
      </c>
      <c r="N88" s="73" t="s">
        <v>191</v>
      </c>
      <c r="O88" s="73" t="s">
        <v>236</v>
      </c>
      <c r="P88" s="73" t="s">
        <v>887</v>
      </c>
      <c r="Q88" s="73" t="b">
        <v>1</v>
      </c>
      <c r="R88" s="73"/>
    </row>
    <row r="89" spans="1:18" x14ac:dyDescent="0.3">
      <c r="A89" s="99"/>
      <c r="B89" s="74" t="s">
        <v>23</v>
      </c>
      <c r="C89" s="74" t="str" cm="1">
        <f t="array" ref="C89">UPPER(INDEX(_xlfn.TEXTSPLIT($D89, "-"), 3))</f>
        <v>DTG</v>
      </c>
      <c r="D89" s="80" t="s">
        <v>319</v>
      </c>
      <c r="E89" s="86" t="s">
        <v>24</v>
      </c>
      <c r="F89" s="74" t="s">
        <v>427</v>
      </c>
      <c r="G89" s="74" t="s">
        <v>774</v>
      </c>
      <c r="H89" s="74" t="s">
        <v>680</v>
      </c>
      <c r="I89" s="74">
        <v>1024</v>
      </c>
      <c r="J89" s="74" t="s">
        <v>775</v>
      </c>
      <c r="K89" s="74" t="s">
        <v>179</v>
      </c>
      <c r="L89" s="74">
        <v>128</v>
      </c>
      <c r="M89" s="80">
        <v>1</v>
      </c>
      <c r="N89" s="74" t="s">
        <v>191</v>
      </c>
      <c r="O89" s="74" t="s">
        <v>236</v>
      </c>
      <c r="P89" s="74" t="s">
        <v>887</v>
      </c>
      <c r="Q89" s="74" t="b">
        <v>1</v>
      </c>
      <c r="R89" s="74"/>
    </row>
    <row r="90" spans="1:18" x14ac:dyDescent="0.3">
      <c r="A90" s="99"/>
      <c r="B90" s="73" t="s">
        <v>23</v>
      </c>
      <c r="C90" s="73" t="str" cm="1">
        <f t="array" ref="C90">UPPER(INDEX(_xlfn.TEXTSPLIT($D90, "-"), 3))</f>
        <v>DTG</v>
      </c>
      <c r="D90" s="78" t="s">
        <v>319</v>
      </c>
      <c r="E90" s="85" t="s">
        <v>24</v>
      </c>
      <c r="F90" s="73" t="s">
        <v>428</v>
      </c>
      <c r="G90" s="73" t="s">
        <v>776</v>
      </c>
      <c r="H90" s="73" t="s">
        <v>680</v>
      </c>
      <c r="I90" s="73">
        <v>1024</v>
      </c>
      <c r="J90" s="73" t="s">
        <v>777</v>
      </c>
      <c r="K90" s="73" t="s">
        <v>179</v>
      </c>
      <c r="L90" s="73">
        <v>128</v>
      </c>
      <c r="M90" s="78">
        <v>2</v>
      </c>
      <c r="N90" s="73" t="s">
        <v>191</v>
      </c>
      <c r="O90" s="73" t="s">
        <v>236</v>
      </c>
      <c r="P90" s="73" t="s">
        <v>887</v>
      </c>
      <c r="Q90" s="73" t="b">
        <v>1</v>
      </c>
      <c r="R90" s="73"/>
    </row>
    <row r="91" spans="1:18" x14ac:dyDescent="0.3">
      <c r="A91" s="99"/>
      <c r="B91" s="74" t="s">
        <v>23</v>
      </c>
      <c r="C91" s="74" t="str" cm="1">
        <f t="array" ref="C91">UPPER(INDEX(_xlfn.TEXTSPLIT($D91, "-"), 3))</f>
        <v>DTG</v>
      </c>
      <c r="D91" s="80" t="s">
        <v>319</v>
      </c>
      <c r="E91" s="86" t="s">
        <v>24</v>
      </c>
      <c r="F91" s="74" t="s">
        <v>429</v>
      </c>
      <c r="G91" s="74" t="s">
        <v>778</v>
      </c>
      <c r="H91" s="74" t="s">
        <v>179</v>
      </c>
      <c r="I91" s="74">
        <v>128</v>
      </c>
      <c r="J91" s="74" t="s">
        <v>779</v>
      </c>
      <c r="K91" s="74" t="s">
        <v>179</v>
      </c>
      <c r="L91" s="74">
        <v>128</v>
      </c>
      <c r="M91" s="80">
        <v>1</v>
      </c>
      <c r="N91" s="74" t="s">
        <v>191</v>
      </c>
      <c r="O91" s="74" t="s">
        <v>236</v>
      </c>
      <c r="P91" s="74" t="s">
        <v>887</v>
      </c>
      <c r="Q91" s="74" t="b">
        <v>1</v>
      </c>
      <c r="R91" s="74"/>
    </row>
    <row r="92" spans="1:18" x14ac:dyDescent="0.3">
      <c r="A92" s="99"/>
      <c r="B92" s="73" t="s">
        <v>23</v>
      </c>
      <c r="C92" s="73" t="str" cm="1">
        <f t="array" ref="C92">UPPER(INDEX(_xlfn.TEXTSPLIT($D92, "-"), 3))</f>
        <v>DTG</v>
      </c>
      <c r="D92" s="78" t="s">
        <v>319</v>
      </c>
      <c r="E92" s="85" t="s">
        <v>24</v>
      </c>
      <c r="F92" s="73" t="s">
        <v>430</v>
      </c>
      <c r="G92" s="73" t="s">
        <v>780</v>
      </c>
      <c r="H92" s="73" t="s">
        <v>179</v>
      </c>
      <c r="I92" s="73">
        <v>128</v>
      </c>
      <c r="J92" s="73" t="s">
        <v>781</v>
      </c>
      <c r="K92" s="73" t="s">
        <v>179</v>
      </c>
      <c r="L92" s="73">
        <v>128</v>
      </c>
      <c r="M92" s="78">
        <v>1</v>
      </c>
      <c r="N92" s="73" t="s">
        <v>191</v>
      </c>
      <c r="O92" s="73" t="s">
        <v>236</v>
      </c>
      <c r="P92" s="73" t="s">
        <v>887</v>
      </c>
      <c r="Q92" s="73" t="b">
        <v>1</v>
      </c>
      <c r="R92" s="73"/>
    </row>
    <row r="93" spans="1:18" x14ac:dyDescent="0.3">
      <c r="A93" s="99"/>
      <c r="B93" s="74" t="s">
        <v>23</v>
      </c>
      <c r="C93" s="74" t="str" cm="1">
        <f t="array" ref="C93">UPPER(INDEX(_xlfn.TEXTSPLIT($D93, "-"), 3))</f>
        <v>DTG</v>
      </c>
      <c r="D93" s="80" t="s">
        <v>319</v>
      </c>
      <c r="E93" s="86" t="s">
        <v>24</v>
      </c>
      <c r="F93" s="74" t="s">
        <v>431</v>
      </c>
      <c r="G93" s="74" t="s">
        <v>782</v>
      </c>
      <c r="H93" s="74" t="s">
        <v>179</v>
      </c>
      <c r="I93" s="74">
        <v>128</v>
      </c>
      <c r="J93" s="74" t="s">
        <v>783</v>
      </c>
      <c r="K93" s="74" t="s">
        <v>179</v>
      </c>
      <c r="L93" s="74">
        <v>128</v>
      </c>
      <c r="M93" s="80">
        <v>2</v>
      </c>
      <c r="N93" s="74" t="s">
        <v>191</v>
      </c>
      <c r="O93" s="74" t="s">
        <v>236</v>
      </c>
      <c r="P93" s="74" t="s">
        <v>887</v>
      </c>
      <c r="Q93" s="74" t="b">
        <v>1</v>
      </c>
      <c r="R93" s="74"/>
    </row>
    <row r="94" spans="1:18" x14ac:dyDescent="0.3">
      <c r="A94" s="99"/>
      <c r="B94" s="73" t="s">
        <v>23</v>
      </c>
      <c r="C94" s="73" t="str" cm="1">
        <f t="array" ref="C94">UPPER(INDEX(_xlfn.TEXTSPLIT($D94, "-"), 3))</f>
        <v>DTG</v>
      </c>
      <c r="D94" s="78" t="s">
        <v>319</v>
      </c>
      <c r="E94" s="85" t="s">
        <v>24</v>
      </c>
      <c r="F94" s="73" t="s">
        <v>432</v>
      </c>
      <c r="G94" s="73" t="s">
        <v>784</v>
      </c>
      <c r="H94" s="73" t="s">
        <v>179</v>
      </c>
      <c r="I94" s="73">
        <v>128</v>
      </c>
      <c r="J94" s="73" t="s">
        <v>785</v>
      </c>
      <c r="K94" s="73" t="s">
        <v>179</v>
      </c>
      <c r="L94" s="73">
        <v>128</v>
      </c>
      <c r="M94" s="78">
        <v>3</v>
      </c>
      <c r="N94" s="73" t="s">
        <v>191</v>
      </c>
      <c r="O94" s="73" t="s">
        <v>236</v>
      </c>
      <c r="P94" s="73" t="s">
        <v>887</v>
      </c>
      <c r="Q94" s="73" t="b">
        <v>1</v>
      </c>
      <c r="R94" s="73"/>
    </row>
    <row r="95" spans="1:18" x14ac:dyDescent="0.3">
      <c r="A95" s="99"/>
      <c r="B95" s="74" t="s">
        <v>23</v>
      </c>
      <c r="C95" s="74" t="str" cm="1">
        <f t="array" ref="C95">UPPER(INDEX(_xlfn.TEXTSPLIT($D95, "-"), 3))</f>
        <v>DTG</v>
      </c>
      <c r="D95" s="80" t="s">
        <v>319</v>
      </c>
      <c r="E95" s="86" t="s">
        <v>24</v>
      </c>
      <c r="F95" s="74" t="s">
        <v>433</v>
      </c>
      <c r="G95" s="74" t="s">
        <v>786</v>
      </c>
      <c r="H95" s="74" t="s">
        <v>179</v>
      </c>
      <c r="I95" s="74">
        <v>128</v>
      </c>
      <c r="J95" s="74" t="s">
        <v>787</v>
      </c>
      <c r="K95" s="74" t="s">
        <v>179</v>
      </c>
      <c r="L95" s="74">
        <v>128</v>
      </c>
      <c r="M95" s="80">
        <v>1</v>
      </c>
      <c r="N95" s="74" t="s">
        <v>191</v>
      </c>
      <c r="O95" s="74" t="s">
        <v>236</v>
      </c>
      <c r="P95" s="74" t="s">
        <v>887</v>
      </c>
      <c r="Q95" s="74" t="b">
        <v>1</v>
      </c>
      <c r="R95" s="74"/>
    </row>
    <row r="96" spans="1:18" x14ac:dyDescent="0.3">
      <c r="A96" s="99"/>
      <c r="B96" s="73" t="s">
        <v>23</v>
      </c>
      <c r="C96" s="73" t="str" cm="1">
        <f t="array" ref="C96">UPPER(INDEX(_xlfn.TEXTSPLIT($D96, "-"), 3))</f>
        <v>DTG</v>
      </c>
      <c r="D96" s="78" t="s">
        <v>319</v>
      </c>
      <c r="E96" s="85" t="s">
        <v>24</v>
      </c>
      <c r="F96" s="73" t="s">
        <v>434</v>
      </c>
      <c r="G96" s="73" t="s">
        <v>788</v>
      </c>
      <c r="H96" s="73" t="s">
        <v>179</v>
      </c>
      <c r="I96" s="73">
        <v>128</v>
      </c>
      <c r="J96" s="73" t="s">
        <v>789</v>
      </c>
      <c r="K96" s="73" t="s">
        <v>179</v>
      </c>
      <c r="L96" s="73">
        <v>128</v>
      </c>
      <c r="M96" s="78">
        <v>2</v>
      </c>
      <c r="N96" s="73" t="s">
        <v>191</v>
      </c>
      <c r="O96" s="73" t="s">
        <v>236</v>
      </c>
      <c r="P96" s="73" t="s">
        <v>887</v>
      </c>
      <c r="Q96" s="73" t="b">
        <v>1</v>
      </c>
      <c r="R96" s="73"/>
    </row>
    <row r="97" spans="1:18" x14ac:dyDescent="0.3">
      <c r="A97" s="99"/>
      <c r="B97" s="74" t="s">
        <v>23</v>
      </c>
      <c r="C97" s="74" t="str" cm="1">
        <f t="array" ref="C97">UPPER(INDEX(_xlfn.TEXTSPLIT($D97, "-"), 3))</f>
        <v>DTG</v>
      </c>
      <c r="D97" s="80" t="s">
        <v>319</v>
      </c>
      <c r="E97" s="86" t="s">
        <v>24</v>
      </c>
      <c r="F97" s="74" t="s">
        <v>435</v>
      </c>
      <c r="G97" s="74" t="s">
        <v>790</v>
      </c>
      <c r="H97" s="74" t="s">
        <v>179</v>
      </c>
      <c r="I97" s="74">
        <v>128</v>
      </c>
      <c r="J97" s="74" t="s">
        <v>791</v>
      </c>
      <c r="K97" s="74" t="s">
        <v>179</v>
      </c>
      <c r="L97" s="74">
        <v>128</v>
      </c>
      <c r="M97" s="80">
        <v>3</v>
      </c>
      <c r="N97" s="74" t="s">
        <v>191</v>
      </c>
      <c r="O97" s="74" t="s">
        <v>236</v>
      </c>
      <c r="P97" s="74" t="s">
        <v>887</v>
      </c>
      <c r="Q97" s="74" t="b">
        <v>1</v>
      </c>
      <c r="R97" s="74"/>
    </row>
    <row r="98" spans="1:18" x14ac:dyDescent="0.3">
      <c r="A98" s="99"/>
      <c r="B98" s="73" t="s">
        <v>23</v>
      </c>
      <c r="C98" s="73" t="str" cm="1">
        <f t="array" ref="C98">UPPER(INDEX(_xlfn.TEXTSPLIT($D98, "-"), 3))</f>
        <v>DTG</v>
      </c>
      <c r="D98" s="78" t="s">
        <v>319</v>
      </c>
      <c r="E98" s="85" t="s">
        <v>24</v>
      </c>
      <c r="F98" s="73" t="s">
        <v>436</v>
      </c>
      <c r="G98" s="73" t="s">
        <v>792</v>
      </c>
      <c r="H98" s="73" t="s">
        <v>179</v>
      </c>
      <c r="I98" s="73">
        <v>128</v>
      </c>
      <c r="J98" s="73" t="s">
        <v>793</v>
      </c>
      <c r="K98" s="73" t="s">
        <v>179</v>
      </c>
      <c r="L98" s="73">
        <v>128</v>
      </c>
      <c r="M98" s="78">
        <v>1</v>
      </c>
      <c r="N98" s="73" t="s">
        <v>191</v>
      </c>
      <c r="O98" s="73" t="s">
        <v>236</v>
      </c>
      <c r="P98" s="73" t="s">
        <v>887</v>
      </c>
      <c r="Q98" s="73" t="b">
        <v>1</v>
      </c>
      <c r="R98" s="73"/>
    </row>
    <row r="99" spans="1:18" x14ac:dyDescent="0.3">
      <c r="A99" s="99"/>
      <c r="B99" s="74" t="s">
        <v>23</v>
      </c>
      <c r="C99" s="74" t="str" cm="1">
        <f t="array" ref="C99">UPPER(INDEX(_xlfn.TEXTSPLIT($D99, "-"), 3))</f>
        <v>DTG</v>
      </c>
      <c r="D99" s="80" t="s">
        <v>319</v>
      </c>
      <c r="E99" s="86" t="s">
        <v>24</v>
      </c>
      <c r="F99" s="74" t="s">
        <v>437</v>
      </c>
      <c r="G99" s="74" t="s">
        <v>794</v>
      </c>
      <c r="H99" s="74" t="s">
        <v>179</v>
      </c>
      <c r="I99" s="74">
        <v>128</v>
      </c>
      <c r="J99" s="74" t="s">
        <v>795</v>
      </c>
      <c r="K99" s="74" t="s">
        <v>179</v>
      </c>
      <c r="L99" s="74">
        <v>128</v>
      </c>
      <c r="M99" s="80">
        <v>2</v>
      </c>
      <c r="N99" s="74" t="s">
        <v>191</v>
      </c>
      <c r="O99" s="74" t="s">
        <v>236</v>
      </c>
      <c r="P99" s="74" t="s">
        <v>887</v>
      </c>
      <c r="Q99" s="74" t="b">
        <v>1</v>
      </c>
      <c r="R99" s="74"/>
    </row>
    <row r="100" spans="1:18" x14ac:dyDescent="0.3">
      <c r="A100" s="99"/>
      <c r="B100" s="73" t="s">
        <v>23</v>
      </c>
      <c r="C100" s="73" t="str" cm="1">
        <f t="array" ref="C100">UPPER(INDEX(_xlfn.TEXTSPLIT($D100, "-"), 3))</f>
        <v>DTG</v>
      </c>
      <c r="D100" s="78" t="s">
        <v>319</v>
      </c>
      <c r="E100" s="85" t="s">
        <v>24</v>
      </c>
      <c r="F100" s="73" t="s">
        <v>438</v>
      </c>
      <c r="G100" s="73" t="s">
        <v>796</v>
      </c>
      <c r="H100" s="73" t="s">
        <v>179</v>
      </c>
      <c r="I100" s="73">
        <v>128</v>
      </c>
      <c r="J100" s="73" t="s">
        <v>797</v>
      </c>
      <c r="K100" s="73" t="s">
        <v>179</v>
      </c>
      <c r="L100" s="73">
        <v>128</v>
      </c>
      <c r="M100" s="78">
        <v>3</v>
      </c>
      <c r="N100" s="73" t="s">
        <v>191</v>
      </c>
      <c r="O100" s="73" t="s">
        <v>236</v>
      </c>
      <c r="P100" s="73" t="s">
        <v>887</v>
      </c>
      <c r="Q100" s="73" t="b">
        <v>1</v>
      </c>
      <c r="R100" s="73"/>
    </row>
    <row r="101" spans="1:18" x14ac:dyDescent="0.3">
      <c r="A101" s="99"/>
      <c r="B101" s="74" t="s">
        <v>23</v>
      </c>
      <c r="C101" s="74" t="str" cm="1">
        <f t="array" ref="C101">UPPER(INDEX(_xlfn.TEXTSPLIT($D101, "-"), 3))</f>
        <v>DTG</v>
      </c>
      <c r="D101" s="80" t="s">
        <v>319</v>
      </c>
      <c r="E101" s="86" t="s">
        <v>24</v>
      </c>
      <c r="F101" s="74" t="s">
        <v>439</v>
      </c>
      <c r="G101" s="74" t="s">
        <v>798</v>
      </c>
      <c r="H101" s="74" t="s">
        <v>179</v>
      </c>
      <c r="I101" s="74">
        <v>128</v>
      </c>
      <c r="J101" s="74" t="s">
        <v>799</v>
      </c>
      <c r="K101" s="74" t="s">
        <v>179</v>
      </c>
      <c r="L101" s="74">
        <v>128</v>
      </c>
      <c r="M101" s="80">
        <v>1</v>
      </c>
      <c r="N101" s="74" t="s">
        <v>191</v>
      </c>
      <c r="O101" s="74" t="s">
        <v>236</v>
      </c>
      <c r="P101" s="74" t="s">
        <v>887</v>
      </c>
      <c r="Q101" s="74" t="b">
        <v>1</v>
      </c>
      <c r="R101" s="74"/>
    </row>
    <row r="102" spans="1:18" x14ac:dyDescent="0.3">
      <c r="A102" s="99"/>
      <c r="B102" s="73" t="s">
        <v>23</v>
      </c>
      <c r="C102" s="73" t="str" cm="1">
        <f t="array" ref="C102">UPPER(INDEX(_xlfn.TEXTSPLIT($D102, "-"), 3))</f>
        <v>DTG</v>
      </c>
      <c r="D102" s="78" t="s">
        <v>319</v>
      </c>
      <c r="E102" s="85" t="s">
        <v>24</v>
      </c>
      <c r="F102" s="73" t="s">
        <v>440</v>
      </c>
      <c r="G102" s="73" t="s">
        <v>800</v>
      </c>
      <c r="H102" s="73" t="s">
        <v>179</v>
      </c>
      <c r="I102" s="73">
        <v>128</v>
      </c>
      <c r="J102" s="73" t="s">
        <v>801</v>
      </c>
      <c r="K102" s="73" t="s">
        <v>179</v>
      </c>
      <c r="L102" s="73">
        <v>128</v>
      </c>
      <c r="M102" s="78">
        <v>2</v>
      </c>
      <c r="N102" s="73" t="s">
        <v>191</v>
      </c>
      <c r="O102" s="73" t="s">
        <v>236</v>
      </c>
      <c r="P102" s="73" t="s">
        <v>887</v>
      </c>
      <c r="Q102" s="73" t="b">
        <v>1</v>
      </c>
      <c r="R102" s="73"/>
    </row>
    <row r="103" spans="1:18" x14ac:dyDescent="0.3">
      <c r="A103" s="99"/>
      <c r="B103" s="74" t="s">
        <v>23</v>
      </c>
      <c r="C103" s="74" t="str" cm="1">
        <f t="array" ref="C103">UPPER(INDEX(_xlfn.TEXTSPLIT($D103, "-"), 3))</f>
        <v>DTG</v>
      </c>
      <c r="D103" s="80" t="s">
        <v>319</v>
      </c>
      <c r="E103" s="86" t="s">
        <v>24</v>
      </c>
      <c r="F103" s="74" t="s">
        <v>441</v>
      </c>
      <c r="G103" s="74" t="s">
        <v>802</v>
      </c>
      <c r="H103" s="74" t="s">
        <v>179</v>
      </c>
      <c r="I103" s="74">
        <v>128</v>
      </c>
      <c r="J103" s="74" t="s">
        <v>803</v>
      </c>
      <c r="K103" s="74" t="s">
        <v>179</v>
      </c>
      <c r="L103" s="74">
        <v>128</v>
      </c>
      <c r="M103" s="80">
        <v>1</v>
      </c>
      <c r="N103" s="74" t="s">
        <v>191</v>
      </c>
      <c r="O103" s="74" t="s">
        <v>236</v>
      </c>
      <c r="P103" s="74" t="s">
        <v>887</v>
      </c>
      <c r="Q103" s="74" t="b">
        <v>1</v>
      </c>
      <c r="R103" s="74"/>
    </row>
    <row r="104" spans="1:18" x14ac:dyDescent="0.3">
      <c r="A104" s="99"/>
      <c r="B104" s="73" t="s">
        <v>23</v>
      </c>
      <c r="C104" s="73" t="str" cm="1">
        <f t="array" ref="C104">UPPER(INDEX(_xlfn.TEXTSPLIT($D104, "-"), 3))</f>
        <v>DTG</v>
      </c>
      <c r="D104" s="78" t="s">
        <v>319</v>
      </c>
      <c r="E104" s="85" t="s">
        <v>24</v>
      </c>
      <c r="F104" s="73" t="s">
        <v>442</v>
      </c>
      <c r="G104" s="73" t="s">
        <v>804</v>
      </c>
      <c r="H104" s="73" t="s">
        <v>179</v>
      </c>
      <c r="I104" s="73">
        <v>128</v>
      </c>
      <c r="J104" s="73" t="s">
        <v>805</v>
      </c>
      <c r="K104" s="73" t="s">
        <v>179</v>
      </c>
      <c r="L104" s="73">
        <v>128</v>
      </c>
      <c r="M104" s="78">
        <v>2</v>
      </c>
      <c r="N104" s="73" t="s">
        <v>191</v>
      </c>
      <c r="O104" s="73" t="s">
        <v>236</v>
      </c>
      <c r="P104" s="73" t="s">
        <v>887</v>
      </c>
      <c r="Q104" s="73" t="b">
        <v>1</v>
      </c>
      <c r="R104" s="73"/>
    </row>
    <row r="105" spans="1:18" x14ac:dyDescent="0.3">
      <c r="A105" s="99"/>
      <c r="B105" s="74" t="s">
        <v>23</v>
      </c>
      <c r="C105" s="74" t="str" cm="1">
        <f t="array" ref="C105">UPPER(INDEX(_xlfn.TEXTSPLIT($D105, "-"), 3))</f>
        <v>DTG</v>
      </c>
      <c r="D105" s="80" t="s">
        <v>319</v>
      </c>
      <c r="E105" s="86" t="s">
        <v>24</v>
      </c>
      <c r="F105" s="74" t="s">
        <v>443</v>
      </c>
      <c r="G105" s="74" t="s">
        <v>806</v>
      </c>
      <c r="H105" s="74" t="s">
        <v>179</v>
      </c>
      <c r="I105" s="74">
        <v>128</v>
      </c>
      <c r="J105" s="74" t="s">
        <v>807</v>
      </c>
      <c r="K105" s="74" t="s">
        <v>179</v>
      </c>
      <c r="L105" s="74">
        <v>128</v>
      </c>
      <c r="M105" s="80">
        <v>1</v>
      </c>
      <c r="N105" s="74" t="s">
        <v>191</v>
      </c>
      <c r="O105" s="74" t="s">
        <v>236</v>
      </c>
      <c r="P105" s="74" t="s">
        <v>887</v>
      </c>
      <c r="Q105" s="74" t="b">
        <v>1</v>
      </c>
      <c r="R105" s="74"/>
    </row>
    <row r="106" spans="1:18" x14ac:dyDescent="0.3">
      <c r="A106" s="99"/>
      <c r="B106" s="73" t="s">
        <v>23</v>
      </c>
      <c r="C106" s="73" t="str" cm="1">
        <f t="array" ref="C106">UPPER(INDEX(_xlfn.TEXTSPLIT($D106, "-"), 3))</f>
        <v>DTG</v>
      </c>
      <c r="D106" s="78" t="s">
        <v>319</v>
      </c>
      <c r="E106" s="85" t="s">
        <v>24</v>
      </c>
      <c r="F106" s="73" t="s">
        <v>444</v>
      </c>
      <c r="G106" s="73" t="s">
        <v>808</v>
      </c>
      <c r="H106" s="73" t="s">
        <v>179</v>
      </c>
      <c r="I106" s="73">
        <v>128</v>
      </c>
      <c r="J106" s="73" t="s">
        <v>809</v>
      </c>
      <c r="K106" s="73" t="s">
        <v>179</v>
      </c>
      <c r="L106" s="73">
        <v>128</v>
      </c>
      <c r="M106" s="78">
        <v>2</v>
      </c>
      <c r="N106" s="73" t="s">
        <v>191</v>
      </c>
      <c r="O106" s="73" t="s">
        <v>236</v>
      </c>
      <c r="P106" s="73" t="s">
        <v>887</v>
      </c>
      <c r="Q106" s="73" t="b">
        <v>1</v>
      </c>
      <c r="R106" s="73"/>
    </row>
    <row r="107" spans="1:18" x14ac:dyDescent="0.3">
      <c r="A107" s="99"/>
      <c r="B107" s="74" t="s">
        <v>23</v>
      </c>
      <c r="C107" s="74" t="str" cm="1">
        <f t="array" ref="C107">UPPER(INDEX(_xlfn.TEXTSPLIT($D107, "-"), 3))</f>
        <v>DTG</v>
      </c>
      <c r="D107" s="80" t="s">
        <v>319</v>
      </c>
      <c r="E107" s="86" t="s">
        <v>24</v>
      </c>
      <c r="F107" s="74" t="s">
        <v>445</v>
      </c>
      <c r="G107" s="74" t="s">
        <v>810</v>
      </c>
      <c r="H107" s="74" t="s">
        <v>179</v>
      </c>
      <c r="I107" s="74">
        <v>128</v>
      </c>
      <c r="J107" s="74" t="s">
        <v>811</v>
      </c>
      <c r="K107" s="74" t="s">
        <v>179</v>
      </c>
      <c r="L107" s="74">
        <v>128</v>
      </c>
      <c r="M107" s="80">
        <v>1</v>
      </c>
      <c r="N107" s="74" t="s">
        <v>191</v>
      </c>
      <c r="O107" s="74" t="s">
        <v>236</v>
      </c>
      <c r="P107" s="74" t="s">
        <v>887</v>
      </c>
      <c r="Q107" s="74" t="b">
        <v>1</v>
      </c>
      <c r="R107" s="74"/>
    </row>
    <row r="108" spans="1:18" x14ac:dyDescent="0.3">
      <c r="A108" s="99"/>
      <c r="B108" s="73" t="s">
        <v>23</v>
      </c>
      <c r="C108" s="73" t="str" cm="1">
        <f t="array" ref="C108">UPPER(INDEX(_xlfn.TEXTSPLIT($D108, "-"), 3))</f>
        <v>DTG</v>
      </c>
      <c r="D108" s="78" t="s">
        <v>319</v>
      </c>
      <c r="E108" s="85" t="s">
        <v>24</v>
      </c>
      <c r="F108" s="73" t="s">
        <v>446</v>
      </c>
      <c r="G108" s="73" t="s">
        <v>812</v>
      </c>
      <c r="H108" s="73" t="s">
        <v>179</v>
      </c>
      <c r="I108" s="73">
        <v>128</v>
      </c>
      <c r="J108" s="73" t="s">
        <v>813</v>
      </c>
      <c r="K108" s="73" t="s">
        <v>179</v>
      </c>
      <c r="L108" s="73">
        <v>128</v>
      </c>
      <c r="M108" s="78">
        <v>2</v>
      </c>
      <c r="N108" s="73" t="s">
        <v>191</v>
      </c>
      <c r="O108" s="73" t="s">
        <v>236</v>
      </c>
      <c r="P108" s="73" t="s">
        <v>887</v>
      </c>
      <c r="Q108" s="73" t="b">
        <v>1</v>
      </c>
      <c r="R108" s="73"/>
    </row>
    <row r="109" spans="1:18" x14ac:dyDescent="0.3">
      <c r="A109" s="99"/>
      <c r="B109" s="74" t="s">
        <v>23</v>
      </c>
      <c r="C109" s="74" t="str" cm="1">
        <f t="array" ref="C109">UPPER(INDEX(_xlfn.TEXTSPLIT($D109, "-"), 3))</f>
        <v>DTG</v>
      </c>
      <c r="D109" s="80" t="s">
        <v>319</v>
      </c>
      <c r="E109" s="86" t="s">
        <v>24</v>
      </c>
      <c r="F109" s="74" t="s">
        <v>447</v>
      </c>
      <c r="G109" s="74" t="s">
        <v>814</v>
      </c>
      <c r="H109" s="74" t="s">
        <v>179</v>
      </c>
      <c r="I109" s="74">
        <v>128</v>
      </c>
      <c r="J109" s="74" t="s">
        <v>815</v>
      </c>
      <c r="K109" s="74" t="s">
        <v>179</v>
      </c>
      <c r="L109" s="74">
        <v>128</v>
      </c>
      <c r="M109" s="80">
        <v>1</v>
      </c>
      <c r="N109" s="74" t="s">
        <v>191</v>
      </c>
      <c r="O109" s="74" t="s">
        <v>236</v>
      </c>
      <c r="P109" s="74" t="s">
        <v>887</v>
      </c>
      <c r="Q109" s="74" t="b">
        <v>1</v>
      </c>
      <c r="R109" s="74"/>
    </row>
    <row r="110" spans="1:18" x14ac:dyDescent="0.3">
      <c r="A110" s="99"/>
      <c r="B110" s="73" t="s">
        <v>23</v>
      </c>
      <c r="C110" s="73" t="str" cm="1">
        <f t="array" ref="C110">UPPER(INDEX(_xlfn.TEXTSPLIT($D110, "-"), 3))</f>
        <v>DTG</v>
      </c>
      <c r="D110" s="78" t="s">
        <v>319</v>
      </c>
      <c r="E110" s="85" t="s">
        <v>24</v>
      </c>
      <c r="F110" s="73" t="s">
        <v>448</v>
      </c>
      <c r="G110" s="73" t="s">
        <v>816</v>
      </c>
      <c r="H110" s="73" t="s">
        <v>179</v>
      </c>
      <c r="I110" s="73">
        <v>128</v>
      </c>
      <c r="J110" s="73" t="s">
        <v>817</v>
      </c>
      <c r="K110" s="73" t="s">
        <v>179</v>
      </c>
      <c r="L110" s="73">
        <v>128</v>
      </c>
      <c r="M110" s="78">
        <v>2</v>
      </c>
      <c r="N110" s="73" t="s">
        <v>191</v>
      </c>
      <c r="O110" s="73" t="s">
        <v>236</v>
      </c>
      <c r="P110" s="73" t="s">
        <v>887</v>
      </c>
      <c r="Q110" s="73" t="b">
        <v>1</v>
      </c>
      <c r="R110" s="73"/>
    </row>
    <row r="111" spans="1:18" x14ac:dyDescent="0.3">
      <c r="A111" s="99"/>
      <c r="B111" s="74" t="s">
        <v>23</v>
      </c>
      <c r="C111" s="74" t="str" cm="1">
        <f t="array" ref="C111">UPPER(INDEX(_xlfn.TEXTSPLIT($D111, "-"), 3))</f>
        <v>BDP</v>
      </c>
      <c r="D111" s="80" t="s">
        <v>321</v>
      </c>
      <c r="E111" s="86" t="s">
        <v>24</v>
      </c>
      <c r="F111" s="74" t="s">
        <v>449</v>
      </c>
      <c r="G111" s="74" t="s">
        <v>818</v>
      </c>
      <c r="H111" s="74" t="s">
        <v>179</v>
      </c>
      <c r="I111" s="74">
        <v>128</v>
      </c>
      <c r="J111" s="74" t="s">
        <v>819</v>
      </c>
      <c r="K111" s="74" t="s">
        <v>179</v>
      </c>
      <c r="L111" s="74">
        <v>128</v>
      </c>
      <c r="M111" s="80">
        <v>1</v>
      </c>
      <c r="N111" s="74" t="s">
        <v>191</v>
      </c>
      <c r="O111" s="74" t="s">
        <v>236</v>
      </c>
      <c r="P111" s="74" t="s">
        <v>887</v>
      </c>
      <c r="Q111" s="74" t="b">
        <v>1</v>
      </c>
      <c r="R111" s="74"/>
    </row>
    <row r="112" spans="1:18" x14ac:dyDescent="0.3">
      <c r="A112" s="99"/>
      <c r="B112" s="73" t="s">
        <v>23</v>
      </c>
      <c r="C112" s="73" t="str" cm="1">
        <f t="array" ref="C112">UPPER(INDEX(_xlfn.TEXTSPLIT($D112, "-"), 3))</f>
        <v>BDP</v>
      </c>
      <c r="D112" s="78" t="s">
        <v>321</v>
      </c>
      <c r="E112" s="85" t="s">
        <v>24</v>
      </c>
      <c r="F112" s="73" t="s">
        <v>450</v>
      </c>
      <c r="G112" s="73" t="s">
        <v>820</v>
      </c>
      <c r="H112" s="73" t="s">
        <v>179</v>
      </c>
      <c r="I112" s="73">
        <v>128</v>
      </c>
      <c r="J112" s="73" t="s">
        <v>821</v>
      </c>
      <c r="K112" s="73" t="s">
        <v>179</v>
      </c>
      <c r="L112" s="73">
        <v>128</v>
      </c>
      <c r="M112" s="78">
        <v>1</v>
      </c>
      <c r="N112" s="73" t="s">
        <v>191</v>
      </c>
      <c r="O112" s="73" t="s">
        <v>236</v>
      </c>
      <c r="P112" s="73" t="s">
        <v>887</v>
      </c>
      <c r="Q112" s="73" t="b">
        <v>1</v>
      </c>
      <c r="R112" s="73"/>
    </row>
    <row r="113" spans="1:18" x14ac:dyDescent="0.3">
      <c r="A113" s="99"/>
      <c r="B113" s="74" t="s">
        <v>23</v>
      </c>
      <c r="C113" s="74" t="str" cm="1">
        <f t="array" ref="C113">UPPER(INDEX(_xlfn.TEXTSPLIT($D113, "-"), 3))</f>
        <v>BDP</v>
      </c>
      <c r="D113" s="80" t="s">
        <v>321</v>
      </c>
      <c r="E113" s="86" t="s">
        <v>24</v>
      </c>
      <c r="F113" s="74" t="s">
        <v>451</v>
      </c>
      <c r="G113" s="74" t="s">
        <v>822</v>
      </c>
      <c r="H113" s="74" t="s">
        <v>179</v>
      </c>
      <c r="I113" s="74">
        <v>128</v>
      </c>
      <c r="J113" s="74" t="s">
        <v>823</v>
      </c>
      <c r="K113" s="74" t="s">
        <v>179</v>
      </c>
      <c r="L113" s="74">
        <v>128</v>
      </c>
      <c r="M113" s="80">
        <v>1</v>
      </c>
      <c r="N113" s="74" t="s">
        <v>191</v>
      </c>
      <c r="O113" s="74" t="s">
        <v>236</v>
      </c>
      <c r="P113" s="74" t="s">
        <v>887</v>
      </c>
      <c r="Q113" s="74" t="b">
        <v>1</v>
      </c>
      <c r="R113" s="74"/>
    </row>
    <row r="114" spans="1:18" x14ac:dyDescent="0.3">
      <c r="A114" s="99"/>
      <c r="B114" s="73" t="s">
        <v>23</v>
      </c>
      <c r="C114" s="73" t="str" cm="1">
        <f t="array" ref="C114">UPPER(INDEX(_xlfn.TEXTSPLIT($D114, "-"), 3))</f>
        <v>BDP</v>
      </c>
      <c r="D114" s="78" t="s">
        <v>321</v>
      </c>
      <c r="E114" s="85" t="s">
        <v>24</v>
      </c>
      <c r="F114" s="73" t="s">
        <v>452</v>
      </c>
      <c r="G114" s="73" t="s">
        <v>824</v>
      </c>
      <c r="H114" s="73" t="s">
        <v>179</v>
      </c>
      <c r="I114" s="73">
        <v>128</v>
      </c>
      <c r="J114" s="73" t="s">
        <v>825</v>
      </c>
      <c r="K114" s="73" t="s">
        <v>179</v>
      </c>
      <c r="L114" s="73">
        <v>128</v>
      </c>
      <c r="M114" s="78">
        <v>2</v>
      </c>
      <c r="N114" s="73" t="s">
        <v>191</v>
      </c>
      <c r="O114" s="73" t="s">
        <v>236</v>
      </c>
      <c r="P114" s="73" t="s">
        <v>887</v>
      </c>
      <c r="Q114" s="73" t="b">
        <v>1</v>
      </c>
      <c r="R114" s="73"/>
    </row>
    <row r="115" spans="1:18" x14ac:dyDescent="0.3">
      <c r="A115" s="99"/>
      <c r="B115" s="74" t="s">
        <v>23</v>
      </c>
      <c r="C115" s="74" t="str" cm="1">
        <f t="array" ref="C115">UPPER(INDEX(_xlfn.TEXTSPLIT($D115, "-"), 3))</f>
        <v>BDP</v>
      </c>
      <c r="D115" s="80" t="s">
        <v>321</v>
      </c>
      <c r="E115" s="86" t="s">
        <v>24</v>
      </c>
      <c r="F115" s="74" t="s">
        <v>453</v>
      </c>
      <c r="G115" s="74" t="s">
        <v>826</v>
      </c>
      <c r="H115" s="74" t="s">
        <v>179</v>
      </c>
      <c r="I115" s="74">
        <v>128</v>
      </c>
      <c r="J115" s="74" t="s">
        <v>827</v>
      </c>
      <c r="K115" s="74" t="s">
        <v>179</v>
      </c>
      <c r="L115" s="74">
        <v>128</v>
      </c>
      <c r="M115" s="80">
        <v>1</v>
      </c>
      <c r="N115" s="74" t="s">
        <v>191</v>
      </c>
      <c r="O115" s="74" t="s">
        <v>236</v>
      </c>
      <c r="P115" s="74" t="s">
        <v>887</v>
      </c>
      <c r="Q115" s="74" t="b">
        <v>1</v>
      </c>
      <c r="R115" s="74"/>
    </row>
    <row r="116" spans="1:18" x14ac:dyDescent="0.3">
      <c r="A116" s="99"/>
      <c r="B116" s="73" t="s">
        <v>23</v>
      </c>
      <c r="C116" s="73" t="str" cm="1">
        <f t="array" ref="C116">UPPER(INDEX(_xlfn.TEXTSPLIT($D116, "-"), 3))</f>
        <v>BDP</v>
      </c>
      <c r="D116" s="78" t="s">
        <v>321</v>
      </c>
      <c r="E116" s="85" t="s">
        <v>24</v>
      </c>
      <c r="F116" s="73" t="s">
        <v>454</v>
      </c>
      <c r="G116" s="73" t="s">
        <v>828</v>
      </c>
      <c r="H116" s="73" t="s">
        <v>179</v>
      </c>
      <c r="I116" s="73">
        <v>128</v>
      </c>
      <c r="J116" s="73" t="s">
        <v>829</v>
      </c>
      <c r="K116" s="73" t="s">
        <v>179</v>
      </c>
      <c r="L116" s="73">
        <v>128</v>
      </c>
      <c r="M116" s="78">
        <v>2</v>
      </c>
      <c r="N116" s="73" t="s">
        <v>191</v>
      </c>
      <c r="O116" s="73" t="s">
        <v>236</v>
      </c>
      <c r="P116" s="73" t="s">
        <v>887</v>
      </c>
      <c r="Q116" s="73" t="b">
        <v>1</v>
      </c>
      <c r="R116" s="73"/>
    </row>
    <row r="117" spans="1:18" x14ac:dyDescent="0.3">
      <c r="A117" s="99"/>
      <c r="B117" s="74" t="s">
        <v>23</v>
      </c>
      <c r="C117" s="74" t="str" cm="1">
        <f t="array" ref="C117">UPPER(INDEX(_xlfn.TEXTSPLIT($D117, "-"), 3))</f>
        <v>IF</v>
      </c>
      <c r="D117" s="80" t="s">
        <v>320</v>
      </c>
      <c r="E117" s="86" t="s">
        <v>24</v>
      </c>
      <c r="F117" s="74" t="s">
        <v>455</v>
      </c>
      <c r="G117" s="74" t="s">
        <v>830</v>
      </c>
      <c r="H117" s="74" t="s">
        <v>179</v>
      </c>
      <c r="I117" s="74">
        <v>128</v>
      </c>
      <c r="J117" s="74" t="s">
        <v>831</v>
      </c>
      <c r="K117" s="74" t="s">
        <v>179</v>
      </c>
      <c r="L117" s="74">
        <v>128</v>
      </c>
      <c r="M117" s="80">
        <v>1</v>
      </c>
      <c r="N117" s="74" t="s">
        <v>191</v>
      </c>
      <c r="O117" s="74" t="s">
        <v>236</v>
      </c>
      <c r="P117" s="74" t="s">
        <v>887</v>
      </c>
      <c r="Q117" s="74" t="b">
        <v>1</v>
      </c>
      <c r="R117" s="74"/>
    </row>
    <row r="118" spans="1:18" x14ac:dyDescent="0.3">
      <c r="A118" s="99"/>
      <c r="B118" s="73" t="s">
        <v>23</v>
      </c>
      <c r="C118" s="73" t="str" cm="1">
        <f t="array" ref="C118">UPPER(INDEX(_xlfn.TEXTSPLIT($D118, "-"), 3))</f>
        <v>IF</v>
      </c>
      <c r="D118" s="78" t="s">
        <v>320</v>
      </c>
      <c r="E118" s="85" t="s">
        <v>24</v>
      </c>
      <c r="F118" s="73" t="s">
        <v>456</v>
      </c>
      <c r="G118" s="73" t="s">
        <v>832</v>
      </c>
      <c r="H118" s="73" t="s">
        <v>179</v>
      </c>
      <c r="I118" s="73">
        <v>128</v>
      </c>
      <c r="J118" s="73" t="s">
        <v>833</v>
      </c>
      <c r="K118" s="73" t="s">
        <v>179</v>
      </c>
      <c r="L118" s="73">
        <v>128</v>
      </c>
      <c r="M118" s="78">
        <v>2</v>
      </c>
      <c r="N118" s="73" t="s">
        <v>191</v>
      </c>
      <c r="O118" s="73" t="s">
        <v>236</v>
      </c>
      <c r="P118" s="73" t="s">
        <v>887</v>
      </c>
      <c r="Q118" s="73" t="b">
        <v>1</v>
      </c>
      <c r="R118" s="73"/>
    </row>
    <row r="119" spans="1:18" x14ac:dyDescent="0.3">
      <c r="A119" s="99"/>
      <c r="B119" s="74" t="s">
        <v>23</v>
      </c>
      <c r="C119" s="74" t="str" cm="1">
        <f t="array" ref="C119">UPPER(INDEX(_xlfn.TEXTSPLIT($D119, "-"), 3))</f>
        <v>IF</v>
      </c>
      <c r="D119" s="80" t="s">
        <v>320</v>
      </c>
      <c r="E119" s="86" t="s">
        <v>24</v>
      </c>
      <c r="F119" s="74" t="s">
        <v>457</v>
      </c>
      <c r="G119" s="74" t="s">
        <v>834</v>
      </c>
      <c r="H119" s="74" t="s">
        <v>179</v>
      </c>
      <c r="I119" s="74">
        <v>128</v>
      </c>
      <c r="J119" s="74" t="s">
        <v>835</v>
      </c>
      <c r="K119" s="74" t="s">
        <v>179</v>
      </c>
      <c r="L119" s="74">
        <v>128</v>
      </c>
      <c r="M119" s="80">
        <v>1</v>
      </c>
      <c r="N119" s="74" t="s">
        <v>191</v>
      </c>
      <c r="O119" s="74" t="s">
        <v>236</v>
      </c>
      <c r="P119" s="74" t="s">
        <v>887</v>
      </c>
      <c r="Q119" s="74" t="b">
        <v>1</v>
      </c>
      <c r="R119" s="74"/>
    </row>
    <row r="120" spans="1:18" x14ac:dyDescent="0.3">
      <c r="A120" s="99"/>
      <c r="B120" s="101" t="s">
        <v>23</v>
      </c>
      <c r="C120" s="101" t="str" cm="1">
        <f t="array" ref="C120">UPPER(INDEX(_xlfn.TEXTSPLIT($D120, "-"), 3))</f>
        <v>IF</v>
      </c>
      <c r="D120" s="101" t="s">
        <v>320</v>
      </c>
      <c r="E120" s="105" t="s">
        <v>24</v>
      </c>
      <c r="F120" s="101" t="s">
        <v>458</v>
      </c>
      <c r="G120" s="101" t="s">
        <v>904</v>
      </c>
      <c r="H120" s="101" t="s">
        <v>680</v>
      </c>
      <c r="I120" s="101">
        <v>2048</v>
      </c>
      <c r="J120" s="101" t="s">
        <v>906</v>
      </c>
      <c r="K120" s="101" t="s">
        <v>680</v>
      </c>
      <c r="L120" s="101">
        <v>2048</v>
      </c>
      <c r="M120" s="101">
        <v>1</v>
      </c>
      <c r="N120" s="101" t="s">
        <v>191</v>
      </c>
      <c r="O120" s="101" t="s">
        <v>236</v>
      </c>
      <c r="P120" s="101" t="s">
        <v>887</v>
      </c>
      <c r="Q120" s="101" t="b">
        <v>1</v>
      </c>
      <c r="R120" s="101" t="s">
        <v>918</v>
      </c>
    </row>
    <row r="121" spans="1:18" x14ac:dyDescent="0.3">
      <c r="A121" s="99"/>
      <c r="B121" s="101" t="s">
        <v>23</v>
      </c>
      <c r="C121" s="101" t="str" cm="1">
        <f t="array" ref="C121">UPPER(INDEX(_xlfn.TEXTSPLIT($D121, "-"), 3))</f>
        <v>IF</v>
      </c>
      <c r="D121" s="101" t="s">
        <v>320</v>
      </c>
      <c r="E121" s="105" t="s">
        <v>24</v>
      </c>
      <c r="F121" s="101" t="s">
        <v>458</v>
      </c>
      <c r="G121" s="101" t="s">
        <v>905</v>
      </c>
      <c r="H121" s="101" t="s">
        <v>680</v>
      </c>
      <c r="I121" s="101">
        <v>2048</v>
      </c>
      <c r="J121" s="101" t="s">
        <v>907</v>
      </c>
      <c r="K121" s="101" t="s">
        <v>680</v>
      </c>
      <c r="L121" s="101">
        <v>2048</v>
      </c>
      <c r="M121" s="101">
        <v>1</v>
      </c>
      <c r="N121" s="101" t="s">
        <v>191</v>
      </c>
      <c r="O121" s="101" t="s">
        <v>236</v>
      </c>
      <c r="P121" s="101" t="s">
        <v>887</v>
      </c>
      <c r="Q121" s="101" t="b">
        <v>1</v>
      </c>
      <c r="R121" s="101"/>
    </row>
    <row r="122" spans="1:18" x14ac:dyDescent="0.3">
      <c r="A122" s="99"/>
      <c r="B122" s="101" t="s">
        <v>23</v>
      </c>
      <c r="C122" s="101" t="str" cm="1">
        <f t="array" ref="C122">UPPER(INDEX(_xlfn.TEXTSPLIT($D122, "-"), 3))</f>
        <v>IF</v>
      </c>
      <c r="D122" s="101" t="s">
        <v>320</v>
      </c>
      <c r="E122" s="105" t="s">
        <v>24</v>
      </c>
      <c r="F122" s="101" t="s">
        <v>458</v>
      </c>
      <c r="G122" s="101" t="s">
        <v>836</v>
      </c>
      <c r="H122" s="101" t="s">
        <v>179</v>
      </c>
      <c r="I122" s="101">
        <v>128</v>
      </c>
      <c r="J122" s="101" t="s">
        <v>225</v>
      </c>
      <c r="K122" s="101" t="s">
        <v>225</v>
      </c>
      <c r="L122" s="101" t="s">
        <v>225</v>
      </c>
      <c r="M122" s="101">
        <v>1</v>
      </c>
      <c r="N122" s="101" t="s">
        <v>191</v>
      </c>
      <c r="O122" s="101" t="s">
        <v>236</v>
      </c>
      <c r="P122" s="101" t="s">
        <v>887</v>
      </c>
      <c r="Q122" s="101" t="b">
        <v>1</v>
      </c>
      <c r="R122" s="101"/>
    </row>
    <row r="123" spans="1:18" x14ac:dyDescent="0.3">
      <c r="A123" s="99"/>
      <c r="B123" s="74" t="s">
        <v>23</v>
      </c>
      <c r="C123" s="74" t="str" cm="1">
        <f t="array" ref="C123">UPPER(INDEX(_xlfn.TEXTSPLIT($D123, "-"), 3))</f>
        <v>IF</v>
      </c>
      <c r="D123" s="80" t="s">
        <v>320</v>
      </c>
      <c r="E123" s="86" t="s">
        <v>24</v>
      </c>
      <c r="F123" s="74" t="s">
        <v>459</v>
      </c>
      <c r="G123" s="74" t="s">
        <v>837</v>
      </c>
      <c r="H123" s="74" t="s">
        <v>179</v>
      </c>
      <c r="I123" s="74">
        <v>128</v>
      </c>
      <c r="J123" s="74" t="s">
        <v>838</v>
      </c>
      <c r="K123" s="74" t="s">
        <v>179</v>
      </c>
      <c r="L123" s="74">
        <v>128</v>
      </c>
      <c r="M123" s="80">
        <v>1</v>
      </c>
      <c r="N123" s="74" t="s">
        <v>191</v>
      </c>
      <c r="O123" s="74" t="s">
        <v>236</v>
      </c>
      <c r="P123" s="74" t="s">
        <v>887</v>
      </c>
      <c r="Q123" s="74" t="b">
        <v>1</v>
      </c>
      <c r="R123" s="74"/>
    </row>
    <row r="124" spans="1:18" x14ac:dyDescent="0.3">
      <c r="A124" s="99"/>
      <c r="B124" s="73" t="s">
        <v>1100</v>
      </c>
      <c r="C124" s="73" t="str" cm="1">
        <f t="array" ref="C124">UPPER(INDEX(_xlfn.TEXTSPLIT($D124, "-"), 3))</f>
        <v>MON</v>
      </c>
      <c r="D124" s="78" t="s">
        <v>484</v>
      </c>
      <c r="E124" s="85" t="s">
        <v>24</v>
      </c>
      <c r="F124" s="73" t="s">
        <v>230</v>
      </c>
      <c r="G124" s="73" t="s">
        <v>839</v>
      </c>
      <c r="H124" s="73" t="s">
        <v>179</v>
      </c>
      <c r="I124" s="73">
        <v>1024</v>
      </c>
      <c r="J124" s="73" t="s">
        <v>840</v>
      </c>
      <c r="K124" s="73" t="s">
        <v>179</v>
      </c>
      <c r="L124" s="73">
        <v>128</v>
      </c>
      <c r="M124" s="78">
        <v>1</v>
      </c>
      <c r="N124" s="73" t="s">
        <v>191</v>
      </c>
      <c r="O124" s="73" t="s">
        <v>231</v>
      </c>
      <c r="P124" s="73" t="s">
        <v>232</v>
      </c>
      <c r="Q124" s="73" t="b">
        <v>1</v>
      </c>
      <c r="R124" s="73"/>
    </row>
    <row r="125" spans="1:18" x14ac:dyDescent="0.3">
      <c r="A125" s="99"/>
      <c r="B125" s="74" t="s">
        <v>1100</v>
      </c>
      <c r="C125" s="74" t="str" cm="1">
        <f t="array" ref="C125">UPPER(INDEX(_xlfn.TEXTSPLIT($D125, "-"), 3))</f>
        <v>MON</v>
      </c>
      <c r="D125" s="80" t="s">
        <v>484</v>
      </c>
      <c r="E125" s="86" t="s">
        <v>24</v>
      </c>
      <c r="F125" s="74" t="s">
        <v>229</v>
      </c>
      <c r="G125" s="74" t="s">
        <v>841</v>
      </c>
      <c r="H125" s="74" t="s">
        <v>179</v>
      </c>
      <c r="I125" s="74">
        <v>1024</v>
      </c>
      <c r="J125" s="74" t="s">
        <v>842</v>
      </c>
      <c r="K125" s="74" t="s">
        <v>179</v>
      </c>
      <c r="L125" s="74">
        <v>128</v>
      </c>
      <c r="M125" s="80">
        <v>2</v>
      </c>
      <c r="N125" s="74" t="s">
        <v>191</v>
      </c>
      <c r="O125" s="74" t="s">
        <v>231</v>
      </c>
      <c r="P125" s="74" t="s">
        <v>232</v>
      </c>
      <c r="Q125" s="74" t="b">
        <v>1</v>
      </c>
      <c r="R125" s="74"/>
    </row>
    <row r="126" spans="1:18" x14ac:dyDescent="0.3">
      <c r="A126" s="99"/>
      <c r="B126" s="73" t="s">
        <v>1100</v>
      </c>
      <c r="C126" s="73" t="str" cm="1">
        <f t="array" ref="C126">UPPER(INDEX(_xlfn.TEXTSPLIT($D126, "-"), 3))</f>
        <v>MON</v>
      </c>
      <c r="D126" s="78" t="s">
        <v>484</v>
      </c>
      <c r="E126" s="85" t="s">
        <v>24</v>
      </c>
      <c r="F126" s="73" t="s">
        <v>233</v>
      </c>
      <c r="G126" s="73" t="s">
        <v>843</v>
      </c>
      <c r="H126" s="73" t="s">
        <v>179</v>
      </c>
      <c r="I126" s="73">
        <v>128</v>
      </c>
      <c r="J126" s="73" t="s">
        <v>225</v>
      </c>
      <c r="K126" s="73" t="s">
        <v>225</v>
      </c>
      <c r="L126" s="73" t="s">
        <v>225</v>
      </c>
      <c r="M126" s="78" t="s">
        <v>225</v>
      </c>
      <c r="N126" s="73" t="s">
        <v>191</v>
      </c>
      <c r="O126" s="73" t="s">
        <v>231</v>
      </c>
      <c r="P126" s="73" t="s">
        <v>232</v>
      </c>
      <c r="Q126" s="73" t="b">
        <v>1</v>
      </c>
      <c r="R126" s="73"/>
    </row>
    <row r="127" spans="1:18" x14ac:dyDescent="0.3">
      <c r="A127" s="99"/>
      <c r="B127" s="100" t="s">
        <v>23</v>
      </c>
      <c r="C127" s="100" t="str" cm="1">
        <f t="array" ref="C127">UPPER(INDEX(_xlfn.TEXTSPLIT($D127, "-"), 3))</f>
        <v>IF</v>
      </c>
      <c r="D127" s="100" t="s">
        <v>320</v>
      </c>
      <c r="E127" s="106" t="s">
        <v>24</v>
      </c>
      <c r="F127" s="100" t="s">
        <v>460</v>
      </c>
      <c r="G127" s="100" t="s">
        <v>909</v>
      </c>
      <c r="H127" s="100" t="s">
        <v>179</v>
      </c>
      <c r="I127" s="100">
        <v>1024</v>
      </c>
      <c r="J127" s="100" t="s">
        <v>908</v>
      </c>
      <c r="K127" s="100" t="s">
        <v>179</v>
      </c>
      <c r="L127" s="100">
        <v>1024</v>
      </c>
      <c r="M127" s="100">
        <v>1</v>
      </c>
      <c r="N127" s="100" t="s">
        <v>191</v>
      </c>
      <c r="O127" s="100" t="s">
        <v>236</v>
      </c>
      <c r="P127" s="100" t="s">
        <v>887</v>
      </c>
      <c r="Q127" s="100" t="b">
        <v>1</v>
      </c>
      <c r="R127" s="100" t="s">
        <v>918</v>
      </c>
    </row>
    <row r="128" spans="1:18" x14ac:dyDescent="0.3">
      <c r="A128" s="99"/>
      <c r="B128" s="100" t="s">
        <v>23</v>
      </c>
      <c r="C128" s="100" t="str" cm="1">
        <f t="array" ref="C128">UPPER(INDEX(_xlfn.TEXTSPLIT($D128, "-"), 3))</f>
        <v>IF</v>
      </c>
      <c r="D128" s="100" t="s">
        <v>320</v>
      </c>
      <c r="E128" s="106" t="s">
        <v>24</v>
      </c>
      <c r="F128" s="100" t="s">
        <v>460</v>
      </c>
      <c r="G128" s="100" t="s">
        <v>910</v>
      </c>
      <c r="H128" s="100" t="s">
        <v>179</v>
      </c>
      <c r="I128" s="100">
        <v>1024</v>
      </c>
      <c r="J128" s="100" t="s">
        <v>911</v>
      </c>
      <c r="K128" s="100" t="s">
        <v>179</v>
      </c>
      <c r="L128" s="100">
        <v>1024</v>
      </c>
      <c r="M128" s="100">
        <v>1</v>
      </c>
      <c r="N128" s="100" t="s">
        <v>191</v>
      </c>
      <c r="O128" s="100" t="s">
        <v>236</v>
      </c>
      <c r="P128" s="100" t="s">
        <v>887</v>
      </c>
      <c r="Q128" s="100" t="b">
        <v>1</v>
      </c>
      <c r="R128" s="100"/>
    </row>
    <row r="129" spans="1:18" x14ac:dyDescent="0.3">
      <c r="A129" s="99"/>
      <c r="B129" s="100" t="s">
        <v>23</v>
      </c>
      <c r="C129" s="100" t="str" cm="1">
        <f t="array" ref="C129">UPPER(INDEX(_xlfn.TEXTSPLIT($D129, "-"), 3))</f>
        <v>IF</v>
      </c>
      <c r="D129" s="100" t="s">
        <v>320</v>
      </c>
      <c r="E129" s="106" t="s">
        <v>24</v>
      </c>
      <c r="F129" s="100" t="s">
        <v>460</v>
      </c>
      <c r="G129" s="100" t="s">
        <v>914</v>
      </c>
      <c r="H129" s="100" t="s">
        <v>179</v>
      </c>
      <c r="I129" s="100">
        <v>1024</v>
      </c>
      <c r="J129" s="100" t="s">
        <v>912</v>
      </c>
      <c r="K129" s="100" t="s">
        <v>179</v>
      </c>
      <c r="L129" s="100">
        <v>1024</v>
      </c>
      <c r="M129" s="100">
        <v>1</v>
      </c>
      <c r="N129" s="100" t="s">
        <v>191</v>
      </c>
      <c r="O129" s="100" t="s">
        <v>236</v>
      </c>
      <c r="P129" s="100" t="s">
        <v>887</v>
      </c>
      <c r="Q129" s="100" t="b">
        <v>1</v>
      </c>
      <c r="R129" s="100"/>
    </row>
    <row r="130" spans="1:18" x14ac:dyDescent="0.3">
      <c r="A130" s="99"/>
      <c r="B130" s="100" t="s">
        <v>23</v>
      </c>
      <c r="C130" s="100" t="str" cm="1">
        <f t="array" ref="C130">UPPER(INDEX(_xlfn.TEXTSPLIT($D130, "-"), 3))</f>
        <v>IF</v>
      </c>
      <c r="D130" s="100" t="s">
        <v>320</v>
      </c>
      <c r="E130" s="106" t="s">
        <v>24</v>
      </c>
      <c r="F130" s="100" t="s">
        <v>460</v>
      </c>
      <c r="G130" s="100" t="s">
        <v>915</v>
      </c>
      <c r="H130" s="100" t="s">
        <v>179</v>
      </c>
      <c r="I130" s="100">
        <v>1024</v>
      </c>
      <c r="J130" s="100" t="s">
        <v>913</v>
      </c>
      <c r="K130" s="100" t="s">
        <v>179</v>
      </c>
      <c r="L130" s="100">
        <v>1024</v>
      </c>
      <c r="M130" s="100">
        <v>1</v>
      </c>
      <c r="N130" s="100" t="s">
        <v>191</v>
      </c>
      <c r="O130" s="100" t="s">
        <v>236</v>
      </c>
      <c r="P130" s="100" t="s">
        <v>887</v>
      </c>
      <c r="Q130" s="100" t="b">
        <v>1</v>
      </c>
      <c r="R130" s="100"/>
    </row>
    <row r="131" spans="1:18" x14ac:dyDescent="0.3">
      <c r="A131" s="99"/>
      <c r="B131" s="100" t="s">
        <v>23</v>
      </c>
      <c r="C131" s="100" t="str" cm="1">
        <f t="array" ref="C131">UPPER(INDEX(_xlfn.TEXTSPLIT($D131, "-"), 3))</f>
        <v>IF</v>
      </c>
      <c r="D131" s="100" t="s">
        <v>320</v>
      </c>
      <c r="E131" s="106" t="s">
        <v>24</v>
      </c>
      <c r="F131" s="100" t="s">
        <v>460</v>
      </c>
      <c r="G131" s="100" t="s">
        <v>916</v>
      </c>
      <c r="H131" s="100" t="s">
        <v>179</v>
      </c>
      <c r="I131" s="100">
        <v>1024</v>
      </c>
      <c r="J131" s="100" t="s">
        <v>917</v>
      </c>
      <c r="K131" s="100" t="s">
        <v>179</v>
      </c>
      <c r="L131" s="100">
        <v>1024</v>
      </c>
      <c r="M131" s="100">
        <v>1</v>
      </c>
      <c r="N131" s="100" t="s">
        <v>191</v>
      </c>
      <c r="O131" s="100" t="s">
        <v>236</v>
      </c>
      <c r="P131" s="100" t="s">
        <v>887</v>
      </c>
      <c r="Q131" s="100" t="b">
        <v>1</v>
      </c>
      <c r="R131" s="100"/>
    </row>
    <row r="132" spans="1:18" x14ac:dyDescent="0.3">
      <c r="A132" s="99"/>
      <c r="B132" s="100" t="s">
        <v>23</v>
      </c>
      <c r="C132" s="100" t="str" cm="1">
        <f t="array" ref="C132">UPPER(INDEX(_xlfn.TEXTSPLIT($D132, "-"), 3))</f>
        <v>IF</v>
      </c>
      <c r="D132" s="100" t="s">
        <v>320</v>
      </c>
      <c r="E132" s="106" t="s">
        <v>24</v>
      </c>
      <c r="F132" s="100" t="s">
        <v>460</v>
      </c>
      <c r="G132" s="100" t="s">
        <v>844</v>
      </c>
      <c r="H132" s="100" t="s">
        <v>179</v>
      </c>
      <c r="I132" s="100">
        <v>128</v>
      </c>
      <c r="J132" s="100" t="s">
        <v>225</v>
      </c>
      <c r="K132" s="100" t="s">
        <v>225</v>
      </c>
      <c r="L132" s="100" t="s">
        <v>225</v>
      </c>
      <c r="M132" s="100">
        <v>1</v>
      </c>
      <c r="N132" s="100" t="s">
        <v>191</v>
      </c>
      <c r="O132" s="100" t="s">
        <v>236</v>
      </c>
      <c r="P132" s="100" t="s">
        <v>887</v>
      </c>
      <c r="Q132" s="100" t="b">
        <v>1</v>
      </c>
      <c r="R132" s="100"/>
    </row>
    <row r="133" spans="1:18" x14ac:dyDescent="0.3">
      <c r="A133" s="99"/>
      <c r="B133" s="73" t="s">
        <v>23</v>
      </c>
      <c r="C133" s="73" t="str" cm="1">
        <f t="array" ref="C133">UPPER(INDEX(_xlfn.TEXTSPLIT($D133, "-"), 3))</f>
        <v>CS</v>
      </c>
      <c r="D133" s="78" t="s">
        <v>316</v>
      </c>
      <c r="E133" s="85" t="s">
        <v>24</v>
      </c>
      <c r="F133" s="73" t="s">
        <v>463</v>
      </c>
      <c r="G133" s="73" t="s">
        <v>845</v>
      </c>
      <c r="H133" s="73" t="s">
        <v>179</v>
      </c>
      <c r="I133" s="73">
        <v>128</v>
      </c>
      <c r="J133" s="73" t="s">
        <v>846</v>
      </c>
      <c r="K133" s="73" t="s">
        <v>179</v>
      </c>
      <c r="L133" s="73">
        <v>128</v>
      </c>
      <c r="M133" s="78">
        <v>1</v>
      </c>
      <c r="N133" s="73" t="s">
        <v>191</v>
      </c>
      <c r="O133" s="73" t="s">
        <v>236</v>
      </c>
      <c r="P133" s="73" t="s">
        <v>887</v>
      </c>
      <c r="Q133" s="73" t="b">
        <v>1</v>
      </c>
      <c r="R133" s="73"/>
    </row>
    <row r="134" spans="1:18" x14ac:dyDescent="0.3">
      <c r="A134" s="99"/>
      <c r="B134" s="74" t="s">
        <v>23</v>
      </c>
      <c r="C134" s="74" t="str" cm="1">
        <f t="array" ref="C134">UPPER(INDEX(_xlfn.TEXTSPLIT($D134, "-"), 3))</f>
        <v>CS</v>
      </c>
      <c r="D134" s="80" t="s">
        <v>316</v>
      </c>
      <c r="E134" s="86" t="s">
        <v>24</v>
      </c>
      <c r="F134" s="74" t="s">
        <v>464</v>
      </c>
      <c r="G134" s="74" t="s">
        <v>847</v>
      </c>
      <c r="H134" s="74" t="s">
        <v>179</v>
      </c>
      <c r="I134" s="74">
        <v>128</v>
      </c>
      <c r="J134" s="74" t="s">
        <v>848</v>
      </c>
      <c r="K134" s="74" t="s">
        <v>179</v>
      </c>
      <c r="L134" s="74">
        <v>128</v>
      </c>
      <c r="M134" s="80">
        <v>2</v>
      </c>
      <c r="N134" s="74" t="s">
        <v>191</v>
      </c>
      <c r="O134" s="74" t="s">
        <v>236</v>
      </c>
      <c r="P134" s="74" t="s">
        <v>887</v>
      </c>
      <c r="Q134" s="74" t="b">
        <v>1</v>
      </c>
      <c r="R134" s="74"/>
    </row>
    <row r="135" spans="1:18" x14ac:dyDescent="0.3">
      <c r="A135" s="99"/>
      <c r="B135" s="73" t="s">
        <v>23</v>
      </c>
      <c r="C135" s="73" t="str" cm="1">
        <f t="array" ref="C135">UPPER(INDEX(_xlfn.TEXTSPLIT($D135, "-"), 3))</f>
        <v>CS</v>
      </c>
      <c r="D135" s="78" t="s">
        <v>316</v>
      </c>
      <c r="E135" s="85" t="s">
        <v>24</v>
      </c>
      <c r="F135" s="73" t="s">
        <v>465</v>
      </c>
      <c r="G135" s="73" t="s">
        <v>849</v>
      </c>
      <c r="H135" s="73" t="s">
        <v>179</v>
      </c>
      <c r="I135" s="73">
        <v>128</v>
      </c>
      <c r="J135" s="73" t="s">
        <v>850</v>
      </c>
      <c r="K135" s="73" t="s">
        <v>179</v>
      </c>
      <c r="L135" s="73">
        <v>128</v>
      </c>
      <c r="M135" s="78">
        <v>1</v>
      </c>
      <c r="N135" s="73" t="s">
        <v>191</v>
      </c>
      <c r="O135" s="73" t="s">
        <v>236</v>
      </c>
      <c r="P135" s="73" t="s">
        <v>887</v>
      </c>
      <c r="Q135" s="73" t="b">
        <v>1</v>
      </c>
      <c r="R135" s="73"/>
    </row>
    <row r="136" spans="1:18" x14ac:dyDescent="0.3">
      <c r="A136" s="99"/>
      <c r="B136" s="74" t="s">
        <v>23</v>
      </c>
      <c r="C136" s="74" t="str" cm="1">
        <f t="array" ref="C136">UPPER(INDEX(_xlfn.TEXTSPLIT($D136, "-"), 3))</f>
        <v>CS</v>
      </c>
      <c r="D136" s="80" t="s">
        <v>316</v>
      </c>
      <c r="E136" s="86" t="s">
        <v>24</v>
      </c>
      <c r="F136" s="74" t="s">
        <v>466</v>
      </c>
      <c r="G136" s="74" t="s">
        <v>851</v>
      </c>
      <c r="H136" s="74" t="s">
        <v>179</v>
      </c>
      <c r="I136" s="74">
        <v>128</v>
      </c>
      <c r="J136" s="74" t="s">
        <v>852</v>
      </c>
      <c r="K136" s="74" t="s">
        <v>179</v>
      </c>
      <c r="L136" s="74">
        <v>128</v>
      </c>
      <c r="M136" s="80">
        <v>2</v>
      </c>
      <c r="N136" s="74" t="s">
        <v>191</v>
      </c>
      <c r="O136" s="74" t="s">
        <v>236</v>
      </c>
      <c r="P136" s="74" t="s">
        <v>887</v>
      </c>
      <c r="Q136" s="74" t="b">
        <v>1</v>
      </c>
      <c r="R136" s="74"/>
    </row>
    <row r="137" spans="1:18" x14ac:dyDescent="0.3">
      <c r="A137" s="99"/>
      <c r="B137" s="73" t="s">
        <v>23</v>
      </c>
      <c r="C137" s="73" t="str" cm="1">
        <f t="array" ref="C137">UPPER(INDEX(_xlfn.TEXTSPLIT($D137, "-"), 3))</f>
        <v>CS</v>
      </c>
      <c r="D137" s="78" t="s">
        <v>316</v>
      </c>
      <c r="E137" s="85" t="s">
        <v>24</v>
      </c>
      <c r="F137" s="73" t="s">
        <v>467</v>
      </c>
      <c r="G137" s="73" t="s">
        <v>853</v>
      </c>
      <c r="H137" s="73" t="s">
        <v>179</v>
      </c>
      <c r="I137" s="73">
        <v>128</v>
      </c>
      <c r="J137" s="73" t="s">
        <v>854</v>
      </c>
      <c r="K137" s="73" t="s">
        <v>179</v>
      </c>
      <c r="L137" s="73">
        <v>128</v>
      </c>
      <c r="M137" s="78">
        <v>1</v>
      </c>
      <c r="N137" s="73" t="s">
        <v>191</v>
      </c>
      <c r="O137" s="73" t="s">
        <v>236</v>
      </c>
      <c r="P137" s="73" t="s">
        <v>887</v>
      </c>
      <c r="Q137" s="73" t="b">
        <v>1</v>
      </c>
      <c r="R137" s="73"/>
    </row>
    <row r="138" spans="1:18" x14ac:dyDescent="0.3">
      <c r="A138" s="99"/>
      <c r="B138" s="74" t="s">
        <v>23</v>
      </c>
      <c r="C138" s="74" t="str" cm="1">
        <f t="array" ref="C138">UPPER(INDEX(_xlfn.TEXTSPLIT($D138, "-"), 3))</f>
        <v>CS</v>
      </c>
      <c r="D138" s="80" t="s">
        <v>316</v>
      </c>
      <c r="E138" s="86" t="s">
        <v>24</v>
      </c>
      <c r="F138" s="74" t="s">
        <v>468</v>
      </c>
      <c r="G138" s="74" t="s">
        <v>855</v>
      </c>
      <c r="H138" s="74" t="s">
        <v>179</v>
      </c>
      <c r="I138" s="74">
        <v>128</v>
      </c>
      <c r="J138" s="74" t="s">
        <v>856</v>
      </c>
      <c r="K138" s="74" t="s">
        <v>179</v>
      </c>
      <c r="L138" s="74">
        <v>128</v>
      </c>
      <c r="M138" s="80">
        <v>2</v>
      </c>
      <c r="N138" s="74" t="s">
        <v>191</v>
      </c>
      <c r="O138" s="74" t="s">
        <v>236</v>
      </c>
      <c r="P138" s="74" t="s">
        <v>887</v>
      </c>
      <c r="Q138" s="74" t="b">
        <v>1</v>
      </c>
      <c r="R138" s="74"/>
    </row>
    <row r="139" spans="1:18" x14ac:dyDescent="0.3">
      <c r="A139" s="99"/>
      <c r="B139" s="73" t="s">
        <v>23</v>
      </c>
      <c r="C139" s="73" t="str" cm="1">
        <f t="array" ref="C139">UPPER(INDEX(_xlfn.TEXTSPLIT($D139, "-"), 3))</f>
        <v>DOIP</v>
      </c>
      <c r="D139" s="78" t="s">
        <v>318</v>
      </c>
      <c r="E139" s="85" t="s">
        <v>24</v>
      </c>
      <c r="F139" s="73" t="s">
        <v>469</v>
      </c>
      <c r="G139" s="73" t="s">
        <v>857</v>
      </c>
      <c r="H139" s="73" t="s">
        <v>179</v>
      </c>
      <c r="I139" s="73">
        <v>128</v>
      </c>
      <c r="J139" s="73" t="s">
        <v>858</v>
      </c>
      <c r="K139" s="73" t="s">
        <v>179</v>
      </c>
      <c r="L139" s="73">
        <v>128</v>
      </c>
      <c r="M139" s="78">
        <v>1</v>
      </c>
      <c r="N139" s="73" t="s">
        <v>191</v>
      </c>
      <c r="O139" s="73" t="s">
        <v>236</v>
      </c>
      <c r="P139" s="73" t="s">
        <v>887</v>
      </c>
      <c r="Q139" s="73" t="b">
        <v>1</v>
      </c>
      <c r="R139" s="73"/>
    </row>
    <row r="140" spans="1:18" x14ac:dyDescent="0.3">
      <c r="A140" s="99"/>
      <c r="B140" s="74" t="s">
        <v>23</v>
      </c>
      <c r="C140" s="74" t="str" cm="1">
        <f t="array" ref="C140">UPPER(INDEX(_xlfn.TEXTSPLIT($D140, "-"), 3))</f>
        <v>DOIP</v>
      </c>
      <c r="D140" s="80" t="s">
        <v>318</v>
      </c>
      <c r="E140" s="86" t="s">
        <v>24</v>
      </c>
      <c r="F140" s="74" t="s">
        <v>470</v>
      </c>
      <c r="G140" s="74" t="s">
        <v>859</v>
      </c>
      <c r="H140" s="74" t="s">
        <v>179</v>
      </c>
      <c r="I140" s="74">
        <v>128</v>
      </c>
      <c r="J140" s="74" t="s">
        <v>860</v>
      </c>
      <c r="K140" s="74" t="s">
        <v>179</v>
      </c>
      <c r="L140" s="74">
        <v>128</v>
      </c>
      <c r="M140" s="80">
        <v>2</v>
      </c>
      <c r="N140" s="74" t="s">
        <v>191</v>
      </c>
      <c r="O140" s="74" t="s">
        <v>236</v>
      </c>
      <c r="P140" s="74" t="s">
        <v>887</v>
      </c>
      <c r="Q140" s="74" t="b">
        <v>1</v>
      </c>
      <c r="R140" s="74"/>
    </row>
    <row r="141" spans="1:18" x14ac:dyDescent="0.3">
      <c r="A141" s="99"/>
      <c r="B141" s="73" t="s">
        <v>23</v>
      </c>
      <c r="C141" s="73" t="str" cm="1">
        <f t="array" ref="C141">UPPER(INDEX(_xlfn.TEXTSPLIT($D141, "-"), 3))</f>
        <v>DOIP</v>
      </c>
      <c r="D141" s="78" t="s">
        <v>318</v>
      </c>
      <c r="E141" s="85" t="s">
        <v>24</v>
      </c>
      <c r="F141" s="73" t="s">
        <v>471</v>
      </c>
      <c r="G141" s="73" t="s">
        <v>861</v>
      </c>
      <c r="H141" s="73" t="s">
        <v>179</v>
      </c>
      <c r="I141" s="73">
        <v>128</v>
      </c>
      <c r="J141" s="73" t="s">
        <v>862</v>
      </c>
      <c r="K141" s="73" t="s">
        <v>179</v>
      </c>
      <c r="L141" s="73">
        <v>128</v>
      </c>
      <c r="M141" s="78">
        <v>1</v>
      </c>
      <c r="N141" s="73" t="s">
        <v>191</v>
      </c>
      <c r="O141" s="73" t="s">
        <v>236</v>
      </c>
      <c r="P141" s="73" t="s">
        <v>887</v>
      </c>
      <c r="Q141" s="73" t="b">
        <v>1</v>
      </c>
      <c r="R141" s="73"/>
    </row>
    <row r="142" spans="1:18" x14ac:dyDescent="0.3">
      <c r="A142" s="99"/>
      <c r="B142" s="74" t="s">
        <v>23</v>
      </c>
      <c r="C142" s="74" t="str" cm="1">
        <f t="array" ref="C142">UPPER(INDEX(_xlfn.TEXTSPLIT($D142, "-"), 3))</f>
        <v>DOIP</v>
      </c>
      <c r="D142" s="80" t="s">
        <v>318</v>
      </c>
      <c r="E142" s="86" t="s">
        <v>24</v>
      </c>
      <c r="F142" s="74" t="s">
        <v>472</v>
      </c>
      <c r="G142" s="74" t="s">
        <v>863</v>
      </c>
      <c r="H142" s="74" t="s">
        <v>179</v>
      </c>
      <c r="I142" s="74">
        <v>128</v>
      </c>
      <c r="J142" s="74" t="s">
        <v>864</v>
      </c>
      <c r="K142" s="74" t="s">
        <v>179</v>
      </c>
      <c r="L142" s="74">
        <v>128</v>
      </c>
      <c r="M142" s="80">
        <v>2</v>
      </c>
      <c r="N142" s="74" t="s">
        <v>191</v>
      </c>
      <c r="O142" s="74" t="s">
        <v>236</v>
      </c>
      <c r="P142" s="74" t="s">
        <v>887</v>
      </c>
      <c r="Q142" s="74" t="b">
        <v>1</v>
      </c>
      <c r="R142" s="74"/>
    </row>
    <row r="143" spans="1:18" x14ac:dyDescent="0.3">
      <c r="A143" s="99"/>
      <c r="B143" s="73" t="s">
        <v>23</v>
      </c>
      <c r="C143" s="73" t="str" cm="1">
        <f t="array" ref="C143">UPPER(INDEX(_xlfn.TEXTSPLIT($D143, "-"), 3))</f>
        <v>DOIP</v>
      </c>
      <c r="D143" s="78" t="s">
        <v>318</v>
      </c>
      <c r="E143" s="85" t="s">
        <v>24</v>
      </c>
      <c r="F143" s="73" t="s">
        <v>473</v>
      </c>
      <c r="G143" s="73" t="s">
        <v>865</v>
      </c>
      <c r="H143" s="73" t="s">
        <v>179</v>
      </c>
      <c r="I143" s="73">
        <v>128</v>
      </c>
      <c r="J143" s="73" t="s">
        <v>866</v>
      </c>
      <c r="K143" s="73" t="s">
        <v>179</v>
      </c>
      <c r="L143" s="73">
        <v>128</v>
      </c>
      <c r="M143" s="78">
        <v>1</v>
      </c>
      <c r="N143" s="73" t="s">
        <v>191</v>
      </c>
      <c r="O143" s="73" t="s">
        <v>236</v>
      </c>
      <c r="P143" s="73" t="s">
        <v>887</v>
      </c>
      <c r="Q143" s="73" t="b">
        <v>1</v>
      </c>
      <c r="R143" s="73"/>
    </row>
    <row r="144" spans="1:18" x14ac:dyDescent="0.3">
      <c r="A144" s="99"/>
      <c r="B144" s="74" t="s">
        <v>23</v>
      </c>
      <c r="C144" s="74" t="str" cm="1">
        <f t="array" ref="C144">UPPER(INDEX(_xlfn.TEXTSPLIT($D144, "-"), 3))</f>
        <v>DOIP</v>
      </c>
      <c r="D144" s="80" t="s">
        <v>318</v>
      </c>
      <c r="E144" s="86" t="s">
        <v>24</v>
      </c>
      <c r="F144" s="74" t="s">
        <v>474</v>
      </c>
      <c r="G144" s="74" t="s">
        <v>867</v>
      </c>
      <c r="H144" s="74" t="s">
        <v>179</v>
      </c>
      <c r="I144" s="74">
        <v>128</v>
      </c>
      <c r="J144" s="74" t="s">
        <v>868</v>
      </c>
      <c r="K144" s="74" t="s">
        <v>179</v>
      </c>
      <c r="L144" s="74">
        <v>128</v>
      </c>
      <c r="M144" s="80">
        <v>2</v>
      </c>
      <c r="N144" s="74" t="s">
        <v>191</v>
      </c>
      <c r="O144" s="74" t="s">
        <v>236</v>
      </c>
      <c r="P144" s="74" t="s">
        <v>887</v>
      </c>
      <c r="Q144" s="74" t="b">
        <v>1</v>
      </c>
      <c r="R144" s="74"/>
    </row>
    <row r="145" spans="1:18" x14ac:dyDescent="0.3">
      <c r="A145" s="99"/>
      <c r="B145" s="73" t="s">
        <v>23</v>
      </c>
      <c r="C145" s="73" t="str" cm="1">
        <f t="array" ref="C145">UPPER(INDEX(_xlfn.TEXTSPLIT($D145, "-"), 3))</f>
        <v>BDP</v>
      </c>
      <c r="D145" s="78" t="s">
        <v>321</v>
      </c>
      <c r="E145" s="85" t="s">
        <v>24</v>
      </c>
      <c r="F145" s="73" t="s">
        <v>475</v>
      </c>
      <c r="G145" s="73" t="s">
        <v>869</v>
      </c>
      <c r="H145" s="73" t="s">
        <v>179</v>
      </c>
      <c r="I145" s="73">
        <v>128</v>
      </c>
      <c r="J145" s="73" t="s">
        <v>870</v>
      </c>
      <c r="K145" s="73" t="s">
        <v>179</v>
      </c>
      <c r="L145" s="73">
        <v>128</v>
      </c>
      <c r="M145" s="78">
        <v>1</v>
      </c>
      <c r="N145" s="73" t="s">
        <v>191</v>
      </c>
      <c r="O145" s="73" t="s">
        <v>236</v>
      </c>
      <c r="P145" s="73" t="s">
        <v>887</v>
      </c>
      <c r="Q145" s="73" t="b">
        <v>1</v>
      </c>
      <c r="R145" s="73"/>
    </row>
    <row r="146" spans="1:18" x14ac:dyDescent="0.3">
      <c r="A146" s="99"/>
      <c r="B146" s="74" t="s">
        <v>23</v>
      </c>
      <c r="C146" s="74" t="str" cm="1">
        <f t="array" ref="C146">UPPER(INDEX(_xlfn.TEXTSPLIT($D146, "-"), 3))</f>
        <v>BDP</v>
      </c>
      <c r="D146" s="80" t="s">
        <v>321</v>
      </c>
      <c r="E146" s="86" t="s">
        <v>24</v>
      </c>
      <c r="F146" s="74" t="s">
        <v>476</v>
      </c>
      <c r="G146" s="74" t="s">
        <v>871</v>
      </c>
      <c r="H146" s="74" t="s">
        <v>179</v>
      </c>
      <c r="I146" s="74">
        <v>128</v>
      </c>
      <c r="J146" s="74" t="s">
        <v>872</v>
      </c>
      <c r="K146" s="74" t="s">
        <v>179</v>
      </c>
      <c r="L146" s="74">
        <v>128</v>
      </c>
      <c r="M146" s="80">
        <v>2</v>
      </c>
      <c r="N146" s="74" t="s">
        <v>191</v>
      </c>
      <c r="O146" s="74" t="s">
        <v>236</v>
      </c>
      <c r="P146" s="74" t="s">
        <v>887</v>
      </c>
      <c r="Q146" s="74" t="b">
        <v>1</v>
      </c>
      <c r="R146" s="74"/>
    </row>
    <row r="147" spans="1:18" x14ac:dyDescent="0.3">
      <c r="A147" s="99"/>
      <c r="B147" s="73" t="s">
        <v>23</v>
      </c>
      <c r="C147" s="73" t="str" cm="1">
        <f t="array" ref="C147">UPPER(INDEX(_xlfn.TEXTSPLIT($D147, "-"), 3))</f>
        <v>BDP</v>
      </c>
      <c r="D147" s="78" t="s">
        <v>321</v>
      </c>
      <c r="E147" s="85" t="s">
        <v>24</v>
      </c>
      <c r="F147" s="73" t="s">
        <v>477</v>
      </c>
      <c r="G147" s="73" t="s">
        <v>873</v>
      </c>
      <c r="H147" s="73" t="s">
        <v>179</v>
      </c>
      <c r="I147" s="73">
        <v>128</v>
      </c>
      <c r="J147" s="73" t="s">
        <v>874</v>
      </c>
      <c r="K147" s="73" t="s">
        <v>179</v>
      </c>
      <c r="L147" s="73">
        <v>128</v>
      </c>
      <c r="M147" s="78">
        <v>1</v>
      </c>
      <c r="N147" s="73" t="s">
        <v>191</v>
      </c>
      <c r="O147" s="73" t="s">
        <v>236</v>
      </c>
      <c r="P147" s="73" t="s">
        <v>887</v>
      </c>
      <c r="Q147" s="73" t="b">
        <v>1</v>
      </c>
      <c r="R147" s="73"/>
    </row>
    <row r="148" spans="1:18" x14ac:dyDescent="0.3">
      <c r="A148" s="99"/>
      <c r="B148" s="74" t="s">
        <v>23</v>
      </c>
      <c r="C148" s="74" t="str" cm="1">
        <f t="array" ref="C148">UPPER(INDEX(_xlfn.TEXTSPLIT($D148, "-"), 3))</f>
        <v>BDP</v>
      </c>
      <c r="D148" s="80" t="s">
        <v>321</v>
      </c>
      <c r="E148" s="86" t="s">
        <v>24</v>
      </c>
      <c r="F148" s="74" t="s">
        <v>478</v>
      </c>
      <c r="G148" s="74" t="s">
        <v>875</v>
      </c>
      <c r="H148" s="74" t="s">
        <v>179</v>
      </c>
      <c r="I148" s="74">
        <v>128</v>
      </c>
      <c r="J148" s="74" t="s">
        <v>876</v>
      </c>
      <c r="K148" s="74" t="s">
        <v>179</v>
      </c>
      <c r="L148" s="74">
        <v>128</v>
      </c>
      <c r="M148" s="80">
        <v>2</v>
      </c>
      <c r="N148" s="74" t="s">
        <v>191</v>
      </c>
      <c r="O148" s="74" t="s">
        <v>236</v>
      </c>
      <c r="P148" s="74" t="s">
        <v>887</v>
      </c>
      <c r="Q148" s="74" t="b">
        <v>1</v>
      </c>
      <c r="R148" s="74"/>
    </row>
    <row r="149" spans="1:18" x14ac:dyDescent="0.3">
      <c r="A149" s="99"/>
      <c r="B149" s="73" t="s">
        <v>23</v>
      </c>
      <c r="C149" s="73" t="str" cm="1">
        <f t="array" ref="C149">UPPER(INDEX(_xlfn.TEXTSPLIT($D149, "-"), 3))</f>
        <v>BDP</v>
      </c>
      <c r="D149" s="78" t="s">
        <v>321</v>
      </c>
      <c r="E149" s="85" t="s">
        <v>24</v>
      </c>
      <c r="F149" s="73" t="s">
        <v>479</v>
      </c>
      <c r="G149" s="73" t="s">
        <v>877</v>
      </c>
      <c r="H149" s="73" t="s">
        <v>179</v>
      </c>
      <c r="I149" s="73">
        <v>128</v>
      </c>
      <c r="J149" s="73" t="s">
        <v>878</v>
      </c>
      <c r="K149" s="73" t="s">
        <v>179</v>
      </c>
      <c r="L149" s="73">
        <v>128</v>
      </c>
      <c r="M149" s="78">
        <v>1</v>
      </c>
      <c r="N149" s="73" t="s">
        <v>191</v>
      </c>
      <c r="O149" s="73" t="s">
        <v>236</v>
      </c>
      <c r="P149" s="73" t="s">
        <v>887</v>
      </c>
      <c r="Q149" s="73" t="b">
        <v>1</v>
      </c>
      <c r="R149" s="73"/>
    </row>
    <row r="150" spans="1:18" x14ac:dyDescent="0.3">
      <c r="A150" s="99"/>
      <c r="B150" s="74" t="s">
        <v>23</v>
      </c>
      <c r="C150" s="74" t="str" cm="1">
        <f t="array" ref="C150">UPPER(INDEX(_xlfn.TEXTSPLIT($D150, "-"), 3))</f>
        <v>BDP</v>
      </c>
      <c r="D150" s="80" t="s">
        <v>321</v>
      </c>
      <c r="E150" s="86" t="s">
        <v>24</v>
      </c>
      <c r="F150" s="74" t="s">
        <v>480</v>
      </c>
      <c r="G150" s="74" t="s">
        <v>879</v>
      </c>
      <c r="H150" s="74" t="s">
        <v>179</v>
      </c>
      <c r="I150" s="74">
        <v>128</v>
      </c>
      <c r="J150" s="74" t="s">
        <v>880</v>
      </c>
      <c r="K150" s="74" t="s">
        <v>179</v>
      </c>
      <c r="L150" s="74">
        <v>128</v>
      </c>
      <c r="M150" s="80">
        <v>2</v>
      </c>
      <c r="N150" s="74" t="s">
        <v>191</v>
      </c>
      <c r="O150" s="74" t="s">
        <v>236</v>
      </c>
      <c r="P150" s="74" t="s">
        <v>887</v>
      </c>
      <c r="Q150" s="74" t="b">
        <v>1</v>
      </c>
      <c r="R150" s="74"/>
    </row>
    <row r="151" spans="1:18" x14ac:dyDescent="0.3">
      <c r="A151" s="99"/>
      <c r="B151" s="73" t="s">
        <v>23</v>
      </c>
      <c r="C151" s="73" t="str" cm="1">
        <f t="array" ref="C151">UPPER(INDEX(_xlfn.TEXTSPLIT($D151, "-"), 3))</f>
        <v>BDP</v>
      </c>
      <c r="D151" s="78" t="s">
        <v>321</v>
      </c>
      <c r="E151" s="85" t="s">
        <v>24</v>
      </c>
      <c r="F151" s="73" t="s">
        <v>481</v>
      </c>
      <c r="G151" s="73" t="s">
        <v>881</v>
      </c>
      <c r="H151" s="73" t="s">
        <v>179</v>
      </c>
      <c r="I151" s="73">
        <v>128</v>
      </c>
      <c r="J151" s="73" t="s">
        <v>882</v>
      </c>
      <c r="K151" s="73" t="s">
        <v>179</v>
      </c>
      <c r="L151" s="73">
        <v>128</v>
      </c>
      <c r="M151" s="78">
        <v>3</v>
      </c>
      <c r="N151" s="73" t="s">
        <v>191</v>
      </c>
      <c r="O151" s="73" t="s">
        <v>236</v>
      </c>
      <c r="P151" s="73" t="s">
        <v>887</v>
      </c>
      <c r="Q151" s="73" t="b">
        <v>1</v>
      </c>
      <c r="R151" s="73"/>
    </row>
    <row r="152" spans="1:18" x14ac:dyDescent="0.3">
      <c r="A152" s="99"/>
      <c r="B152" s="74" t="s">
        <v>1100</v>
      </c>
      <c r="C152" s="74" t="str" cm="1">
        <f t="array" ref="C152">UPPER(INDEX(_xlfn.TEXTSPLIT($F152, "-"), 3))</f>
        <v>COM</v>
      </c>
      <c r="D152" s="80" t="s">
        <v>231</v>
      </c>
      <c r="E152" s="86" t="s">
        <v>24</v>
      </c>
      <c r="F152" s="74" t="s">
        <v>482</v>
      </c>
      <c r="G152" s="74" t="s">
        <v>883</v>
      </c>
      <c r="H152" s="74" t="s">
        <v>680</v>
      </c>
      <c r="I152" s="74">
        <v>128</v>
      </c>
      <c r="J152" s="74" t="s">
        <v>884</v>
      </c>
      <c r="K152" s="74" t="s">
        <v>179</v>
      </c>
      <c r="L152" s="74">
        <v>128</v>
      </c>
      <c r="M152" s="80">
        <v>1</v>
      </c>
      <c r="N152" s="74" t="s">
        <v>191</v>
      </c>
      <c r="O152" s="74" t="s">
        <v>231</v>
      </c>
      <c r="P152" s="74" t="s">
        <v>232</v>
      </c>
      <c r="Q152" s="74" t="b">
        <v>1</v>
      </c>
      <c r="R152" s="74"/>
    </row>
    <row r="153" spans="1:18" x14ac:dyDescent="0.3">
      <c r="A153" s="99"/>
      <c r="B153" s="73" t="s">
        <v>1100</v>
      </c>
      <c r="C153" s="120" t="str" cm="1">
        <f t="array" ref="C153">UPPER(INDEX(_xlfn.TEXTSPLIT($F153, "-"), 3))</f>
        <v>COM</v>
      </c>
      <c r="D153" s="78" t="s">
        <v>231</v>
      </c>
      <c r="E153" s="85" t="s">
        <v>24</v>
      </c>
      <c r="F153" s="73" t="s">
        <v>483</v>
      </c>
      <c r="G153" s="73" t="s">
        <v>885</v>
      </c>
      <c r="H153" s="73" t="s">
        <v>179</v>
      </c>
      <c r="I153" s="73">
        <v>128</v>
      </c>
      <c r="J153" s="73" t="s">
        <v>886</v>
      </c>
      <c r="K153" s="73" t="s">
        <v>179</v>
      </c>
      <c r="L153" s="73">
        <v>128</v>
      </c>
      <c r="M153" s="78">
        <v>1</v>
      </c>
      <c r="N153" s="73" t="s">
        <v>191</v>
      </c>
      <c r="O153" s="73" t="s">
        <v>231</v>
      </c>
      <c r="P153" s="73" t="s">
        <v>232</v>
      </c>
      <c r="Q153" s="73" t="b">
        <v>1</v>
      </c>
      <c r="R153" s="73"/>
    </row>
    <row r="154" spans="1:18" x14ac:dyDescent="0.3">
      <c r="A154" s="99"/>
      <c r="B154" s="74" t="s">
        <v>1100</v>
      </c>
      <c r="C154" s="74" t="str" cm="1">
        <f t="array" ref="C154">UPPER(INDEX(_xlfn.TEXTSPLIT($F154, "-"), 3))</f>
        <v>SEC</v>
      </c>
      <c r="D154" s="80" t="s">
        <v>1086</v>
      </c>
      <c r="E154" s="86" t="s">
        <v>24</v>
      </c>
      <c r="F154" s="118" t="s">
        <v>1087</v>
      </c>
      <c r="G154" s="74" t="s">
        <v>1096</v>
      </c>
      <c r="H154" s="74" t="s">
        <v>179</v>
      </c>
      <c r="I154" s="74">
        <v>128</v>
      </c>
      <c r="J154" s="74" t="s">
        <v>1097</v>
      </c>
      <c r="K154" s="74" t="s">
        <v>179</v>
      </c>
      <c r="L154" s="74">
        <v>256</v>
      </c>
      <c r="M154" s="80">
        <v>1</v>
      </c>
      <c r="N154" s="74" t="s">
        <v>191</v>
      </c>
      <c r="O154" s="74" t="s">
        <v>1086</v>
      </c>
      <c r="P154" s="74" t="s">
        <v>1095</v>
      </c>
      <c r="Q154" s="74" t="b">
        <v>1</v>
      </c>
      <c r="R154" s="74"/>
    </row>
    <row r="155" spans="1:18" x14ac:dyDescent="0.3">
      <c r="A155" s="99"/>
      <c r="B155" s="120" t="s">
        <v>1100</v>
      </c>
      <c r="C155" s="120" t="str" cm="1">
        <f t="array" ref="C155">UPPER(INDEX(_xlfn.TEXTSPLIT($F155, "-"), 3))</f>
        <v>SEC</v>
      </c>
      <c r="D155" s="121" t="s">
        <v>1086</v>
      </c>
      <c r="E155" s="122" t="s">
        <v>24</v>
      </c>
      <c r="F155" s="120" t="s">
        <v>1088</v>
      </c>
      <c r="G155" s="120" t="s">
        <v>1098</v>
      </c>
      <c r="H155" s="120" t="s">
        <v>179</v>
      </c>
      <c r="I155" s="120">
        <v>128</v>
      </c>
      <c r="J155" s="120" t="s">
        <v>1099</v>
      </c>
      <c r="K155" s="120" t="s">
        <v>179</v>
      </c>
      <c r="L155" s="120">
        <v>256</v>
      </c>
      <c r="M155" s="121">
        <v>1</v>
      </c>
      <c r="N155" s="120" t="s">
        <v>191</v>
      </c>
      <c r="O155" s="120" t="s">
        <v>1086</v>
      </c>
      <c r="P155" s="120" t="s">
        <v>1095</v>
      </c>
      <c r="Q155" s="120" t="b">
        <v>1</v>
      </c>
      <c r="R155" s="120"/>
    </row>
    <row r="156" spans="1:18" x14ac:dyDescent="0.3">
      <c r="B156" s="74" t="s">
        <v>1100</v>
      </c>
      <c r="C156" s="74" t="str" cm="1">
        <f t="array" ref="C156">UPPER(INDEX(_xlfn.TEXTSPLIT($F156, "-"), 3))</f>
        <v>COM</v>
      </c>
      <c r="D156" s="80" t="s">
        <v>231</v>
      </c>
      <c r="E156" s="74" t="s">
        <v>24</v>
      </c>
      <c r="F156" s="74" t="s">
        <v>1101</v>
      </c>
      <c r="G156" s="80" t="s">
        <v>1103</v>
      </c>
      <c r="H156" s="74" t="s">
        <v>179</v>
      </c>
      <c r="I156" s="74">
        <v>1024</v>
      </c>
      <c r="J156" s="80" t="s">
        <v>1104</v>
      </c>
      <c r="K156" s="74" t="s">
        <v>179</v>
      </c>
      <c r="L156" s="74">
        <v>128</v>
      </c>
      <c r="M156" s="80">
        <v>1</v>
      </c>
      <c r="N156" s="74" t="s">
        <v>191</v>
      </c>
      <c r="O156" s="74" t="s">
        <v>231</v>
      </c>
      <c r="P156" s="80" t="s">
        <v>232</v>
      </c>
      <c r="Q156" s="74" t="b">
        <v>1</v>
      </c>
      <c r="R156" s="74"/>
    </row>
  </sheetData>
  <autoFilter ref="B1:R156" xr:uid="{52F281E7-0665-4BB7-80DB-4208A01A998B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F184-7BFC-47CB-AC71-63C76B7E3D12}">
  <sheetPr>
    <tabColor theme="4"/>
  </sheetPr>
  <dimension ref="A1:M161"/>
  <sheetViews>
    <sheetView tabSelected="1" workbookViewId="0">
      <selection activeCell="B1" sqref="B1"/>
    </sheetView>
  </sheetViews>
  <sheetFormatPr defaultRowHeight="16.5" x14ac:dyDescent="0.3"/>
  <cols>
    <col min="1" max="1" width="1.5" customWidth="1"/>
    <col min="2" max="3" width="9" style="75"/>
    <col min="4" max="4" width="17.25" style="75" bestFit="1" customWidth="1"/>
    <col min="5" max="5" width="20.5" style="75" customWidth="1"/>
    <col min="6" max="6" width="13.5" style="75" bestFit="1" customWidth="1"/>
    <col min="7" max="7" width="16.875" style="75" bestFit="1" customWidth="1"/>
    <col min="8" max="8" width="18.5" style="75" bestFit="1" customWidth="1"/>
    <col min="9" max="10" width="18.5" style="75" customWidth="1"/>
    <col min="11" max="11" width="18" style="75" customWidth="1"/>
    <col min="12" max="12" width="9" style="75"/>
  </cols>
  <sheetData>
    <row r="1" spans="1:13" x14ac:dyDescent="0.3">
      <c r="B1" s="89" t="s">
        <v>0</v>
      </c>
      <c r="C1" s="89" t="s">
        <v>1</v>
      </c>
      <c r="D1" s="72" t="s">
        <v>33</v>
      </c>
      <c r="E1" s="72" t="s">
        <v>34</v>
      </c>
      <c r="F1" s="72" t="s">
        <v>91</v>
      </c>
      <c r="G1" s="72" t="s">
        <v>92</v>
      </c>
      <c r="H1" s="72" t="s">
        <v>93</v>
      </c>
      <c r="I1" s="72" t="s">
        <v>181</v>
      </c>
      <c r="J1" s="72" t="s">
        <v>227</v>
      </c>
      <c r="K1" s="72" t="s">
        <v>31</v>
      </c>
      <c r="L1" s="72" t="s">
        <v>36</v>
      </c>
      <c r="M1" s="72" t="s">
        <v>920</v>
      </c>
    </row>
    <row r="2" spans="1:13" x14ac:dyDescent="0.3">
      <c r="A2" s="111"/>
      <c r="B2" s="78" t="s">
        <v>23</v>
      </c>
      <c r="C2" s="78" t="str" cm="1">
        <f t="array" ref="C2">UPPER(INDEX(_xlfn.TEXTSPLIT($E2, "-"), 2))</f>
        <v>DIS</v>
      </c>
      <c r="D2" s="78" t="s">
        <v>323</v>
      </c>
      <c r="E2" s="78" t="str">
        <f>SUBSTITUTE(I2,"hazr-","")&amp;"-nsg"</f>
        <v>p-dis-ap01-nsg</v>
      </c>
      <c r="F2" s="73" t="s">
        <v>323</v>
      </c>
      <c r="G2" s="73" t="s">
        <v>344</v>
      </c>
      <c r="H2" s="73" t="s">
        <v>346</v>
      </c>
      <c r="I2" s="73" t="s">
        <v>345</v>
      </c>
      <c r="J2" s="78" t="s">
        <v>317</v>
      </c>
      <c r="K2" s="73" t="str">
        <f>SUBSTITUTE(I2,"hazr-","")&amp;"-nic"</f>
        <v>p-dis-ap01-nic</v>
      </c>
      <c r="L2" s="79" t="s">
        <v>226</v>
      </c>
      <c r="M2" s="79"/>
    </row>
    <row r="3" spans="1:13" x14ac:dyDescent="0.3">
      <c r="A3" s="111"/>
      <c r="B3" s="80" t="s">
        <v>23</v>
      </c>
      <c r="C3" s="80" t="str" cm="1">
        <f t="array" ref="C3">UPPER(INDEX(_xlfn.TEXTSPLIT($E3, "-"), 2))</f>
        <v>DIS</v>
      </c>
      <c r="D3" s="80" t="s">
        <v>323</v>
      </c>
      <c r="E3" s="80" t="str">
        <f>SUBSTITUTE(I3,"hazr-","")&amp;"-nsg"</f>
        <v>p-dis-ap02-nsg</v>
      </c>
      <c r="F3" s="74" t="s">
        <v>323</v>
      </c>
      <c r="G3" s="74" t="s">
        <v>344</v>
      </c>
      <c r="H3" s="74" t="s">
        <v>346</v>
      </c>
      <c r="I3" s="74" t="s">
        <v>347</v>
      </c>
      <c r="J3" s="80" t="s">
        <v>317</v>
      </c>
      <c r="K3" s="74" t="str">
        <f>SUBSTITUTE(I3,"hazr-","")&amp;"-nic"</f>
        <v>p-dis-ap02-nic</v>
      </c>
      <c r="L3" s="81" t="s">
        <v>226</v>
      </c>
      <c r="M3" s="81"/>
    </row>
    <row r="4" spans="1:13" x14ac:dyDescent="0.3">
      <c r="A4" s="111"/>
      <c r="B4" s="78" t="s">
        <v>23</v>
      </c>
      <c r="C4" s="78" t="str" cm="1">
        <f t="array" ref="C4">UPPER(INDEX(_xlfn.TEXTSPLIT($E4, "-"), 2))</f>
        <v>DIS</v>
      </c>
      <c r="D4" s="78" t="s">
        <v>323</v>
      </c>
      <c r="E4" s="78" t="str">
        <f t="shared" ref="E4:E63" si="0">SUBSTITUTE(I4,"hazr-","")&amp;"-nsg"</f>
        <v>p-dis-adm01-nsg</v>
      </c>
      <c r="F4" s="73" t="s">
        <v>323</v>
      </c>
      <c r="G4" s="73" t="s">
        <v>344</v>
      </c>
      <c r="H4" s="73" t="s">
        <v>346</v>
      </c>
      <c r="I4" s="73" t="s">
        <v>348</v>
      </c>
      <c r="J4" s="78" t="s">
        <v>317</v>
      </c>
      <c r="K4" s="73" t="str">
        <f t="shared" ref="K4:K63" si="1">SUBSTITUTE(I4,"hazr-","")&amp;"-nic"</f>
        <v>p-dis-adm01-nic</v>
      </c>
      <c r="L4" s="79" t="s">
        <v>226</v>
      </c>
      <c r="M4" s="79"/>
    </row>
    <row r="5" spans="1:13" x14ac:dyDescent="0.3">
      <c r="A5" s="90"/>
      <c r="B5" s="80" t="s">
        <v>23</v>
      </c>
      <c r="C5" s="80" t="str" cm="1">
        <f t="array" ref="C5">UPPER(INDEX(_xlfn.TEXTSPLIT($E5, "-"), 2))</f>
        <v>DIS</v>
      </c>
      <c r="D5" s="80" t="s">
        <v>323</v>
      </c>
      <c r="E5" s="80" t="str">
        <f t="shared" si="0"/>
        <v>p-dis-adm02-nsg</v>
      </c>
      <c r="F5" s="74" t="s">
        <v>323</v>
      </c>
      <c r="G5" s="74" t="s">
        <v>344</v>
      </c>
      <c r="H5" s="74" t="s">
        <v>346</v>
      </c>
      <c r="I5" s="74" t="s">
        <v>349</v>
      </c>
      <c r="J5" s="80" t="s">
        <v>317</v>
      </c>
      <c r="K5" s="74" t="str">
        <f t="shared" si="1"/>
        <v>p-dis-adm02-nic</v>
      </c>
      <c r="L5" s="81" t="s">
        <v>226</v>
      </c>
      <c r="M5" s="81"/>
    </row>
    <row r="6" spans="1:13" x14ac:dyDescent="0.3">
      <c r="A6" s="90"/>
      <c r="B6" s="78" t="s">
        <v>23</v>
      </c>
      <c r="C6" s="78" t="str" cm="1">
        <f t="array" ref="C6">UPPER(INDEX(_xlfn.TEXTSPLIT($E6, "-"), 2))</f>
        <v>DIS</v>
      </c>
      <c r="D6" s="78" t="s">
        <v>323</v>
      </c>
      <c r="E6" s="78" t="str">
        <f t="shared" si="0"/>
        <v>p-dis-bbiweb01-nsg</v>
      </c>
      <c r="F6" s="73" t="s">
        <v>323</v>
      </c>
      <c r="G6" s="73" t="s">
        <v>351</v>
      </c>
      <c r="H6" s="73" t="s">
        <v>352</v>
      </c>
      <c r="I6" s="73" t="s">
        <v>350</v>
      </c>
      <c r="J6" s="78" t="s">
        <v>317</v>
      </c>
      <c r="K6" s="73" t="str">
        <f t="shared" si="1"/>
        <v>p-dis-bbiweb01-nic</v>
      </c>
      <c r="L6" s="79" t="s">
        <v>226</v>
      </c>
      <c r="M6" s="79"/>
    </row>
    <row r="7" spans="1:13" x14ac:dyDescent="0.3">
      <c r="A7" s="90"/>
      <c r="B7" s="80" t="s">
        <v>23</v>
      </c>
      <c r="C7" s="80" t="str" cm="1">
        <f t="array" ref="C7">UPPER(INDEX(_xlfn.TEXTSPLIT($E7, "-"), 2))</f>
        <v>DIS</v>
      </c>
      <c r="D7" s="80" t="s">
        <v>323</v>
      </c>
      <c r="E7" s="80" t="str">
        <f t="shared" si="0"/>
        <v>p-dis-bbiweb02-nsg</v>
      </c>
      <c r="F7" s="74" t="s">
        <v>323</v>
      </c>
      <c r="G7" s="74" t="s">
        <v>351</v>
      </c>
      <c r="H7" s="74" t="s">
        <v>352</v>
      </c>
      <c r="I7" s="74" t="s">
        <v>353</v>
      </c>
      <c r="J7" s="80" t="s">
        <v>317</v>
      </c>
      <c r="K7" s="74" t="str">
        <f t="shared" si="1"/>
        <v>p-dis-bbiweb02-nic</v>
      </c>
      <c r="L7" s="81" t="s">
        <v>226</v>
      </c>
      <c r="M7" s="81"/>
    </row>
    <row r="8" spans="1:13" x14ac:dyDescent="0.3">
      <c r="A8" s="90"/>
      <c r="B8" s="78" t="s">
        <v>23</v>
      </c>
      <c r="C8" s="78" t="str" cm="1">
        <f t="array" ref="C8">UPPER(INDEX(_xlfn.TEXTSPLIT($E8, "-"), 2))</f>
        <v>DIS</v>
      </c>
      <c r="D8" s="78" t="s">
        <v>323</v>
      </c>
      <c r="E8" s="78" t="str">
        <f t="shared" si="0"/>
        <v>p-dis-bbicltap01-nsg</v>
      </c>
      <c r="F8" s="73" t="s">
        <v>323</v>
      </c>
      <c r="G8" s="73" t="s">
        <v>344</v>
      </c>
      <c r="H8" s="73" t="s">
        <v>346</v>
      </c>
      <c r="I8" s="73" t="s">
        <v>354</v>
      </c>
      <c r="J8" s="78" t="s">
        <v>317</v>
      </c>
      <c r="K8" s="73" t="str">
        <f t="shared" si="1"/>
        <v>p-dis-bbicltap01-nic</v>
      </c>
      <c r="L8" s="79" t="s">
        <v>226</v>
      </c>
      <c r="M8" s="79"/>
    </row>
    <row r="9" spans="1:13" x14ac:dyDescent="0.3">
      <c r="A9" s="90"/>
      <c r="B9" s="80" t="s">
        <v>23</v>
      </c>
      <c r="C9" s="80" t="str" cm="1">
        <f t="array" ref="C9">UPPER(INDEX(_xlfn.TEXTSPLIT($E9, "-"), 2))</f>
        <v>DIS</v>
      </c>
      <c r="D9" s="80" t="s">
        <v>323</v>
      </c>
      <c r="E9" s="80" t="str">
        <f t="shared" si="0"/>
        <v>p-dis-bbicltap02-nsg</v>
      </c>
      <c r="F9" s="74" t="s">
        <v>323</v>
      </c>
      <c r="G9" s="74" t="s">
        <v>344</v>
      </c>
      <c r="H9" s="74" t="s">
        <v>346</v>
      </c>
      <c r="I9" s="74" t="s">
        <v>355</v>
      </c>
      <c r="J9" s="80" t="s">
        <v>317</v>
      </c>
      <c r="K9" s="74" t="str">
        <f t="shared" si="1"/>
        <v>p-dis-bbicltap02-nic</v>
      </c>
      <c r="L9" s="81" t="s">
        <v>226</v>
      </c>
      <c r="M9" s="81"/>
    </row>
    <row r="10" spans="1:13" x14ac:dyDescent="0.3">
      <c r="A10" s="90"/>
      <c r="B10" s="78" t="s">
        <v>23</v>
      </c>
      <c r="C10" s="78" t="str" cm="1">
        <f t="array" ref="C10">UPPER(INDEX(_xlfn.TEXTSPLIT($E10, "-"), 2))</f>
        <v>DIS</v>
      </c>
      <c r="D10" s="78" t="s">
        <v>323</v>
      </c>
      <c r="E10" s="78" t="str">
        <f t="shared" si="0"/>
        <v>p-dis-bbimsgap01-nsg</v>
      </c>
      <c r="F10" s="73" t="s">
        <v>323</v>
      </c>
      <c r="G10" s="73" t="s">
        <v>344</v>
      </c>
      <c r="H10" s="73" t="s">
        <v>346</v>
      </c>
      <c r="I10" s="73" t="s">
        <v>356</v>
      </c>
      <c r="J10" s="78" t="s">
        <v>317</v>
      </c>
      <c r="K10" s="73" t="str">
        <f t="shared" si="1"/>
        <v>p-dis-bbimsgap01-nic</v>
      </c>
      <c r="L10" s="79" t="s">
        <v>226</v>
      </c>
      <c r="M10" s="79"/>
    </row>
    <row r="11" spans="1:13" x14ac:dyDescent="0.3">
      <c r="A11" s="90"/>
      <c r="B11" s="80" t="s">
        <v>23</v>
      </c>
      <c r="C11" s="80" t="str" cm="1">
        <f t="array" ref="C11">UPPER(INDEX(_xlfn.TEXTSPLIT($E11, "-"), 2))</f>
        <v>DIS</v>
      </c>
      <c r="D11" s="80" t="s">
        <v>323</v>
      </c>
      <c r="E11" s="80" t="str">
        <f t="shared" si="0"/>
        <v>p-dis-bbimsgap02-nsg</v>
      </c>
      <c r="F11" s="74" t="s">
        <v>323</v>
      </c>
      <c r="G11" s="74" t="s">
        <v>344</v>
      </c>
      <c r="H11" s="74" t="s">
        <v>346</v>
      </c>
      <c r="I11" s="74" t="s">
        <v>357</v>
      </c>
      <c r="J11" s="80" t="s">
        <v>317</v>
      </c>
      <c r="K11" s="74" t="str">
        <f t="shared" si="1"/>
        <v>p-dis-bbimsgap02-nic</v>
      </c>
      <c r="L11" s="81" t="s">
        <v>226</v>
      </c>
      <c r="M11" s="81"/>
    </row>
    <row r="12" spans="1:13" x14ac:dyDescent="0.3">
      <c r="A12" s="90"/>
      <c r="B12" s="78" t="s">
        <v>23</v>
      </c>
      <c r="C12" s="78" t="str" cm="1">
        <f t="array" ref="C12">UPPER(INDEX(_xlfn.TEXTSPLIT($E12, "-"), 2))</f>
        <v>DIS</v>
      </c>
      <c r="D12" s="78" t="s">
        <v>323</v>
      </c>
      <c r="E12" s="78" t="str">
        <f t="shared" si="0"/>
        <v>p-dis-bat01-nsg</v>
      </c>
      <c r="F12" s="73" t="s">
        <v>323</v>
      </c>
      <c r="G12" s="73" t="s">
        <v>344</v>
      </c>
      <c r="H12" s="73" t="s">
        <v>346</v>
      </c>
      <c r="I12" s="73" t="s">
        <v>358</v>
      </c>
      <c r="J12" s="78" t="s">
        <v>317</v>
      </c>
      <c r="K12" s="73" t="str">
        <f t="shared" si="1"/>
        <v>p-dis-bat01-nic</v>
      </c>
      <c r="L12" s="79" t="s">
        <v>226</v>
      </c>
      <c r="M12" s="79"/>
    </row>
    <row r="13" spans="1:13" x14ac:dyDescent="0.3">
      <c r="A13" s="90"/>
      <c r="B13" s="80" t="s">
        <v>23</v>
      </c>
      <c r="C13" s="80" t="str" cm="1">
        <f t="array" ref="C13">UPPER(INDEX(_xlfn.TEXTSPLIT($E13, "-"), 2))</f>
        <v>DIS</v>
      </c>
      <c r="D13" s="80" t="s">
        <v>323</v>
      </c>
      <c r="E13" s="80" t="str">
        <f t="shared" si="0"/>
        <v>p-dis-bat02-nsg</v>
      </c>
      <c r="F13" s="74" t="s">
        <v>323</v>
      </c>
      <c r="G13" s="74" t="s">
        <v>344</v>
      </c>
      <c r="H13" s="74" t="s">
        <v>346</v>
      </c>
      <c r="I13" s="74" t="s">
        <v>359</v>
      </c>
      <c r="J13" s="80" t="s">
        <v>317</v>
      </c>
      <c r="K13" s="74" t="str">
        <f t="shared" si="1"/>
        <v>p-dis-bat02-nic</v>
      </c>
      <c r="L13" s="81" t="s">
        <v>226</v>
      </c>
      <c r="M13" s="81"/>
    </row>
    <row r="14" spans="1:13" x14ac:dyDescent="0.3">
      <c r="A14" s="90"/>
      <c r="B14" s="78" t="s">
        <v>23</v>
      </c>
      <c r="C14" s="78" t="str" cm="1">
        <f t="array" ref="C14">UPPER(INDEX(_xlfn.TEXTSPLIT($E14, "-"), 2))</f>
        <v>DIS</v>
      </c>
      <c r="D14" s="78" t="s">
        <v>323</v>
      </c>
      <c r="E14" s="78" t="str">
        <f t="shared" si="0"/>
        <v>p-dis-bat03-nsg</v>
      </c>
      <c r="F14" s="73" t="s">
        <v>323</v>
      </c>
      <c r="G14" s="73" t="s">
        <v>344</v>
      </c>
      <c r="H14" s="73" t="s">
        <v>346</v>
      </c>
      <c r="I14" s="73" t="s">
        <v>360</v>
      </c>
      <c r="J14" s="78" t="s">
        <v>317</v>
      </c>
      <c r="K14" s="73" t="str">
        <f t="shared" si="1"/>
        <v>p-dis-bat03-nic</v>
      </c>
      <c r="L14" s="79" t="s">
        <v>226</v>
      </c>
      <c r="M14" s="79"/>
    </row>
    <row r="15" spans="1:13" x14ac:dyDescent="0.3">
      <c r="A15" s="90"/>
      <c r="B15" s="80" t="s">
        <v>23</v>
      </c>
      <c r="C15" s="80" t="str" cm="1">
        <f t="array" ref="C15">UPPER(INDEX(_xlfn.TEXTSPLIT($E15, "-"), 2))</f>
        <v>DIS</v>
      </c>
      <c r="D15" s="80" t="s">
        <v>323</v>
      </c>
      <c r="E15" s="80" t="str">
        <f t="shared" si="0"/>
        <v>p-dis-drvcltap01-nsg</v>
      </c>
      <c r="F15" s="74" t="s">
        <v>323</v>
      </c>
      <c r="G15" s="74" t="s">
        <v>344</v>
      </c>
      <c r="H15" s="74" t="s">
        <v>346</v>
      </c>
      <c r="I15" s="74" t="s">
        <v>361</v>
      </c>
      <c r="J15" s="80" t="s">
        <v>317</v>
      </c>
      <c r="K15" s="74" t="str">
        <f t="shared" si="1"/>
        <v>p-dis-drvcltap01-nic</v>
      </c>
      <c r="L15" s="81" t="s">
        <v>226</v>
      </c>
      <c r="M15" s="81"/>
    </row>
    <row r="16" spans="1:13" x14ac:dyDescent="0.3">
      <c r="A16" s="90"/>
      <c r="B16" s="78" t="s">
        <v>23</v>
      </c>
      <c r="C16" s="78" t="str" cm="1">
        <f t="array" ref="C16">UPPER(INDEX(_xlfn.TEXTSPLIT($E16, "-"), 2))</f>
        <v>DIS</v>
      </c>
      <c r="D16" s="78" t="s">
        <v>323</v>
      </c>
      <c r="E16" s="78" t="str">
        <f t="shared" si="0"/>
        <v>p-dis-drvcltap02-nsg</v>
      </c>
      <c r="F16" s="73" t="s">
        <v>323</v>
      </c>
      <c r="G16" s="73" t="s">
        <v>344</v>
      </c>
      <c r="H16" s="73" t="s">
        <v>346</v>
      </c>
      <c r="I16" s="73" t="s">
        <v>362</v>
      </c>
      <c r="J16" s="78" t="s">
        <v>317</v>
      </c>
      <c r="K16" s="73" t="str">
        <f t="shared" si="1"/>
        <v>p-dis-drvcltap02-nic</v>
      </c>
      <c r="L16" s="79" t="s">
        <v>226</v>
      </c>
      <c r="M16" s="79"/>
    </row>
    <row r="17" spans="1:13" x14ac:dyDescent="0.3">
      <c r="A17" s="90"/>
      <c r="B17" s="80" t="s">
        <v>23</v>
      </c>
      <c r="C17" s="80" t="str" cm="1">
        <f t="array" ref="C17">UPPER(INDEX(_xlfn.TEXTSPLIT($E17, "-"), 2))</f>
        <v>DIS</v>
      </c>
      <c r="D17" s="80" t="s">
        <v>323</v>
      </c>
      <c r="E17" s="80" t="str">
        <f t="shared" si="0"/>
        <v>p-dis-drvmsgap01-nsg</v>
      </c>
      <c r="F17" s="74" t="s">
        <v>323</v>
      </c>
      <c r="G17" s="74" t="s">
        <v>344</v>
      </c>
      <c r="H17" s="74" t="s">
        <v>346</v>
      </c>
      <c r="I17" s="74" t="s">
        <v>363</v>
      </c>
      <c r="J17" s="80" t="s">
        <v>317</v>
      </c>
      <c r="K17" s="74" t="str">
        <f t="shared" si="1"/>
        <v>p-dis-drvmsgap01-nic</v>
      </c>
      <c r="L17" s="81" t="s">
        <v>226</v>
      </c>
      <c r="M17" s="81"/>
    </row>
    <row r="18" spans="1:13" x14ac:dyDescent="0.3">
      <c r="A18" s="90"/>
      <c r="B18" s="78" t="s">
        <v>23</v>
      </c>
      <c r="C18" s="78" t="str" cm="1">
        <f t="array" ref="C18">UPPER(INDEX(_xlfn.TEXTSPLIT($E18, "-"), 2))</f>
        <v>DIS</v>
      </c>
      <c r="D18" s="78" t="s">
        <v>323</v>
      </c>
      <c r="E18" s="78" t="str">
        <f t="shared" si="0"/>
        <v>p-dis-drvmsgap02-nsg</v>
      </c>
      <c r="F18" s="73" t="s">
        <v>323</v>
      </c>
      <c r="G18" s="73" t="s">
        <v>344</v>
      </c>
      <c r="H18" s="73" t="s">
        <v>346</v>
      </c>
      <c r="I18" s="73" t="s">
        <v>364</v>
      </c>
      <c r="J18" s="78" t="s">
        <v>317</v>
      </c>
      <c r="K18" s="73" t="str">
        <f t="shared" si="1"/>
        <v>p-dis-drvmsgap02-nic</v>
      </c>
      <c r="L18" s="79" t="s">
        <v>226</v>
      </c>
      <c r="M18" s="79"/>
    </row>
    <row r="19" spans="1:13" x14ac:dyDescent="0.3">
      <c r="A19" s="90"/>
      <c r="B19" s="80" t="s">
        <v>23</v>
      </c>
      <c r="C19" s="80" t="str" cm="1">
        <f t="array" ref="C19">UPPER(INDEX(_xlfn.TEXTSPLIT($E19, "-"), 2))</f>
        <v>DIS</v>
      </c>
      <c r="D19" s="80" t="s">
        <v>323</v>
      </c>
      <c r="E19" s="80" t="str">
        <f t="shared" si="0"/>
        <v>p-dis-web01-nsg</v>
      </c>
      <c r="F19" s="74" t="s">
        <v>323</v>
      </c>
      <c r="G19" s="80" t="s">
        <v>238</v>
      </c>
      <c r="H19" s="74" t="s">
        <v>352</v>
      </c>
      <c r="I19" s="74" t="s">
        <v>365</v>
      </c>
      <c r="J19" s="80" t="s">
        <v>317</v>
      </c>
      <c r="K19" s="74" t="str">
        <f t="shared" si="1"/>
        <v>p-dis-web01-nic</v>
      </c>
      <c r="L19" s="81" t="s">
        <v>226</v>
      </c>
      <c r="M19" s="81"/>
    </row>
    <row r="20" spans="1:13" x14ac:dyDescent="0.3">
      <c r="A20" s="90"/>
      <c r="B20" s="78" t="s">
        <v>23</v>
      </c>
      <c r="C20" s="78" t="str" cm="1">
        <f t="array" ref="C20">UPPER(INDEX(_xlfn.TEXTSPLIT($E20, "-"), 2))</f>
        <v>DIS</v>
      </c>
      <c r="D20" s="78" t="s">
        <v>323</v>
      </c>
      <c r="E20" s="78" t="str">
        <f t="shared" si="0"/>
        <v>p-dis-web02-nsg</v>
      </c>
      <c r="F20" s="73" t="s">
        <v>323</v>
      </c>
      <c r="G20" s="78" t="s">
        <v>238</v>
      </c>
      <c r="H20" s="73" t="s">
        <v>352</v>
      </c>
      <c r="I20" s="73" t="s">
        <v>366</v>
      </c>
      <c r="J20" s="78" t="s">
        <v>317</v>
      </c>
      <c r="K20" s="73" t="str">
        <f t="shared" si="1"/>
        <v>p-dis-web02-nic</v>
      </c>
      <c r="L20" s="79" t="s">
        <v>226</v>
      </c>
      <c r="M20" s="79"/>
    </row>
    <row r="21" spans="1:13" x14ac:dyDescent="0.3">
      <c r="A21" s="90"/>
      <c r="B21" s="80" t="s">
        <v>23</v>
      </c>
      <c r="C21" s="80" t="str" cm="1">
        <f t="array" ref="C21">UPPER(INDEX(_xlfn.TEXTSPLIT($E21, "-"), 2))</f>
        <v>DIS</v>
      </c>
      <c r="D21" s="80" t="s">
        <v>323</v>
      </c>
      <c r="E21" s="80" t="str">
        <f t="shared" si="0"/>
        <v>p-dis-web03-nsg</v>
      </c>
      <c r="F21" s="74" t="s">
        <v>323</v>
      </c>
      <c r="G21" s="80" t="s">
        <v>238</v>
      </c>
      <c r="H21" s="74" t="s">
        <v>352</v>
      </c>
      <c r="I21" s="74" t="s">
        <v>367</v>
      </c>
      <c r="J21" s="80" t="s">
        <v>317</v>
      </c>
      <c r="K21" s="74" t="str">
        <f t="shared" si="1"/>
        <v>p-dis-web03-nic</v>
      </c>
      <c r="L21" s="81" t="s">
        <v>226</v>
      </c>
      <c r="M21" s="81"/>
    </row>
    <row r="22" spans="1:13" x14ac:dyDescent="0.3">
      <c r="A22" s="90"/>
      <c r="B22" s="78" t="s">
        <v>23</v>
      </c>
      <c r="C22" s="78" t="str" cm="1">
        <f t="array" ref="C22">UPPER(INDEX(_xlfn.TEXTSPLIT($E22, "-"), 2))</f>
        <v>DIS</v>
      </c>
      <c r="D22" s="78" t="s">
        <v>323</v>
      </c>
      <c r="E22" s="78" t="str">
        <f t="shared" si="0"/>
        <v>p-dis-web04-nsg</v>
      </c>
      <c r="F22" s="73" t="s">
        <v>323</v>
      </c>
      <c r="G22" s="78" t="s">
        <v>238</v>
      </c>
      <c r="H22" s="73" t="s">
        <v>352</v>
      </c>
      <c r="I22" s="73" t="s">
        <v>368</v>
      </c>
      <c r="J22" s="78" t="s">
        <v>317</v>
      </c>
      <c r="K22" s="73" t="str">
        <f t="shared" si="1"/>
        <v>p-dis-web04-nic</v>
      </c>
      <c r="L22" s="79" t="s">
        <v>226</v>
      </c>
      <c r="M22" s="79"/>
    </row>
    <row r="23" spans="1:13" x14ac:dyDescent="0.3">
      <c r="A23" s="90"/>
      <c r="B23" s="80" t="s">
        <v>23</v>
      </c>
      <c r="C23" s="80" t="str" cm="1">
        <f t="array" ref="C23">UPPER(INDEX(_xlfn.TEXTSPLIT($E23, "-"), 2))</f>
        <v>DIS</v>
      </c>
      <c r="D23" s="80" t="s">
        <v>323</v>
      </c>
      <c r="E23" s="80" t="str">
        <f t="shared" si="0"/>
        <v>p-dis-cmsadm01-nsg</v>
      </c>
      <c r="F23" s="74" t="s">
        <v>323</v>
      </c>
      <c r="G23" s="80" t="s">
        <v>237</v>
      </c>
      <c r="H23" s="74" t="s">
        <v>346</v>
      </c>
      <c r="I23" s="74" t="s">
        <v>369</v>
      </c>
      <c r="J23" s="80" t="s">
        <v>317</v>
      </c>
      <c r="K23" s="74" t="str">
        <f t="shared" si="1"/>
        <v>p-dis-cmsadm01-nic</v>
      </c>
      <c r="L23" s="81" t="s">
        <v>226</v>
      </c>
      <c r="M23" s="81"/>
    </row>
    <row r="24" spans="1:13" x14ac:dyDescent="0.3">
      <c r="A24" s="90"/>
      <c r="B24" s="78" t="s">
        <v>23</v>
      </c>
      <c r="C24" s="78" t="str" cm="1">
        <f t="array" ref="C24">UPPER(INDEX(_xlfn.TEXTSPLIT($E24, "-"), 2))</f>
        <v>DIS</v>
      </c>
      <c r="D24" s="78" t="s">
        <v>323</v>
      </c>
      <c r="E24" s="78" t="str">
        <f t="shared" si="0"/>
        <v>p-dis-cmsadm02-nsg</v>
      </c>
      <c r="F24" s="73" t="s">
        <v>323</v>
      </c>
      <c r="G24" s="78" t="s">
        <v>237</v>
      </c>
      <c r="H24" s="73" t="s">
        <v>346</v>
      </c>
      <c r="I24" s="73" t="s">
        <v>370</v>
      </c>
      <c r="J24" s="78" t="s">
        <v>317</v>
      </c>
      <c r="K24" s="73" t="str">
        <f t="shared" si="1"/>
        <v>p-dis-cmsadm02-nic</v>
      </c>
      <c r="L24" s="79" t="s">
        <v>226</v>
      </c>
      <c r="M24" s="79"/>
    </row>
    <row r="25" spans="1:13" x14ac:dyDescent="0.3">
      <c r="A25" s="90"/>
      <c r="B25" s="80" t="s">
        <v>23</v>
      </c>
      <c r="C25" s="80" t="str" cm="1">
        <f t="array" ref="C25">UPPER(INDEX(_xlfn.TEXTSPLIT($E25, "-"), 2))</f>
        <v>DIS</v>
      </c>
      <c r="D25" s="80" t="s">
        <v>323</v>
      </c>
      <c r="E25" s="80" t="str">
        <f t="shared" si="0"/>
        <v>p-dis-cmsap01-nsg</v>
      </c>
      <c r="F25" s="74" t="s">
        <v>323</v>
      </c>
      <c r="G25" s="80" t="s">
        <v>238</v>
      </c>
      <c r="H25" s="74" t="s">
        <v>346</v>
      </c>
      <c r="I25" s="74" t="s">
        <v>371</v>
      </c>
      <c r="J25" s="80" t="s">
        <v>317</v>
      </c>
      <c r="K25" s="74" t="str">
        <f t="shared" si="1"/>
        <v>p-dis-cmsap01-nic</v>
      </c>
      <c r="L25" s="81" t="s">
        <v>226</v>
      </c>
      <c r="M25" s="81"/>
    </row>
    <row r="26" spans="1:13" x14ac:dyDescent="0.3">
      <c r="A26" s="90"/>
      <c r="B26" s="78" t="s">
        <v>23</v>
      </c>
      <c r="C26" s="78" t="str" cm="1">
        <f t="array" ref="C26">UPPER(INDEX(_xlfn.TEXTSPLIT($E26, "-"), 2))</f>
        <v>DIS</v>
      </c>
      <c r="D26" s="78" t="s">
        <v>323</v>
      </c>
      <c r="E26" s="78" t="str">
        <f t="shared" si="0"/>
        <v>p-dis-cmsap02-nsg</v>
      </c>
      <c r="F26" s="73" t="s">
        <v>323</v>
      </c>
      <c r="G26" s="78" t="s">
        <v>238</v>
      </c>
      <c r="H26" s="73" t="s">
        <v>346</v>
      </c>
      <c r="I26" s="73" t="s">
        <v>372</v>
      </c>
      <c r="J26" s="78" t="s">
        <v>317</v>
      </c>
      <c r="K26" s="73" t="str">
        <f t="shared" si="1"/>
        <v>p-dis-cmsap02-nic</v>
      </c>
      <c r="L26" s="79" t="s">
        <v>226</v>
      </c>
      <c r="M26" s="79"/>
    </row>
    <row r="27" spans="1:13" x14ac:dyDescent="0.3">
      <c r="A27" s="90"/>
      <c r="B27" s="80" t="s">
        <v>23</v>
      </c>
      <c r="C27" s="80" t="str" cm="1">
        <f t="array" ref="C27">UPPER(INDEX(_xlfn.TEXTSPLIT($E27, "-"), 2))</f>
        <v>DIS</v>
      </c>
      <c r="D27" s="80" t="s">
        <v>323</v>
      </c>
      <c r="E27" s="80" t="str">
        <f t="shared" si="0"/>
        <v>p-dis-cmsweb01-nsg</v>
      </c>
      <c r="F27" s="74" t="s">
        <v>323</v>
      </c>
      <c r="G27" s="80" t="s">
        <v>238</v>
      </c>
      <c r="H27" s="74" t="s">
        <v>352</v>
      </c>
      <c r="I27" s="74" t="s">
        <v>373</v>
      </c>
      <c r="J27" s="80" t="s">
        <v>317</v>
      </c>
      <c r="K27" s="74" t="str">
        <f t="shared" si="1"/>
        <v>p-dis-cmsweb01-nic</v>
      </c>
      <c r="L27" s="81" t="s">
        <v>226</v>
      </c>
      <c r="M27" s="81"/>
    </row>
    <row r="28" spans="1:13" x14ac:dyDescent="0.3">
      <c r="A28" s="90"/>
      <c r="B28" s="78" t="s">
        <v>23</v>
      </c>
      <c r="C28" s="78" t="str" cm="1">
        <f t="array" ref="C28">UPPER(INDEX(_xlfn.TEXTSPLIT($E28, "-"), 2))</f>
        <v>DIS</v>
      </c>
      <c r="D28" s="78" t="s">
        <v>323</v>
      </c>
      <c r="E28" s="78" t="str">
        <f t="shared" si="0"/>
        <v>p-dis-cmsweb02-nsg</v>
      </c>
      <c r="F28" s="73" t="s">
        <v>323</v>
      </c>
      <c r="G28" s="78" t="s">
        <v>238</v>
      </c>
      <c r="H28" s="73" t="s">
        <v>352</v>
      </c>
      <c r="I28" s="73" t="s">
        <v>374</v>
      </c>
      <c r="J28" s="78" t="s">
        <v>317</v>
      </c>
      <c r="K28" s="73" t="str">
        <f t="shared" si="1"/>
        <v>p-dis-cmsweb02-nic</v>
      </c>
      <c r="L28" s="79" t="s">
        <v>226</v>
      </c>
      <c r="M28" s="79"/>
    </row>
    <row r="29" spans="1:13" x14ac:dyDescent="0.3">
      <c r="A29" s="90"/>
      <c r="B29" s="80" t="s">
        <v>23</v>
      </c>
      <c r="C29" s="80" t="str" cm="1">
        <f t="array" ref="C29">UPPER(INDEX(_xlfn.TEXTSPLIT($E29, "-"), 2))</f>
        <v>DIS</v>
      </c>
      <c r="D29" s="80" t="s">
        <v>323</v>
      </c>
      <c r="E29" s="80" t="str">
        <f t="shared" si="0"/>
        <v>p-dis-cmbsap01-nsg</v>
      </c>
      <c r="F29" s="74" t="s">
        <v>323</v>
      </c>
      <c r="G29" s="80" t="s">
        <v>238</v>
      </c>
      <c r="H29" s="74" t="s">
        <v>346</v>
      </c>
      <c r="I29" s="74" t="s">
        <v>375</v>
      </c>
      <c r="J29" s="80" t="s">
        <v>317</v>
      </c>
      <c r="K29" s="74" t="str">
        <f t="shared" si="1"/>
        <v>p-dis-cmbsap01-nic</v>
      </c>
      <c r="L29" s="81" t="s">
        <v>226</v>
      </c>
      <c r="M29" s="81"/>
    </row>
    <row r="30" spans="1:13" x14ac:dyDescent="0.3">
      <c r="A30" s="90"/>
      <c r="B30" s="78" t="s">
        <v>23</v>
      </c>
      <c r="C30" s="78" t="str" cm="1">
        <f t="array" ref="C30">UPPER(INDEX(_xlfn.TEXTSPLIT($E30, "-"), 2))</f>
        <v>DIS</v>
      </c>
      <c r="D30" s="78" t="s">
        <v>323</v>
      </c>
      <c r="E30" s="78" t="str">
        <f t="shared" si="0"/>
        <v>p-dis-cmbsap02-nsg</v>
      </c>
      <c r="F30" s="73" t="s">
        <v>323</v>
      </c>
      <c r="G30" s="78" t="s">
        <v>238</v>
      </c>
      <c r="H30" s="73" t="s">
        <v>346</v>
      </c>
      <c r="I30" s="73" t="s">
        <v>376</v>
      </c>
      <c r="J30" s="78" t="s">
        <v>317</v>
      </c>
      <c r="K30" s="73" t="str">
        <f t="shared" si="1"/>
        <v>p-dis-cmbsap02-nic</v>
      </c>
      <c r="L30" s="79" t="s">
        <v>226</v>
      </c>
      <c r="M30" s="79"/>
    </row>
    <row r="31" spans="1:13" x14ac:dyDescent="0.3">
      <c r="A31" s="90"/>
      <c r="B31" s="80" t="s">
        <v>23</v>
      </c>
      <c r="C31" s="80" t="str" cm="1">
        <f t="array" ref="C31">UPPER(INDEX(_xlfn.TEXTSPLIT($E31, "-"), 2))</f>
        <v>DIS</v>
      </c>
      <c r="D31" s="80" t="s">
        <v>323</v>
      </c>
      <c r="E31" s="80" t="str">
        <f t="shared" si="0"/>
        <v>p-dis-dfir01-nsg</v>
      </c>
      <c r="F31" s="74" t="s">
        <v>323</v>
      </c>
      <c r="G31" s="80" t="s">
        <v>238</v>
      </c>
      <c r="H31" s="74" t="s">
        <v>346</v>
      </c>
      <c r="I31" s="74" t="s">
        <v>377</v>
      </c>
      <c r="J31" s="80" t="s">
        <v>317</v>
      </c>
      <c r="K31" s="74" t="str">
        <f t="shared" si="1"/>
        <v>p-dis-dfir01-nic</v>
      </c>
      <c r="L31" s="81" t="s">
        <v>226</v>
      </c>
      <c r="M31" s="81"/>
    </row>
    <row r="32" spans="1:13" x14ac:dyDescent="0.3">
      <c r="A32" s="90"/>
      <c r="B32" s="78" t="s">
        <v>23</v>
      </c>
      <c r="C32" s="78" t="str" cm="1">
        <f t="array" ref="C32">UPPER(INDEX(_xlfn.TEXTSPLIT($E32, "-"), 2))</f>
        <v>DTG</v>
      </c>
      <c r="D32" s="78" t="s">
        <v>323</v>
      </c>
      <c r="E32" s="78" t="str">
        <f t="shared" si="0"/>
        <v>p-dtg-ingap01-nsg</v>
      </c>
      <c r="F32" s="73" t="s">
        <v>323</v>
      </c>
      <c r="G32" s="78" t="s">
        <v>238</v>
      </c>
      <c r="H32" s="73" t="s">
        <v>1013</v>
      </c>
      <c r="I32" s="73" t="s">
        <v>378</v>
      </c>
      <c r="J32" s="78" t="s">
        <v>319</v>
      </c>
      <c r="K32" s="73" t="str">
        <f t="shared" si="1"/>
        <v>p-dtg-ingap01-nic</v>
      </c>
      <c r="L32" s="79" t="s">
        <v>226</v>
      </c>
      <c r="M32" s="79"/>
    </row>
    <row r="33" spans="1:13" x14ac:dyDescent="0.3">
      <c r="A33" s="90"/>
      <c r="B33" s="80" t="s">
        <v>23</v>
      </c>
      <c r="C33" s="80" t="str" cm="1">
        <f t="array" ref="C33">UPPER(INDEX(_xlfn.TEXTSPLIT($E33, "-"), 2))</f>
        <v>DTG</v>
      </c>
      <c r="D33" s="80" t="s">
        <v>323</v>
      </c>
      <c r="E33" s="80" t="str">
        <f t="shared" si="0"/>
        <v>p-dtg-ingap02-nsg</v>
      </c>
      <c r="F33" s="74" t="s">
        <v>323</v>
      </c>
      <c r="G33" s="80" t="s">
        <v>238</v>
      </c>
      <c r="H33" s="74" t="s">
        <v>1013</v>
      </c>
      <c r="I33" s="74" t="s">
        <v>379</v>
      </c>
      <c r="J33" s="80" t="s">
        <v>319</v>
      </c>
      <c r="K33" s="74" t="str">
        <f t="shared" si="1"/>
        <v>p-dtg-ingap02-nic</v>
      </c>
      <c r="L33" s="81" t="s">
        <v>226</v>
      </c>
      <c r="M33" s="81"/>
    </row>
    <row r="34" spans="1:13" x14ac:dyDescent="0.3">
      <c r="A34" s="90"/>
      <c r="B34" s="78" t="s">
        <v>23</v>
      </c>
      <c r="C34" s="78" t="str" cm="1">
        <f t="array" ref="C34">UPPER(INDEX(_xlfn.TEXTSPLIT($E34, "-"), 2))</f>
        <v>DTG</v>
      </c>
      <c r="D34" s="78" t="s">
        <v>323</v>
      </c>
      <c r="E34" s="78" t="str">
        <f t="shared" si="0"/>
        <v>p-dtg-ingap03-nsg</v>
      </c>
      <c r="F34" s="73" t="s">
        <v>323</v>
      </c>
      <c r="G34" s="78" t="s">
        <v>238</v>
      </c>
      <c r="H34" s="73" t="s">
        <v>1013</v>
      </c>
      <c r="I34" s="73" t="s">
        <v>380</v>
      </c>
      <c r="J34" s="78" t="s">
        <v>319</v>
      </c>
      <c r="K34" s="73" t="str">
        <f t="shared" si="1"/>
        <v>p-dtg-ingap03-nic</v>
      </c>
      <c r="L34" s="79" t="s">
        <v>226</v>
      </c>
      <c r="M34" s="79"/>
    </row>
    <row r="35" spans="1:13" x14ac:dyDescent="0.3">
      <c r="A35" s="90"/>
      <c r="B35" s="80" t="s">
        <v>23</v>
      </c>
      <c r="C35" s="80" t="str" cm="1">
        <f t="array" ref="C35">UPPER(INDEX(_xlfn.TEXTSPLIT($E35, "-"), 2))</f>
        <v>DTG</v>
      </c>
      <c r="D35" s="80" t="s">
        <v>323</v>
      </c>
      <c r="E35" s="80" t="str">
        <f t="shared" si="0"/>
        <v>p-dtg-ingap04-nsg</v>
      </c>
      <c r="F35" s="74" t="s">
        <v>323</v>
      </c>
      <c r="G35" s="80" t="s">
        <v>238</v>
      </c>
      <c r="H35" s="74" t="s">
        <v>1013</v>
      </c>
      <c r="I35" s="74" t="s">
        <v>381</v>
      </c>
      <c r="J35" s="80" t="s">
        <v>319</v>
      </c>
      <c r="K35" s="74" t="str">
        <f t="shared" si="1"/>
        <v>p-dtg-ingap04-nic</v>
      </c>
      <c r="L35" s="81" t="s">
        <v>226</v>
      </c>
      <c r="M35" s="81"/>
    </row>
    <row r="36" spans="1:13" x14ac:dyDescent="0.3">
      <c r="A36" s="90"/>
      <c r="B36" s="78" t="s">
        <v>23</v>
      </c>
      <c r="C36" s="78" t="str" cm="1">
        <f t="array" ref="C36">UPPER(INDEX(_xlfn.TEXTSPLIT($E36, "-"), 2))</f>
        <v>DTG</v>
      </c>
      <c r="D36" s="78" t="s">
        <v>323</v>
      </c>
      <c r="E36" s="78" t="str">
        <f t="shared" si="0"/>
        <v>p-dtg-ap01-nsg</v>
      </c>
      <c r="F36" s="73" t="s">
        <v>323</v>
      </c>
      <c r="G36" s="78" t="s">
        <v>237</v>
      </c>
      <c r="H36" s="73" t="s">
        <v>1013</v>
      </c>
      <c r="I36" s="73" t="s">
        <v>382</v>
      </c>
      <c r="J36" s="78" t="s">
        <v>319</v>
      </c>
      <c r="K36" s="73" t="str">
        <f t="shared" si="1"/>
        <v>p-dtg-ap01-nic</v>
      </c>
      <c r="L36" s="79" t="s">
        <v>226</v>
      </c>
      <c r="M36" s="79"/>
    </row>
    <row r="37" spans="1:13" x14ac:dyDescent="0.3">
      <c r="A37" s="90"/>
      <c r="B37" s="80" t="s">
        <v>23</v>
      </c>
      <c r="C37" s="80" t="str" cm="1">
        <f t="array" ref="C37">UPPER(INDEX(_xlfn.TEXTSPLIT($E37, "-"), 2))</f>
        <v>DTG</v>
      </c>
      <c r="D37" s="80" t="s">
        <v>323</v>
      </c>
      <c r="E37" s="80" t="str">
        <f t="shared" si="0"/>
        <v>p-dtg-ap02-nsg</v>
      </c>
      <c r="F37" s="74" t="s">
        <v>323</v>
      </c>
      <c r="G37" s="80" t="s">
        <v>237</v>
      </c>
      <c r="H37" s="74" t="s">
        <v>1013</v>
      </c>
      <c r="I37" s="74" t="s">
        <v>383</v>
      </c>
      <c r="J37" s="80" t="s">
        <v>319</v>
      </c>
      <c r="K37" s="74" t="str">
        <f t="shared" si="1"/>
        <v>p-dtg-ap02-nic</v>
      </c>
      <c r="L37" s="81" t="s">
        <v>226</v>
      </c>
      <c r="M37" s="81"/>
    </row>
    <row r="38" spans="1:13" x14ac:dyDescent="0.3">
      <c r="A38" s="90"/>
      <c r="B38" s="78" t="s">
        <v>23</v>
      </c>
      <c r="C38" s="78" t="str" cm="1">
        <f t="array" ref="C38">UPPER(INDEX(_xlfn.TEXTSPLIT($E38, "-"), 2))</f>
        <v>DTG</v>
      </c>
      <c r="D38" s="78" t="s">
        <v>323</v>
      </c>
      <c r="E38" s="78" t="str">
        <f t="shared" si="0"/>
        <v>p-dtg-extgeoap01-nsg</v>
      </c>
      <c r="F38" s="73" t="s">
        <v>323</v>
      </c>
      <c r="G38" s="78" t="s">
        <v>238</v>
      </c>
      <c r="H38" s="73" t="s">
        <v>1013</v>
      </c>
      <c r="I38" s="73" t="s">
        <v>384</v>
      </c>
      <c r="J38" s="78" t="s">
        <v>319</v>
      </c>
      <c r="K38" s="73" t="str">
        <f t="shared" si="1"/>
        <v>p-dtg-extgeoap01-nic</v>
      </c>
      <c r="L38" s="79" t="s">
        <v>226</v>
      </c>
      <c r="M38" s="79"/>
    </row>
    <row r="39" spans="1:13" x14ac:dyDescent="0.3">
      <c r="A39" s="90"/>
      <c r="B39" s="80" t="s">
        <v>23</v>
      </c>
      <c r="C39" s="80" t="str" cm="1">
        <f t="array" ref="C39">UPPER(INDEX(_xlfn.TEXTSPLIT($E39, "-"), 2))</f>
        <v>DTG</v>
      </c>
      <c r="D39" s="80" t="s">
        <v>323</v>
      </c>
      <c r="E39" s="80" t="str">
        <f t="shared" si="0"/>
        <v>p-dtg-extgeoap02-nsg</v>
      </c>
      <c r="F39" s="74" t="s">
        <v>323</v>
      </c>
      <c r="G39" s="80" t="s">
        <v>238</v>
      </c>
      <c r="H39" s="74" t="s">
        <v>1013</v>
      </c>
      <c r="I39" s="74" t="s">
        <v>385</v>
      </c>
      <c r="J39" s="80" t="s">
        <v>319</v>
      </c>
      <c r="K39" s="74" t="str">
        <f t="shared" si="1"/>
        <v>p-dtg-extgeoap02-nic</v>
      </c>
      <c r="L39" s="81" t="s">
        <v>226</v>
      </c>
      <c r="M39" s="81"/>
    </row>
    <row r="40" spans="1:13" x14ac:dyDescent="0.3">
      <c r="A40" s="90"/>
      <c r="B40" s="78" t="s">
        <v>23</v>
      </c>
      <c r="C40" s="78" t="str" cm="1">
        <f t="array" ref="C40">UPPER(INDEX(_xlfn.TEXTSPLIT($E40, "-"), 2))</f>
        <v>DTG</v>
      </c>
      <c r="D40" s="78" t="s">
        <v>323</v>
      </c>
      <c r="E40" s="78" t="str">
        <f t="shared" si="0"/>
        <v>p-dtg-extgeoap03-nsg</v>
      </c>
      <c r="F40" s="73" t="s">
        <v>323</v>
      </c>
      <c r="G40" s="78" t="s">
        <v>237</v>
      </c>
      <c r="H40" s="73" t="s">
        <v>1013</v>
      </c>
      <c r="I40" s="73" t="s">
        <v>386</v>
      </c>
      <c r="J40" s="78" t="s">
        <v>319</v>
      </c>
      <c r="K40" s="73" t="str">
        <f t="shared" si="1"/>
        <v>p-dtg-extgeoap03-nic</v>
      </c>
      <c r="L40" s="79" t="s">
        <v>226</v>
      </c>
      <c r="M40" s="79"/>
    </row>
    <row r="41" spans="1:13" x14ac:dyDescent="0.3">
      <c r="A41" s="90"/>
      <c r="B41" s="80" t="s">
        <v>23</v>
      </c>
      <c r="C41" s="80" t="str" cm="1">
        <f t="array" ref="C41">UPPER(INDEX(_xlfn.TEXTSPLIT($E41, "-"), 2))</f>
        <v>DTG</v>
      </c>
      <c r="D41" s="80" t="s">
        <v>323</v>
      </c>
      <c r="E41" s="80" t="str">
        <f t="shared" si="0"/>
        <v>p-dtg-extgeoap04-nsg</v>
      </c>
      <c r="F41" s="74" t="s">
        <v>323</v>
      </c>
      <c r="G41" s="80" t="s">
        <v>237</v>
      </c>
      <c r="H41" s="74" t="s">
        <v>1013</v>
      </c>
      <c r="I41" s="74" t="s">
        <v>387</v>
      </c>
      <c r="J41" s="80" t="s">
        <v>319</v>
      </c>
      <c r="K41" s="74" t="str">
        <f t="shared" si="1"/>
        <v>p-dtg-extgeoap04-nic</v>
      </c>
      <c r="L41" s="81" t="s">
        <v>226</v>
      </c>
      <c r="M41" s="81"/>
    </row>
    <row r="42" spans="1:13" x14ac:dyDescent="0.3">
      <c r="A42" s="90"/>
      <c r="B42" s="78" t="s">
        <v>23</v>
      </c>
      <c r="C42" s="78" t="str" cm="1">
        <f t="array" ref="C42">UPPER(INDEX(_xlfn.TEXTSPLIT($E42, "-"), 2))</f>
        <v>DTG</v>
      </c>
      <c r="D42" s="78" t="s">
        <v>323</v>
      </c>
      <c r="E42" s="78" t="str">
        <f t="shared" si="0"/>
        <v>p-dtg-extgeoap05-nsg</v>
      </c>
      <c r="F42" s="73" t="s">
        <v>323</v>
      </c>
      <c r="G42" s="78" t="s">
        <v>237</v>
      </c>
      <c r="H42" s="73" t="s">
        <v>1013</v>
      </c>
      <c r="I42" s="73" t="s">
        <v>388</v>
      </c>
      <c r="J42" s="78" t="s">
        <v>319</v>
      </c>
      <c r="K42" s="73" t="str">
        <f t="shared" si="1"/>
        <v>p-dtg-extgeoap05-nic</v>
      </c>
      <c r="L42" s="79" t="s">
        <v>226</v>
      </c>
      <c r="M42" s="79"/>
    </row>
    <row r="43" spans="1:13" x14ac:dyDescent="0.3">
      <c r="A43" s="90"/>
      <c r="B43" s="80" t="s">
        <v>23</v>
      </c>
      <c r="C43" s="80" t="str" cm="1">
        <f t="array" ref="C43">UPPER(INDEX(_xlfn.TEXTSPLIT($E43, "-"), 2))</f>
        <v>DTG</v>
      </c>
      <c r="D43" s="80" t="s">
        <v>323</v>
      </c>
      <c r="E43" s="80" t="str">
        <f t="shared" si="0"/>
        <v>p-dtg-extgeoap06-nsg</v>
      </c>
      <c r="F43" s="74" t="s">
        <v>323</v>
      </c>
      <c r="G43" s="80" t="s">
        <v>237</v>
      </c>
      <c r="H43" s="74" t="s">
        <v>1013</v>
      </c>
      <c r="I43" s="74" t="s">
        <v>389</v>
      </c>
      <c r="J43" s="80" t="s">
        <v>319</v>
      </c>
      <c r="K43" s="74" t="str">
        <f t="shared" si="1"/>
        <v>p-dtg-extgeoap06-nic</v>
      </c>
      <c r="L43" s="81" t="s">
        <v>226</v>
      </c>
      <c r="M43" s="81"/>
    </row>
    <row r="44" spans="1:13" x14ac:dyDescent="0.3">
      <c r="A44" s="90"/>
      <c r="B44" s="78" t="s">
        <v>23</v>
      </c>
      <c r="C44" s="78" t="str" cm="1">
        <f t="array" ref="C44">UPPER(INDEX(_xlfn.TEXTSPLIT($E44, "-"), 2))</f>
        <v>DTG</v>
      </c>
      <c r="D44" s="78" t="s">
        <v>323</v>
      </c>
      <c r="E44" s="78" t="str">
        <f t="shared" si="0"/>
        <v>p-dtg-geoap01-nsg</v>
      </c>
      <c r="F44" s="73" t="s">
        <v>323</v>
      </c>
      <c r="G44" s="78" t="s">
        <v>238</v>
      </c>
      <c r="H44" s="73" t="s">
        <v>1013</v>
      </c>
      <c r="I44" s="73" t="s">
        <v>390</v>
      </c>
      <c r="J44" s="78" t="s">
        <v>319</v>
      </c>
      <c r="K44" s="73" t="str">
        <f t="shared" si="1"/>
        <v>p-dtg-geoap01-nic</v>
      </c>
      <c r="L44" s="79" t="s">
        <v>226</v>
      </c>
      <c r="M44" s="79"/>
    </row>
    <row r="45" spans="1:13" x14ac:dyDescent="0.3">
      <c r="A45" s="90"/>
      <c r="B45" s="80" t="s">
        <v>23</v>
      </c>
      <c r="C45" s="80" t="str" cm="1">
        <f t="array" ref="C45">UPPER(INDEX(_xlfn.TEXTSPLIT($E45, "-"), 2))</f>
        <v>DTG</v>
      </c>
      <c r="D45" s="80" t="s">
        <v>323</v>
      </c>
      <c r="E45" s="80" t="str">
        <f t="shared" si="0"/>
        <v>p-dtg-geoap02-nsg</v>
      </c>
      <c r="F45" s="74" t="s">
        <v>323</v>
      </c>
      <c r="G45" s="80" t="s">
        <v>238</v>
      </c>
      <c r="H45" s="74" t="s">
        <v>1013</v>
      </c>
      <c r="I45" s="74" t="s">
        <v>391</v>
      </c>
      <c r="J45" s="80" t="s">
        <v>319</v>
      </c>
      <c r="K45" s="74" t="str">
        <f t="shared" si="1"/>
        <v>p-dtg-geoap02-nic</v>
      </c>
      <c r="L45" s="81" t="s">
        <v>226</v>
      </c>
      <c r="M45" s="81"/>
    </row>
    <row r="46" spans="1:13" x14ac:dyDescent="0.3">
      <c r="A46" s="90"/>
      <c r="B46" s="78" t="s">
        <v>23</v>
      </c>
      <c r="C46" s="78" t="str" cm="1">
        <f t="array" ref="C46">UPPER(INDEX(_xlfn.TEXTSPLIT($E46, "-"), 2))</f>
        <v>DTG</v>
      </c>
      <c r="D46" s="78" t="s">
        <v>323</v>
      </c>
      <c r="E46" s="78" t="str">
        <f t="shared" si="0"/>
        <v>p-dtg-geoap03-nsg</v>
      </c>
      <c r="F46" s="73" t="s">
        <v>323</v>
      </c>
      <c r="G46" s="78" t="s">
        <v>238</v>
      </c>
      <c r="H46" s="73" t="s">
        <v>1013</v>
      </c>
      <c r="I46" s="73" t="s">
        <v>392</v>
      </c>
      <c r="J46" s="78" t="s">
        <v>319</v>
      </c>
      <c r="K46" s="73" t="str">
        <f t="shared" si="1"/>
        <v>p-dtg-geoap03-nic</v>
      </c>
      <c r="L46" s="79" t="s">
        <v>226</v>
      </c>
      <c r="M46" s="79"/>
    </row>
    <row r="47" spans="1:13" x14ac:dyDescent="0.3">
      <c r="A47" s="90"/>
      <c r="B47" s="80" t="s">
        <v>23</v>
      </c>
      <c r="C47" s="80" t="str" cm="1">
        <f t="array" ref="C47">UPPER(INDEX(_xlfn.TEXTSPLIT($E47, "-"), 2))</f>
        <v>DTG</v>
      </c>
      <c r="D47" s="80" t="s">
        <v>323</v>
      </c>
      <c r="E47" s="80" t="str">
        <f t="shared" si="0"/>
        <v>p-dtg-geoap04-nsg</v>
      </c>
      <c r="F47" s="74" t="s">
        <v>323</v>
      </c>
      <c r="G47" s="80" t="s">
        <v>238</v>
      </c>
      <c r="H47" s="74" t="s">
        <v>1013</v>
      </c>
      <c r="I47" s="74" t="s">
        <v>393</v>
      </c>
      <c r="J47" s="80" t="s">
        <v>319</v>
      </c>
      <c r="K47" s="74" t="str">
        <f t="shared" si="1"/>
        <v>p-dtg-geoap04-nic</v>
      </c>
      <c r="L47" s="81" t="s">
        <v>226</v>
      </c>
      <c r="M47" s="81"/>
    </row>
    <row r="48" spans="1:13" x14ac:dyDescent="0.3">
      <c r="A48" s="90"/>
      <c r="B48" s="78" t="s">
        <v>23</v>
      </c>
      <c r="C48" s="78" t="str" cm="1">
        <f t="array" ref="C48">UPPER(INDEX(_xlfn.TEXTSPLIT($E48, "-"), 2))</f>
        <v>DTG</v>
      </c>
      <c r="D48" s="78" t="s">
        <v>323</v>
      </c>
      <c r="E48" s="78" t="str">
        <f t="shared" si="0"/>
        <v>p-dtg-geoap05-nsg</v>
      </c>
      <c r="F48" s="73" t="s">
        <v>323</v>
      </c>
      <c r="G48" s="78" t="s">
        <v>237</v>
      </c>
      <c r="H48" s="73" t="s">
        <v>1013</v>
      </c>
      <c r="I48" s="73" t="s">
        <v>394</v>
      </c>
      <c r="J48" s="78" t="s">
        <v>319</v>
      </c>
      <c r="K48" s="73" t="str">
        <f t="shared" si="1"/>
        <v>p-dtg-geoap05-nic</v>
      </c>
      <c r="L48" s="79" t="s">
        <v>226</v>
      </c>
      <c r="M48" s="79"/>
    </row>
    <row r="49" spans="1:13" x14ac:dyDescent="0.3">
      <c r="A49" s="90"/>
      <c r="B49" s="80" t="s">
        <v>23</v>
      </c>
      <c r="C49" s="80" t="str" cm="1">
        <f t="array" ref="C49">UPPER(INDEX(_xlfn.TEXTSPLIT($E49, "-"), 2))</f>
        <v>DTG</v>
      </c>
      <c r="D49" s="80" t="s">
        <v>323</v>
      </c>
      <c r="E49" s="80" t="str">
        <f t="shared" si="0"/>
        <v>p-dtg-geoap06-nsg</v>
      </c>
      <c r="F49" s="74" t="s">
        <v>323</v>
      </c>
      <c r="G49" s="80" t="s">
        <v>237</v>
      </c>
      <c r="H49" s="74" t="s">
        <v>1013</v>
      </c>
      <c r="I49" s="74" t="s">
        <v>395</v>
      </c>
      <c r="J49" s="80" t="s">
        <v>319</v>
      </c>
      <c r="K49" s="74" t="str">
        <f t="shared" si="1"/>
        <v>p-dtg-geoap06-nic</v>
      </c>
      <c r="L49" s="81" t="s">
        <v>226</v>
      </c>
      <c r="M49" s="81"/>
    </row>
    <row r="50" spans="1:13" x14ac:dyDescent="0.3">
      <c r="A50" s="90"/>
      <c r="B50" s="78" t="s">
        <v>23</v>
      </c>
      <c r="C50" s="78" t="str" cm="1">
        <f t="array" ref="C50">UPPER(INDEX(_xlfn.TEXTSPLIT($E50, "-"), 2))</f>
        <v>DTG</v>
      </c>
      <c r="D50" s="78" t="s">
        <v>323</v>
      </c>
      <c r="E50" s="78" t="str">
        <f t="shared" si="0"/>
        <v>p-dtg-geoap07-nsg</v>
      </c>
      <c r="F50" s="73" t="s">
        <v>323</v>
      </c>
      <c r="G50" s="78" t="s">
        <v>238</v>
      </c>
      <c r="H50" s="73" t="s">
        <v>1013</v>
      </c>
      <c r="I50" s="73" t="s">
        <v>396</v>
      </c>
      <c r="J50" s="78" t="s">
        <v>319</v>
      </c>
      <c r="K50" s="73" t="str">
        <f t="shared" si="1"/>
        <v>p-dtg-geoap07-nic</v>
      </c>
      <c r="L50" s="79" t="s">
        <v>226</v>
      </c>
      <c r="M50" s="79"/>
    </row>
    <row r="51" spans="1:13" x14ac:dyDescent="0.3">
      <c r="A51" s="90"/>
      <c r="B51" s="80" t="s">
        <v>23</v>
      </c>
      <c r="C51" s="80" t="str" cm="1">
        <f t="array" ref="C51">UPPER(INDEX(_xlfn.TEXTSPLIT($E51, "-"), 2))</f>
        <v>DTG</v>
      </c>
      <c r="D51" s="80" t="s">
        <v>323</v>
      </c>
      <c r="E51" s="80" t="str">
        <f t="shared" si="0"/>
        <v>p-dtg-geoap08-nsg</v>
      </c>
      <c r="F51" s="74" t="s">
        <v>323</v>
      </c>
      <c r="G51" s="80" t="s">
        <v>238</v>
      </c>
      <c r="H51" s="74" t="s">
        <v>1013</v>
      </c>
      <c r="I51" s="74" t="s">
        <v>397</v>
      </c>
      <c r="J51" s="80" t="s">
        <v>319</v>
      </c>
      <c r="K51" s="74" t="str">
        <f t="shared" si="1"/>
        <v>p-dtg-geoap08-nic</v>
      </c>
      <c r="L51" s="81" t="s">
        <v>226</v>
      </c>
      <c r="M51" s="81"/>
    </row>
    <row r="52" spans="1:13" x14ac:dyDescent="0.3">
      <c r="A52" s="90"/>
      <c r="B52" s="78" t="s">
        <v>23</v>
      </c>
      <c r="C52" s="78" t="str" cm="1">
        <f t="array" ref="C52">UPPER(INDEX(_xlfn.TEXTSPLIT($E52, "-"), 2))</f>
        <v>DTG</v>
      </c>
      <c r="D52" s="78" t="s">
        <v>323</v>
      </c>
      <c r="E52" s="78" t="str">
        <f t="shared" si="0"/>
        <v>p-dtg-geoap09-nsg</v>
      </c>
      <c r="F52" s="73" t="s">
        <v>323</v>
      </c>
      <c r="G52" s="78" t="s">
        <v>238</v>
      </c>
      <c r="H52" s="73" t="s">
        <v>1013</v>
      </c>
      <c r="I52" s="73" t="s">
        <v>398</v>
      </c>
      <c r="J52" s="78" t="s">
        <v>319</v>
      </c>
      <c r="K52" s="73" t="str">
        <f t="shared" si="1"/>
        <v>p-dtg-geoap09-nic</v>
      </c>
      <c r="L52" s="79" t="s">
        <v>226</v>
      </c>
      <c r="M52" s="79"/>
    </row>
    <row r="53" spans="1:13" x14ac:dyDescent="0.3">
      <c r="A53" s="90"/>
      <c r="B53" s="80" t="s">
        <v>23</v>
      </c>
      <c r="C53" s="80" t="str" cm="1">
        <f t="array" ref="C53">UPPER(INDEX(_xlfn.TEXTSPLIT($E53, "-"), 2))</f>
        <v>DTG</v>
      </c>
      <c r="D53" s="80" t="s">
        <v>323</v>
      </c>
      <c r="E53" s="80" t="str">
        <f t="shared" si="0"/>
        <v>p-dtg-mq01-nsg</v>
      </c>
      <c r="F53" s="74" t="s">
        <v>323</v>
      </c>
      <c r="G53" s="80" t="s">
        <v>238</v>
      </c>
      <c r="H53" s="74" t="s">
        <v>1014</v>
      </c>
      <c r="I53" s="74" t="s">
        <v>399</v>
      </c>
      <c r="J53" s="80" t="s">
        <v>319</v>
      </c>
      <c r="K53" s="74" t="str">
        <f t="shared" si="1"/>
        <v>p-dtg-mq01-nic</v>
      </c>
      <c r="L53" s="81" t="s">
        <v>226</v>
      </c>
      <c r="M53" s="81"/>
    </row>
    <row r="54" spans="1:13" x14ac:dyDescent="0.3">
      <c r="A54" s="90"/>
      <c r="B54" s="78" t="s">
        <v>23</v>
      </c>
      <c r="C54" s="78" t="str" cm="1">
        <f t="array" ref="C54">UPPER(INDEX(_xlfn.TEXTSPLIT($E54, "-"), 2))</f>
        <v>DTG</v>
      </c>
      <c r="D54" s="78" t="s">
        <v>323</v>
      </c>
      <c r="E54" s="78" t="str">
        <f t="shared" si="0"/>
        <v>p-dtg-mq02-nsg</v>
      </c>
      <c r="F54" s="73" t="s">
        <v>323</v>
      </c>
      <c r="G54" s="78" t="s">
        <v>238</v>
      </c>
      <c r="H54" s="73" t="s">
        <v>1014</v>
      </c>
      <c r="I54" s="73" t="s">
        <v>400</v>
      </c>
      <c r="J54" s="78" t="s">
        <v>319</v>
      </c>
      <c r="K54" s="73" t="str">
        <f t="shared" si="1"/>
        <v>p-dtg-mq02-nic</v>
      </c>
      <c r="L54" s="79" t="s">
        <v>226</v>
      </c>
      <c r="M54" s="79"/>
    </row>
    <row r="55" spans="1:13" x14ac:dyDescent="0.3">
      <c r="A55" s="90"/>
      <c r="B55" s="80" t="s">
        <v>23</v>
      </c>
      <c r="C55" s="80" t="str" cm="1">
        <f t="array" ref="C55">UPPER(INDEX(_xlfn.TEXTSPLIT($E55, "-"), 2))</f>
        <v>DTG</v>
      </c>
      <c r="D55" s="80" t="s">
        <v>323</v>
      </c>
      <c r="E55" s="80" t="str">
        <f t="shared" si="0"/>
        <v>p-dtg-mq03-nsg</v>
      </c>
      <c r="F55" s="74" t="s">
        <v>323</v>
      </c>
      <c r="G55" s="80" t="s">
        <v>238</v>
      </c>
      <c r="H55" s="74" t="s">
        <v>1014</v>
      </c>
      <c r="I55" s="74" t="s">
        <v>401</v>
      </c>
      <c r="J55" s="80" t="s">
        <v>319</v>
      </c>
      <c r="K55" s="74" t="str">
        <f t="shared" si="1"/>
        <v>p-dtg-mq03-nic</v>
      </c>
      <c r="L55" s="81" t="s">
        <v>226</v>
      </c>
      <c r="M55" s="81"/>
    </row>
    <row r="56" spans="1:13" x14ac:dyDescent="0.3">
      <c r="A56" s="90"/>
      <c r="B56" s="78" t="s">
        <v>23</v>
      </c>
      <c r="C56" s="78" t="str" cm="1">
        <f t="array" ref="C56">UPPER(INDEX(_xlfn.TEXTSPLIT($E56, "-"), 2))</f>
        <v>DTG</v>
      </c>
      <c r="D56" s="78" t="s">
        <v>323</v>
      </c>
      <c r="E56" s="78" t="str">
        <f t="shared" si="0"/>
        <v>p-dtg-mq04-nsg</v>
      </c>
      <c r="F56" s="73" t="s">
        <v>323</v>
      </c>
      <c r="G56" s="78" t="s">
        <v>238</v>
      </c>
      <c r="H56" s="73" t="s">
        <v>1014</v>
      </c>
      <c r="I56" s="73" t="s">
        <v>402</v>
      </c>
      <c r="J56" s="78" t="s">
        <v>319</v>
      </c>
      <c r="K56" s="73" t="str">
        <f t="shared" si="1"/>
        <v>p-dtg-mq04-nic</v>
      </c>
      <c r="L56" s="79" t="s">
        <v>226</v>
      </c>
      <c r="M56" s="79"/>
    </row>
    <row r="57" spans="1:13" x14ac:dyDescent="0.3">
      <c r="A57" s="90"/>
      <c r="B57" s="80" t="s">
        <v>23</v>
      </c>
      <c r="C57" s="80" t="str" cm="1">
        <f t="array" ref="C57">UPPER(INDEX(_xlfn.TEXTSPLIT($E57, "-"), 2))</f>
        <v>DTG</v>
      </c>
      <c r="D57" s="80" t="s">
        <v>323</v>
      </c>
      <c r="E57" s="80" t="str">
        <f t="shared" si="0"/>
        <v>p-dtg-mq05-nsg</v>
      </c>
      <c r="F57" s="74" t="s">
        <v>323</v>
      </c>
      <c r="G57" s="80" t="s">
        <v>238</v>
      </c>
      <c r="H57" s="74" t="s">
        <v>1014</v>
      </c>
      <c r="I57" s="74" t="s">
        <v>403</v>
      </c>
      <c r="J57" s="80" t="s">
        <v>319</v>
      </c>
      <c r="K57" s="74" t="str">
        <f t="shared" si="1"/>
        <v>p-dtg-mq05-nic</v>
      </c>
      <c r="L57" s="81" t="s">
        <v>226</v>
      </c>
      <c r="M57" s="81"/>
    </row>
    <row r="58" spans="1:13" x14ac:dyDescent="0.3">
      <c r="A58" s="90"/>
      <c r="B58" s="78" t="s">
        <v>23</v>
      </c>
      <c r="C58" s="78" t="str" cm="1">
        <f t="array" ref="C58">UPPER(INDEX(_xlfn.TEXTSPLIT($E58, "-"), 2))</f>
        <v>DTG</v>
      </c>
      <c r="D58" s="78" t="s">
        <v>323</v>
      </c>
      <c r="E58" s="78" t="str">
        <f t="shared" si="0"/>
        <v>p-dtg-mq06-nsg</v>
      </c>
      <c r="F58" s="73" t="s">
        <v>323</v>
      </c>
      <c r="G58" s="78" t="s">
        <v>238</v>
      </c>
      <c r="H58" s="73" t="s">
        <v>1014</v>
      </c>
      <c r="I58" s="73" t="s">
        <v>404</v>
      </c>
      <c r="J58" s="78" t="s">
        <v>319</v>
      </c>
      <c r="K58" s="73" t="str">
        <f t="shared" si="1"/>
        <v>p-dtg-mq06-nic</v>
      </c>
      <c r="L58" s="79" t="s">
        <v>226</v>
      </c>
      <c r="M58" s="79"/>
    </row>
    <row r="59" spans="1:13" x14ac:dyDescent="0.3">
      <c r="A59" s="90"/>
      <c r="B59" s="80" t="s">
        <v>23</v>
      </c>
      <c r="C59" s="80" t="str" cm="1">
        <f t="array" ref="C59">UPPER(INDEX(_xlfn.TEXTSPLIT($E59, "-"), 2))</f>
        <v>DTG</v>
      </c>
      <c r="D59" s="80" t="s">
        <v>323</v>
      </c>
      <c r="E59" s="80" t="str">
        <f t="shared" si="0"/>
        <v>p-dtg-mq07-nsg</v>
      </c>
      <c r="F59" s="74" t="s">
        <v>323</v>
      </c>
      <c r="G59" s="80" t="s">
        <v>238</v>
      </c>
      <c r="H59" s="74" t="s">
        <v>1014</v>
      </c>
      <c r="I59" s="74" t="s">
        <v>405</v>
      </c>
      <c r="J59" s="80" t="s">
        <v>319</v>
      </c>
      <c r="K59" s="74" t="str">
        <f t="shared" si="1"/>
        <v>p-dtg-mq07-nic</v>
      </c>
      <c r="L59" s="81" t="s">
        <v>226</v>
      </c>
      <c r="M59" s="81"/>
    </row>
    <row r="60" spans="1:13" x14ac:dyDescent="0.3">
      <c r="A60" s="90"/>
      <c r="B60" s="78" t="s">
        <v>23</v>
      </c>
      <c r="C60" s="78" t="str" cm="1">
        <f t="array" ref="C60">UPPER(INDEX(_xlfn.TEXTSPLIT($E60, "-"), 2))</f>
        <v>DTG</v>
      </c>
      <c r="D60" s="78" t="s">
        <v>323</v>
      </c>
      <c r="E60" s="78" t="str">
        <f t="shared" si="0"/>
        <v>p-dtg-mq08-nsg</v>
      </c>
      <c r="F60" s="73" t="s">
        <v>323</v>
      </c>
      <c r="G60" s="78" t="s">
        <v>238</v>
      </c>
      <c r="H60" s="73" t="s">
        <v>1014</v>
      </c>
      <c r="I60" s="73" t="s">
        <v>406</v>
      </c>
      <c r="J60" s="78" t="s">
        <v>319</v>
      </c>
      <c r="K60" s="73" t="str">
        <f t="shared" si="1"/>
        <v>p-dtg-mq08-nic</v>
      </c>
      <c r="L60" s="79" t="s">
        <v>226</v>
      </c>
      <c r="M60" s="79"/>
    </row>
    <row r="61" spans="1:13" x14ac:dyDescent="0.3">
      <c r="A61" s="90"/>
      <c r="B61" s="80" t="s">
        <v>23</v>
      </c>
      <c r="C61" s="80" t="str" cm="1">
        <f t="array" ref="C61">UPPER(INDEX(_xlfn.TEXTSPLIT($E61, "-"), 2))</f>
        <v>DTG</v>
      </c>
      <c r="D61" s="80" t="s">
        <v>323</v>
      </c>
      <c r="E61" s="80" t="str">
        <f t="shared" si="0"/>
        <v>p-dtg-mq09-nsg</v>
      </c>
      <c r="F61" s="74" t="s">
        <v>323</v>
      </c>
      <c r="G61" s="80" t="s">
        <v>238</v>
      </c>
      <c r="H61" s="74" t="s">
        <v>1014</v>
      </c>
      <c r="I61" s="74" t="s">
        <v>407</v>
      </c>
      <c r="J61" s="80" t="s">
        <v>319</v>
      </c>
      <c r="K61" s="74" t="str">
        <f t="shared" si="1"/>
        <v>p-dtg-mq09-nic</v>
      </c>
      <c r="L61" s="81" t="s">
        <v>226</v>
      </c>
      <c r="M61" s="81"/>
    </row>
    <row r="62" spans="1:13" x14ac:dyDescent="0.3">
      <c r="A62" s="90"/>
      <c r="B62" s="78" t="s">
        <v>23</v>
      </c>
      <c r="C62" s="78" t="str" cm="1">
        <f t="array" ref="C62">UPPER(INDEX(_xlfn.TEXTSPLIT($E62, "-"), 2))</f>
        <v>DTG</v>
      </c>
      <c r="D62" s="78" t="s">
        <v>323</v>
      </c>
      <c r="E62" s="78" t="str">
        <f t="shared" si="0"/>
        <v>p-dtg-admweb01-nsg</v>
      </c>
      <c r="F62" s="73" t="s">
        <v>323</v>
      </c>
      <c r="G62" s="78" t="s">
        <v>238</v>
      </c>
      <c r="H62" s="73" t="s">
        <v>1013</v>
      </c>
      <c r="I62" s="73" t="s">
        <v>408</v>
      </c>
      <c r="J62" s="78" t="s">
        <v>319</v>
      </c>
      <c r="K62" s="73" t="str">
        <f t="shared" si="1"/>
        <v>p-dtg-admweb01-nic</v>
      </c>
      <c r="L62" s="79" t="s">
        <v>226</v>
      </c>
      <c r="M62" s="79"/>
    </row>
    <row r="63" spans="1:13" x14ac:dyDescent="0.3">
      <c r="A63" s="90"/>
      <c r="B63" s="80" t="s">
        <v>23</v>
      </c>
      <c r="C63" s="80" t="str" cm="1">
        <f t="array" ref="C63">UPPER(INDEX(_xlfn.TEXTSPLIT($E63, "-"), 2))</f>
        <v>DTG</v>
      </c>
      <c r="D63" s="80" t="s">
        <v>323</v>
      </c>
      <c r="E63" s="80" t="str">
        <f t="shared" si="0"/>
        <v>p-dtg-admweb02-nsg</v>
      </c>
      <c r="F63" s="74" t="s">
        <v>323</v>
      </c>
      <c r="G63" s="80" t="s">
        <v>238</v>
      </c>
      <c r="H63" s="74" t="s">
        <v>1013</v>
      </c>
      <c r="I63" s="74" t="s">
        <v>409</v>
      </c>
      <c r="J63" s="80" t="s">
        <v>319</v>
      </c>
      <c r="K63" s="74" t="str">
        <f t="shared" si="1"/>
        <v>p-dtg-admweb02-nic</v>
      </c>
      <c r="L63" s="81" t="s">
        <v>226</v>
      </c>
      <c r="M63" s="81"/>
    </row>
    <row r="64" spans="1:13" x14ac:dyDescent="0.3">
      <c r="A64" s="90"/>
      <c r="B64" s="78" t="s">
        <v>23</v>
      </c>
      <c r="C64" s="78" t="str" cm="1">
        <f t="array" ref="C64">UPPER(INDEX(_xlfn.TEXTSPLIT($E64, "-"), 2))</f>
        <v>DTG</v>
      </c>
      <c r="D64" s="78" t="s">
        <v>323</v>
      </c>
      <c r="E64" s="78" t="str">
        <f t="shared" ref="E64:E87" si="2">SUBSTITUTE(I64,"hazr-","")&amp;"-nsg"</f>
        <v>p-dtg-admap01-nsg</v>
      </c>
      <c r="F64" s="73" t="s">
        <v>323</v>
      </c>
      <c r="G64" s="78" t="s">
        <v>238</v>
      </c>
      <c r="H64" s="73" t="s">
        <v>1013</v>
      </c>
      <c r="I64" s="73" t="s">
        <v>410</v>
      </c>
      <c r="J64" s="78" t="s">
        <v>319</v>
      </c>
      <c r="K64" s="73" t="str">
        <f t="shared" ref="K64:K125" si="3">SUBSTITUTE(I64,"hazr-","")&amp;"-nic"</f>
        <v>p-dtg-admap01-nic</v>
      </c>
      <c r="L64" s="79" t="s">
        <v>226</v>
      </c>
      <c r="M64" s="79"/>
    </row>
    <row r="65" spans="1:13" x14ac:dyDescent="0.3">
      <c r="A65" s="90"/>
      <c r="B65" s="80" t="s">
        <v>23</v>
      </c>
      <c r="C65" s="80" t="str" cm="1">
        <f t="array" ref="C65">UPPER(INDEX(_xlfn.TEXTSPLIT($E65, "-"), 2))</f>
        <v>DTG</v>
      </c>
      <c r="D65" s="80" t="s">
        <v>323</v>
      </c>
      <c r="E65" s="80" t="str">
        <f t="shared" si="2"/>
        <v>p-dtg-admap02-nsg</v>
      </c>
      <c r="F65" s="74" t="s">
        <v>323</v>
      </c>
      <c r="G65" s="80" t="s">
        <v>238</v>
      </c>
      <c r="H65" s="74" t="s">
        <v>1013</v>
      </c>
      <c r="I65" s="74" t="s">
        <v>411</v>
      </c>
      <c r="J65" s="80" t="s">
        <v>319</v>
      </c>
      <c r="K65" s="74" t="str">
        <f t="shared" si="3"/>
        <v>p-dtg-admap02-nic</v>
      </c>
      <c r="L65" s="81" t="s">
        <v>226</v>
      </c>
      <c r="M65" s="81"/>
    </row>
    <row r="66" spans="1:13" x14ac:dyDescent="0.3">
      <c r="A66" s="90"/>
      <c r="B66" s="78" t="s">
        <v>23</v>
      </c>
      <c r="C66" s="78" t="str" cm="1">
        <f t="array" ref="C66">UPPER(INDEX(_xlfn.TEXTSPLIT($E66, "-"), 2))</f>
        <v>DTG</v>
      </c>
      <c r="D66" s="78" t="s">
        <v>323</v>
      </c>
      <c r="E66" s="78" t="str">
        <f t="shared" si="2"/>
        <v>p-dtg-dtoms01-nsg</v>
      </c>
      <c r="F66" s="73" t="s">
        <v>323</v>
      </c>
      <c r="G66" s="78" t="s">
        <v>238</v>
      </c>
      <c r="H66" s="73" t="s">
        <v>1013</v>
      </c>
      <c r="I66" s="73" t="s">
        <v>412</v>
      </c>
      <c r="J66" s="78" t="s">
        <v>319</v>
      </c>
      <c r="K66" s="73" t="str">
        <f t="shared" si="3"/>
        <v>p-dtg-dtoms01-nic</v>
      </c>
      <c r="L66" s="79" t="s">
        <v>226</v>
      </c>
      <c r="M66" s="79"/>
    </row>
    <row r="67" spans="1:13" x14ac:dyDescent="0.3">
      <c r="A67" s="90"/>
      <c r="B67" s="80" t="s">
        <v>23</v>
      </c>
      <c r="C67" s="80" t="str" cm="1">
        <f t="array" ref="C67">UPPER(INDEX(_xlfn.TEXTSPLIT($E67, "-"), 2))</f>
        <v>DTG</v>
      </c>
      <c r="D67" s="80" t="s">
        <v>323</v>
      </c>
      <c r="E67" s="80" t="str">
        <f t="shared" si="2"/>
        <v>p-dtg-tsdb01-nsg</v>
      </c>
      <c r="F67" s="74" t="s">
        <v>323</v>
      </c>
      <c r="G67" s="80" t="s">
        <v>238</v>
      </c>
      <c r="H67" s="74" t="s">
        <v>1044</v>
      </c>
      <c r="I67" s="74" t="s">
        <v>413</v>
      </c>
      <c r="J67" s="80" t="s">
        <v>319</v>
      </c>
      <c r="K67" s="74" t="str">
        <f t="shared" si="3"/>
        <v>p-dtg-tsdb01-nic</v>
      </c>
      <c r="L67" s="81" t="s">
        <v>226</v>
      </c>
      <c r="M67" s="74"/>
    </row>
    <row r="68" spans="1:13" x14ac:dyDescent="0.3">
      <c r="A68" s="90"/>
      <c r="B68" s="78" t="s">
        <v>23</v>
      </c>
      <c r="C68" s="78" t="str" cm="1">
        <f t="array" ref="C68">UPPER(INDEX(_xlfn.TEXTSPLIT($E68, "-"), 2))</f>
        <v>DTG</v>
      </c>
      <c r="D68" s="78" t="s">
        <v>323</v>
      </c>
      <c r="E68" s="78" t="str">
        <f t="shared" si="2"/>
        <v>p-dtg-tsdb02-nsg</v>
      </c>
      <c r="F68" s="73" t="s">
        <v>323</v>
      </c>
      <c r="G68" s="78" t="s">
        <v>238</v>
      </c>
      <c r="H68" s="73" t="s">
        <v>1044</v>
      </c>
      <c r="I68" s="73" t="s">
        <v>414</v>
      </c>
      <c r="J68" s="78" t="s">
        <v>319</v>
      </c>
      <c r="K68" s="73" t="str">
        <f t="shared" si="3"/>
        <v>p-dtg-tsdb02-nic</v>
      </c>
      <c r="L68" s="79" t="s">
        <v>226</v>
      </c>
      <c r="M68" s="73"/>
    </row>
    <row r="69" spans="1:13" x14ac:dyDescent="0.3">
      <c r="A69" s="90"/>
      <c r="B69" s="80" t="s">
        <v>23</v>
      </c>
      <c r="C69" s="80" t="str" cm="1">
        <f t="array" ref="C69">UPPER(INDEX(_xlfn.TEXTSPLIT($E69, "-"), 2))</f>
        <v>DTG</v>
      </c>
      <c r="D69" s="80" t="s">
        <v>323</v>
      </c>
      <c r="E69" s="80" t="str">
        <f t="shared" si="2"/>
        <v>p-dtg-tsdb03-nsg</v>
      </c>
      <c r="F69" s="74" t="s">
        <v>323</v>
      </c>
      <c r="G69" s="80" t="s">
        <v>238</v>
      </c>
      <c r="H69" s="74" t="s">
        <v>1044</v>
      </c>
      <c r="I69" s="74" t="s">
        <v>415</v>
      </c>
      <c r="J69" s="80" t="s">
        <v>319</v>
      </c>
      <c r="K69" s="74" t="str">
        <f t="shared" si="3"/>
        <v>p-dtg-tsdb03-nic</v>
      </c>
      <c r="L69" s="81" t="s">
        <v>226</v>
      </c>
      <c r="M69" s="74"/>
    </row>
    <row r="70" spans="1:13" x14ac:dyDescent="0.3">
      <c r="A70" s="90"/>
      <c r="B70" s="78" t="s">
        <v>23</v>
      </c>
      <c r="C70" s="78" t="str" cm="1">
        <f t="array" ref="C70">UPPER(INDEX(_xlfn.TEXTSPLIT($E70, "-"), 2))</f>
        <v>DTG</v>
      </c>
      <c r="D70" s="78" t="s">
        <v>323</v>
      </c>
      <c r="E70" s="78" t="str">
        <f t="shared" si="2"/>
        <v>p-dtg-tsdb04-nsg</v>
      </c>
      <c r="F70" s="73" t="s">
        <v>323</v>
      </c>
      <c r="G70" s="78" t="s">
        <v>238</v>
      </c>
      <c r="H70" s="73" t="s">
        <v>1044</v>
      </c>
      <c r="I70" s="73" t="s">
        <v>416</v>
      </c>
      <c r="J70" s="78" t="s">
        <v>319</v>
      </c>
      <c r="K70" s="73" t="str">
        <f t="shared" si="3"/>
        <v>p-dtg-tsdb04-nic</v>
      </c>
      <c r="L70" s="79" t="s">
        <v>226</v>
      </c>
      <c r="M70" s="73"/>
    </row>
    <row r="71" spans="1:13" x14ac:dyDescent="0.3">
      <c r="A71" s="90"/>
      <c r="B71" s="80" t="s">
        <v>23</v>
      </c>
      <c r="C71" s="80" t="str" cm="1">
        <f t="array" ref="C71">UPPER(INDEX(_xlfn.TEXTSPLIT($E71, "-"), 2))</f>
        <v>DTG</v>
      </c>
      <c r="D71" s="80" t="s">
        <v>323</v>
      </c>
      <c r="E71" s="80" t="str">
        <f t="shared" si="2"/>
        <v>p-dtg-web01-nsg</v>
      </c>
      <c r="F71" s="74" t="s">
        <v>323</v>
      </c>
      <c r="G71" s="80" t="s">
        <v>238</v>
      </c>
      <c r="H71" s="74" t="s">
        <v>1014</v>
      </c>
      <c r="I71" s="74" t="s">
        <v>417</v>
      </c>
      <c r="J71" s="80" t="s">
        <v>319</v>
      </c>
      <c r="K71" s="74" t="str">
        <f t="shared" si="3"/>
        <v>p-dtg-web01-nic</v>
      </c>
      <c r="L71" s="81" t="s">
        <v>226</v>
      </c>
      <c r="M71" s="74"/>
    </row>
    <row r="72" spans="1:13" x14ac:dyDescent="0.3">
      <c r="A72" s="90"/>
      <c r="B72" s="78" t="s">
        <v>23</v>
      </c>
      <c r="C72" s="78" t="str" cm="1">
        <f t="array" ref="C72">UPPER(INDEX(_xlfn.TEXTSPLIT($E72, "-"), 2))</f>
        <v>DTG</v>
      </c>
      <c r="D72" s="78" t="s">
        <v>323</v>
      </c>
      <c r="E72" s="78" t="str">
        <f t="shared" si="2"/>
        <v>p-dtg-web02-nsg</v>
      </c>
      <c r="F72" s="73" t="s">
        <v>323</v>
      </c>
      <c r="G72" s="78" t="s">
        <v>238</v>
      </c>
      <c r="H72" s="73" t="s">
        <v>1014</v>
      </c>
      <c r="I72" s="73" t="s">
        <v>418</v>
      </c>
      <c r="J72" s="78" t="s">
        <v>319</v>
      </c>
      <c r="K72" s="73" t="str">
        <f t="shared" si="3"/>
        <v>p-dtg-web02-nic</v>
      </c>
      <c r="L72" s="79" t="s">
        <v>226</v>
      </c>
      <c r="M72" s="73"/>
    </row>
    <row r="73" spans="1:13" x14ac:dyDescent="0.3">
      <c r="A73" s="90"/>
      <c r="B73" s="80" t="s">
        <v>23</v>
      </c>
      <c r="C73" s="80" t="str" cm="1">
        <f t="array" ref="C73">UPPER(INDEX(_xlfn.TEXTSPLIT($E73, "-"), 2))</f>
        <v>DTG</v>
      </c>
      <c r="D73" s="80" t="s">
        <v>323</v>
      </c>
      <c r="E73" s="80" t="str">
        <f t="shared" si="2"/>
        <v>p-dtg-zkp01-nsg</v>
      </c>
      <c r="F73" s="74" t="s">
        <v>323</v>
      </c>
      <c r="G73" s="80" t="s">
        <v>238</v>
      </c>
      <c r="H73" s="74" t="s">
        <v>1013</v>
      </c>
      <c r="I73" s="74" t="s">
        <v>419</v>
      </c>
      <c r="J73" s="80" t="s">
        <v>319</v>
      </c>
      <c r="K73" s="74" t="str">
        <f t="shared" si="3"/>
        <v>p-dtg-zkp01-nic</v>
      </c>
      <c r="L73" s="81" t="s">
        <v>226</v>
      </c>
      <c r="M73" s="74"/>
    </row>
    <row r="74" spans="1:13" x14ac:dyDescent="0.3">
      <c r="A74" s="90"/>
      <c r="B74" s="78" t="s">
        <v>23</v>
      </c>
      <c r="C74" s="78" t="str" cm="1">
        <f t="array" ref="C74">UPPER(INDEX(_xlfn.TEXTSPLIT($E74, "-"), 2))</f>
        <v>DTG</v>
      </c>
      <c r="D74" s="78" t="s">
        <v>323</v>
      </c>
      <c r="E74" s="78" t="str">
        <f t="shared" si="2"/>
        <v>p-dtg-zkp02-nsg</v>
      </c>
      <c r="F74" s="73" t="s">
        <v>323</v>
      </c>
      <c r="G74" s="78" t="s">
        <v>237</v>
      </c>
      <c r="H74" s="73" t="s">
        <v>1013</v>
      </c>
      <c r="I74" s="73" t="s">
        <v>420</v>
      </c>
      <c r="J74" s="78" t="s">
        <v>319</v>
      </c>
      <c r="K74" s="73" t="str">
        <f t="shared" si="3"/>
        <v>p-dtg-zkp02-nic</v>
      </c>
      <c r="L74" s="79" t="s">
        <v>226</v>
      </c>
      <c r="M74" s="73"/>
    </row>
    <row r="75" spans="1:13" x14ac:dyDescent="0.3">
      <c r="A75" s="90"/>
      <c r="B75" s="80" t="s">
        <v>23</v>
      </c>
      <c r="C75" s="80" t="str" cm="1">
        <f t="array" ref="C75">UPPER(INDEX(_xlfn.TEXTSPLIT($E75, "-"), 2))</f>
        <v>DTG</v>
      </c>
      <c r="D75" s="80" t="s">
        <v>323</v>
      </c>
      <c r="E75" s="80" t="str">
        <f t="shared" si="2"/>
        <v>p-dtg-zkp03-nsg</v>
      </c>
      <c r="F75" s="74" t="s">
        <v>323</v>
      </c>
      <c r="G75" s="80" t="s">
        <v>237</v>
      </c>
      <c r="H75" s="74" t="s">
        <v>1013</v>
      </c>
      <c r="I75" s="74" t="s">
        <v>421</v>
      </c>
      <c r="J75" s="80" t="s">
        <v>319</v>
      </c>
      <c r="K75" s="74" t="str">
        <f t="shared" si="3"/>
        <v>p-dtg-zkp03-nic</v>
      </c>
      <c r="L75" s="81" t="s">
        <v>226</v>
      </c>
      <c r="M75" s="74"/>
    </row>
    <row r="76" spans="1:13" x14ac:dyDescent="0.3">
      <c r="A76" s="90"/>
      <c r="B76" s="78" t="s">
        <v>23</v>
      </c>
      <c r="C76" s="78" t="str" cm="1">
        <f t="array" ref="C76">UPPER(INDEX(_xlfn.TEXTSPLIT($E76, "-"), 2))</f>
        <v>DTG</v>
      </c>
      <c r="D76" s="78" t="s">
        <v>323</v>
      </c>
      <c r="E76" s="78" t="str">
        <f t="shared" si="2"/>
        <v>p-dtg-zkp04-nsg</v>
      </c>
      <c r="F76" s="73" t="s">
        <v>323</v>
      </c>
      <c r="G76" s="78" t="s">
        <v>237</v>
      </c>
      <c r="H76" s="73" t="s">
        <v>1013</v>
      </c>
      <c r="I76" s="73" t="s">
        <v>422</v>
      </c>
      <c r="J76" s="78" t="s">
        <v>319</v>
      </c>
      <c r="K76" s="73" t="str">
        <f t="shared" si="3"/>
        <v>p-dtg-zkp04-nic</v>
      </c>
      <c r="L76" s="79" t="s">
        <v>226</v>
      </c>
      <c r="M76" s="73"/>
    </row>
    <row r="77" spans="1:13" x14ac:dyDescent="0.3">
      <c r="A77" s="90"/>
      <c r="B77" s="80" t="s">
        <v>23</v>
      </c>
      <c r="C77" s="80" t="str" cm="1">
        <f t="array" ref="C77">UPPER(INDEX(_xlfn.TEXTSPLIT($E77, "-"), 2))</f>
        <v>DTG</v>
      </c>
      <c r="D77" s="80" t="s">
        <v>323</v>
      </c>
      <c r="E77" s="80" t="str">
        <f t="shared" si="2"/>
        <v>p-dtg-zkp05-nsg</v>
      </c>
      <c r="F77" s="74" t="s">
        <v>323</v>
      </c>
      <c r="G77" s="80" t="s">
        <v>237</v>
      </c>
      <c r="H77" s="74" t="s">
        <v>1013</v>
      </c>
      <c r="I77" s="74" t="s">
        <v>423</v>
      </c>
      <c r="J77" s="80" t="s">
        <v>319</v>
      </c>
      <c r="K77" s="74" t="str">
        <f t="shared" si="3"/>
        <v>p-dtg-zkp05-nic</v>
      </c>
      <c r="L77" s="81" t="s">
        <v>226</v>
      </c>
      <c r="M77" s="74"/>
    </row>
    <row r="78" spans="1:13" x14ac:dyDescent="0.3">
      <c r="A78" s="90"/>
      <c r="B78" s="78" t="s">
        <v>23</v>
      </c>
      <c r="C78" s="78" t="str" cm="1">
        <f t="array" ref="C78">UPPER(INDEX(_xlfn.TEXTSPLIT($E78, "-"), 2))</f>
        <v>DTG</v>
      </c>
      <c r="D78" s="78" t="s">
        <v>323</v>
      </c>
      <c r="E78" s="78" t="str">
        <f t="shared" si="2"/>
        <v>p-dtg-kfk01-nsg</v>
      </c>
      <c r="F78" s="73" t="s">
        <v>323</v>
      </c>
      <c r="G78" s="78" t="s">
        <v>237</v>
      </c>
      <c r="H78" s="73" t="s">
        <v>1013</v>
      </c>
      <c r="I78" s="73" t="s">
        <v>424</v>
      </c>
      <c r="J78" s="78" t="s">
        <v>319</v>
      </c>
      <c r="K78" s="73" t="str">
        <f t="shared" si="3"/>
        <v>p-dtg-kfk01-nic</v>
      </c>
      <c r="L78" s="79" t="s">
        <v>226</v>
      </c>
      <c r="M78" s="73"/>
    </row>
    <row r="79" spans="1:13" x14ac:dyDescent="0.3">
      <c r="A79" s="108"/>
      <c r="B79" s="80" t="s">
        <v>23</v>
      </c>
      <c r="C79" s="80" t="str" cm="1">
        <f t="array" ref="C79">UPPER(INDEX(_xlfn.TEXTSPLIT($E79, "-"), 2))</f>
        <v>DTG</v>
      </c>
      <c r="D79" s="80" t="s">
        <v>323</v>
      </c>
      <c r="E79" s="80" t="str">
        <f t="shared" si="2"/>
        <v>p-dtg-kfk02-nsg</v>
      </c>
      <c r="F79" s="74" t="s">
        <v>323</v>
      </c>
      <c r="G79" s="80" t="s">
        <v>237</v>
      </c>
      <c r="H79" s="74" t="s">
        <v>1013</v>
      </c>
      <c r="I79" s="74" t="s">
        <v>425</v>
      </c>
      <c r="J79" s="80" t="s">
        <v>319</v>
      </c>
      <c r="K79" s="74" t="str">
        <f t="shared" si="3"/>
        <v>p-dtg-kfk02-nic</v>
      </c>
      <c r="L79" s="81" t="s">
        <v>226</v>
      </c>
      <c r="M79" s="74"/>
    </row>
    <row r="80" spans="1:13" x14ac:dyDescent="0.3">
      <c r="A80" s="108"/>
      <c r="B80" s="78" t="s">
        <v>23</v>
      </c>
      <c r="C80" s="78" t="str" cm="1">
        <f t="array" ref="C80">UPPER(INDEX(_xlfn.TEXTSPLIT($E80, "-"), 2))</f>
        <v>DTG</v>
      </c>
      <c r="D80" s="78" t="s">
        <v>323</v>
      </c>
      <c r="E80" s="78" t="str">
        <f t="shared" si="2"/>
        <v>p-dtg-kfk03-nsg</v>
      </c>
      <c r="F80" s="73" t="s">
        <v>323</v>
      </c>
      <c r="G80" s="78" t="s">
        <v>237</v>
      </c>
      <c r="H80" s="73" t="s">
        <v>1013</v>
      </c>
      <c r="I80" s="73" t="s">
        <v>426</v>
      </c>
      <c r="J80" s="78" t="s">
        <v>319</v>
      </c>
      <c r="K80" s="73" t="str">
        <f t="shared" si="3"/>
        <v>p-dtg-kfk03-nic</v>
      </c>
      <c r="L80" s="79" t="s">
        <v>226</v>
      </c>
      <c r="M80" s="73"/>
    </row>
    <row r="81" spans="1:13" x14ac:dyDescent="0.3">
      <c r="A81" s="90"/>
      <c r="B81" s="80" t="s">
        <v>23</v>
      </c>
      <c r="C81" s="80" t="str" cm="1">
        <f t="array" ref="C81">UPPER(INDEX(_xlfn.TEXTSPLIT($E81, "-"), 2))</f>
        <v>DTG</v>
      </c>
      <c r="D81" s="80" t="s">
        <v>323</v>
      </c>
      <c r="E81" s="80" t="str">
        <f t="shared" si="2"/>
        <v>p-dtg-kfk04-nsg</v>
      </c>
      <c r="F81" s="74" t="s">
        <v>323</v>
      </c>
      <c r="G81" s="80" t="s">
        <v>237</v>
      </c>
      <c r="H81" s="74" t="s">
        <v>1013</v>
      </c>
      <c r="I81" s="74" t="s">
        <v>427</v>
      </c>
      <c r="J81" s="80" t="s">
        <v>319</v>
      </c>
      <c r="K81" s="74" t="str">
        <f t="shared" si="3"/>
        <v>p-dtg-kfk04-nic</v>
      </c>
      <c r="L81" s="81" t="s">
        <v>226</v>
      </c>
      <c r="M81" s="74"/>
    </row>
    <row r="82" spans="1:13" x14ac:dyDescent="0.3">
      <c r="A82" s="90"/>
      <c r="B82" s="78" t="s">
        <v>23</v>
      </c>
      <c r="C82" s="78" t="str" cm="1">
        <f t="array" ref="C82">UPPER(INDEX(_xlfn.TEXTSPLIT($E82, "-"), 2))</f>
        <v>DTG</v>
      </c>
      <c r="D82" s="78" t="s">
        <v>323</v>
      </c>
      <c r="E82" s="78" t="str">
        <f t="shared" si="2"/>
        <v>p-dtg-kfk05-nsg</v>
      </c>
      <c r="F82" s="73" t="s">
        <v>323</v>
      </c>
      <c r="G82" s="78" t="s">
        <v>237</v>
      </c>
      <c r="H82" s="73" t="s">
        <v>1013</v>
      </c>
      <c r="I82" s="73" t="s">
        <v>428</v>
      </c>
      <c r="J82" s="78" t="s">
        <v>319</v>
      </c>
      <c r="K82" s="73" t="str">
        <f t="shared" si="3"/>
        <v>p-dtg-kfk05-nic</v>
      </c>
      <c r="L82" s="79" t="s">
        <v>226</v>
      </c>
      <c r="M82" s="73"/>
    </row>
    <row r="83" spans="1:13" x14ac:dyDescent="0.3">
      <c r="A83" s="90"/>
      <c r="B83" s="80" t="s">
        <v>23</v>
      </c>
      <c r="C83" s="80" t="str" cm="1">
        <f t="array" ref="C83">UPPER(INDEX(_xlfn.TEXTSPLIT($E83, "-"), 2))</f>
        <v>DTG</v>
      </c>
      <c r="D83" s="80" t="s">
        <v>323</v>
      </c>
      <c r="E83" s="80" t="str">
        <f t="shared" si="2"/>
        <v>p-dtg-mdoms01-nsg</v>
      </c>
      <c r="F83" s="74" t="s">
        <v>323</v>
      </c>
      <c r="G83" s="80" t="s">
        <v>238</v>
      </c>
      <c r="H83" s="74" t="s">
        <v>1013</v>
      </c>
      <c r="I83" s="74" t="s">
        <v>429</v>
      </c>
      <c r="J83" s="80" t="s">
        <v>319</v>
      </c>
      <c r="K83" s="74" t="str">
        <f t="shared" si="3"/>
        <v>p-dtg-mdoms01-nic</v>
      </c>
      <c r="L83" s="81" t="s">
        <v>226</v>
      </c>
      <c r="M83" s="74"/>
    </row>
    <row r="84" spans="1:13" x14ac:dyDescent="0.3">
      <c r="A84" s="90"/>
      <c r="B84" s="78" t="s">
        <v>23</v>
      </c>
      <c r="C84" s="78" t="str" cm="1">
        <f t="array" ref="C84">UPPER(INDEX(_xlfn.TEXTSPLIT($E84, "-"), 2))</f>
        <v>DTG</v>
      </c>
      <c r="D84" s="78" t="s">
        <v>323</v>
      </c>
      <c r="E84" s="78" t="str">
        <f t="shared" si="2"/>
        <v>p-dtg-cdmlap01-nsg</v>
      </c>
      <c r="F84" s="73" t="s">
        <v>323</v>
      </c>
      <c r="G84" s="78" t="s">
        <v>238</v>
      </c>
      <c r="H84" s="73" t="s">
        <v>1013</v>
      </c>
      <c r="I84" s="73" t="s">
        <v>430</v>
      </c>
      <c r="J84" s="78" t="s">
        <v>319</v>
      </c>
      <c r="K84" s="73" t="str">
        <f t="shared" si="3"/>
        <v>p-dtg-cdmlap01-nic</v>
      </c>
      <c r="L84" s="79" t="s">
        <v>226</v>
      </c>
      <c r="M84" s="73"/>
    </row>
    <row r="85" spans="1:13" x14ac:dyDescent="0.3">
      <c r="A85" s="90"/>
      <c r="B85" s="80" t="s">
        <v>23</v>
      </c>
      <c r="C85" s="80" t="str" cm="1">
        <f t="array" ref="C85">UPPER(INDEX(_xlfn.TEXTSPLIT($E85, "-"), 2))</f>
        <v>DTG</v>
      </c>
      <c r="D85" s="80" t="s">
        <v>323</v>
      </c>
      <c r="E85" s="80" t="str">
        <f t="shared" si="2"/>
        <v>p-dtg-cdmlap02-nsg</v>
      </c>
      <c r="F85" s="74" t="s">
        <v>323</v>
      </c>
      <c r="G85" s="80" t="s">
        <v>238</v>
      </c>
      <c r="H85" s="74" t="s">
        <v>1013</v>
      </c>
      <c r="I85" s="74" t="s">
        <v>431</v>
      </c>
      <c r="J85" s="80" t="s">
        <v>319</v>
      </c>
      <c r="K85" s="74" t="str">
        <f t="shared" si="3"/>
        <v>p-dtg-cdmlap02-nic</v>
      </c>
      <c r="L85" s="81" t="s">
        <v>226</v>
      </c>
      <c r="M85" s="74"/>
    </row>
    <row r="86" spans="1:13" x14ac:dyDescent="0.3">
      <c r="A86" s="90"/>
      <c r="B86" s="78" t="s">
        <v>23</v>
      </c>
      <c r="C86" s="78" t="str" cm="1">
        <f t="array" ref="C86">UPPER(INDEX(_xlfn.TEXTSPLIT($E86, "-"), 2))</f>
        <v>DTG</v>
      </c>
      <c r="D86" s="78" t="s">
        <v>323</v>
      </c>
      <c r="E86" s="78" t="str">
        <f t="shared" si="2"/>
        <v>p-dtg-cdmlap03-nsg</v>
      </c>
      <c r="F86" s="73" t="s">
        <v>323</v>
      </c>
      <c r="G86" s="78" t="s">
        <v>238</v>
      </c>
      <c r="H86" s="73" t="s">
        <v>1013</v>
      </c>
      <c r="I86" s="73" t="s">
        <v>432</v>
      </c>
      <c r="J86" s="78" t="s">
        <v>319</v>
      </c>
      <c r="K86" s="73" t="str">
        <f t="shared" si="3"/>
        <v>p-dtg-cdmlap03-nic</v>
      </c>
      <c r="L86" s="79" t="s">
        <v>226</v>
      </c>
      <c r="M86" s="73"/>
    </row>
    <row r="87" spans="1:13" x14ac:dyDescent="0.3">
      <c r="A87" s="90"/>
      <c r="B87" s="80" t="s">
        <v>23</v>
      </c>
      <c r="C87" s="80" t="str" cm="1">
        <f t="array" ref="C87">UPPER(INDEX(_xlfn.TEXTSPLIT($E87, "-"), 2))</f>
        <v>DTG</v>
      </c>
      <c r="D87" s="80" t="s">
        <v>323</v>
      </c>
      <c r="E87" s="80" t="str">
        <f t="shared" si="2"/>
        <v>p-dtg-cdstap01-nsg</v>
      </c>
      <c r="F87" s="74" t="s">
        <v>323</v>
      </c>
      <c r="G87" s="80" t="s">
        <v>238</v>
      </c>
      <c r="H87" s="74" t="s">
        <v>1013</v>
      </c>
      <c r="I87" s="74" t="s">
        <v>433</v>
      </c>
      <c r="J87" s="80" t="s">
        <v>319</v>
      </c>
      <c r="K87" s="74" t="str">
        <f t="shared" si="3"/>
        <v>p-dtg-cdstap01-nic</v>
      </c>
      <c r="L87" s="81" t="s">
        <v>226</v>
      </c>
      <c r="M87" s="74"/>
    </row>
    <row r="88" spans="1:13" x14ac:dyDescent="0.3">
      <c r="A88" s="90"/>
      <c r="B88" s="78" t="s">
        <v>23</v>
      </c>
      <c r="C88" s="78" t="str" cm="1">
        <f t="array" ref="C88">UPPER(INDEX(_xlfn.TEXTSPLIT($E88, "-"), 2))</f>
        <v>DTG</v>
      </c>
      <c r="D88" s="78" t="s">
        <v>323</v>
      </c>
      <c r="E88" s="78" t="str">
        <f>SUBSTITUTE(I88,"hazr-","")&amp;"-nsg"</f>
        <v>p-dtg-cdstap02-nsg</v>
      </c>
      <c r="F88" s="73" t="s">
        <v>323</v>
      </c>
      <c r="G88" s="78" t="s">
        <v>238</v>
      </c>
      <c r="H88" s="73" t="s">
        <v>1013</v>
      </c>
      <c r="I88" s="73" t="s">
        <v>434</v>
      </c>
      <c r="J88" s="78" t="s">
        <v>319</v>
      </c>
      <c r="K88" s="73" t="str">
        <f t="shared" si="3"/>
        <v>p-dtg-cdstap02-nic</v>
      </c>
      <c r="L88" s="79" t="s">
        <v>226</v>
      </c>
      <c r="M88" s="73"/>
    </row>
    <row r="89" spans="1:13" x14ac:dyDescent="0.3">
      <c r="A89" s="90"/>
      <c r="B89" s="80" t="s">
        <v>23</v>
      </c>
      <c r="C89" s="80" t="str" cm="1">
        <f t="array" ref="C89">UPPER(INDEX(_xlfn.TEXTSPLIT($E89, "-"), 2))</f>
        <v>DTG</v>
      </c>
      <c r="D89" s="80" t="s">
        <v>323</v>
      </c>
      <c r="E89" s="80" t="str">
        <f>SUBSTITUTE(I89,"hazr-","")&amp;"-nsg"</f>
        <v>p-dtg-cdstap03-nsg</v>
      </c>
      <c r="F89" s="74" t="s">
        <v>323</v>
      </c>
      <c r="G89" s="80" t="s">
        <v>238</v>
      </c>
      <c r="H89" s="74" t="s">
        <v>1013</v>
      </c>
      <c r="I89" s="74" t="s">
        <v>435</v>
      </c>
      <c r="J89" s="80" t="s">
        <v>319</v>
      </c>
      <c r="K89" s="74" t="str">
        <f t="shared" si="3"/>
        <v>p-dtg-cdstap03-nic</v>
      </c>
      <c r="L89" s="81" t="s">
        <v>226</v>
      </c>
      <c r="M89" s="74"/>
    </row>
    <row r="90" spans="1:13" x14ac:dyDescent="0.3">
      <c r="A90" s="90"/>
      <c r="B90" s="78" t="s">
        <v>23</v>
      </c>
      <c r="C90" s="78" t="str" cm="1">
        <f t="array" ref="C90">UPPER(INDEX(_xlfn.TEXTSPLIT($E90, "-"), 2))</f>
        <v>DTG</v>
      </c>
      <c r="D90" s="78" t="s">
        <v>323</v>
      </c>
      <c r="E90" s="78" t="str">
        <f t="shared" ref="E90:E140" si="4">SUBSTITUTE(I90,"hazr-","")&amp;"-nsg"</f>
        <v>p-dtg-cdstap04-nsg</v>
      </c>
      <c r="F90" s="73" t="s">
        <v>323</v>
      </c>
      <c r="G90" s="78" t="s">
        <v>238</v>
      </c>
      <c r="H90" s="73" t="s">
        <v>1013</v>
      </c>
      <c r="I90" s="73" t="s">
        <v>436</v>
      </c>
      <c r="J90" s="78" t="s">
        <v>319</v>
      </c>
      <c r="K90" s="73" t="str">
        <f t="shared" si="3"/>
        <v>p-dtg-cdstap04-nic</v>
      </c>
      <c r="L90" s="79" t="s">
        <v>226</v>
      </c>
      <c r="M90" s="73"/>
    </row>
    <row r="91" spans="1:13" x14ac:dyDescent="0.3">
      <c r="A91" s="90"/>
      <c r="B91" s="80" t="s">
        <v>23</v>
      </c>
      <c r="C91" s="80" t="str" cm="1">
        <f t="array" ref="C91">UPPER(INDEX(_xlfn.TEXTSPLIT($E91, "-"), 2))</f>
        <v>DTG</v>
      </c>
      <c r="D91" s="80" t="s">
        <v>323</v>
      </c>
      <c r="E91" s="80" t="str">
        <f t="shared" si="4"/>
        <v>p-dtg-cdstap05-nsg</v>
      </c>
      <c r="F91" s="74" t="s">
        <v>323</v>
      </c>
      <c r="G91" s="80" t="s">
        <v>238</v>
      </c>
      <c r="H91" s="74" t="s">
        <v>1013</v>
      </c>
      <c r="I91" s="74" t="s">
        <v>437</v>
      </c>
      <c r="J91" s="80" t="s">
        <v>319</v>
      </c>
      <c r="K91" s="74" t="str">
        <f t="shared" si="3"/>
        <v>p-dtg-cdstap05-nic</v>
      </c>
      <c r="L91" s="81" t="s">
        <v>226</v>
      </c>
      <c r="M91" s="74"/>
    </row>
    <row r="92" spans="1:13" x14ac:dyDescent="0.3">
      <c r="A92" s="90"/>
      <c r="B92" s="78" t="s">
        <v>23</v>
      </c>
      <c r="C92" s="78" t="str" cm="1">
        <f t="array" ref="C92">UPPER(INDEX(_xlfn.TEXTSPLIT($E92, "-"), 2))</f>
        <v>DTG</v>
      </c>
      <c r="D92" s="78" t="s">
        <v>323</v>
      </c>
      <c r="E92" s="78" t="str">
        <f t="shared" si="4"/>
        <v>p-dtg-cdstap06-nsg</v>
      </c>
      <c r="F92" s="73" t="s">
        <v>323</v>
      </c>
      <c r="G92" s="78" t="s">
        <v>237</v>
      </c>
      <c r="H92" s="73" t="s">
        <v>1013</v>
      </c>
      <c r="I92" s="73" t="s">
        <v>438</v>
      </c>
      <c r="J92" s="78" t="s">
        <v>319</v>
      </c>
      <c r="K92" s="73" t="str">
        <f t="shared" si="3"/>
        <v>p-dtg-cdstap06-nic</v>
      </c>
      <c r="L92" s="79" t="s">
        <v>226</v>
      </c>
      <c r="M92" s="73"/>
    </row>
    <row r="93" spans="1:13" x14ac:dyDescent="0.3">
      <c r="A93" s="90"/>
      <c r="B93" s="80" t="s">
        <v>23</v>
      </c>
      <c r="C93" s="80" t="str" cm="1">
        <f t="array" ref="C93">UPPER(INDEX(_xlfn.TEXTSPLIT($E93, "-"), 2))</f>
        <v>DTG</v>
      </c>
      <c r="D93" s="80" t="s">
        <v>323</v>
      </c>
      <c r="E93" s="80" t="str">
        <f t="shared" si="4"/>
        <v>p-dtg-cdsvadm01-nsg</v>
      </c>
      <c r="F93" s="74" t="s">
        <v>323</v>
      </c>
      <c r="G93" s="80" t="s">
        <v>237</v>
      </c>
      <c r="H93" s="74" t="s">
        <v>1013</v>
      </c>
      <c r="I93" s="74" t="s">
        <v>439</v>
      </c>
      <c r="J93" s="80" t="s">
        <v>319</v>
      </c>
      <c r="K93" s="74" t="str">
        <f t="shared" si="3"/>
        <v>p-dtg-cdsvadm01-nic</v>
      </c>
      <c r="L93" s="81" t="s">
        <v>226</v>
      </c>
      <c r="M93" s="74"/>
    </row>
    <row r="94" spans="1:13" x14ac:dyDescent="0.3">
      <c r="A94" s="90"/>
      <c r="B94" s="78" t="s">
        <v>23</v>
      </c>
      <c r="C94" s="78" t="str" cm="1">
        <f t="array" ref="C94">UPPER(INDEX(_xlfn.TEXTSPLIT($E94, "-"), 2))</f>
        <v>DTG</v>
      </c>
      <c r="D94" s="78" t="s">
        <v>323</v>
      </c>
      <c r="E94" s="78" t="str">
        <f t="shared" si="4"/>
        <v>p-dtg-cdsvadm02-nsg</v>
      </c>
      <c r="F94" s="73" t="s">
        <v>323</v>
      </c>
      <c r="G94" s="78" t="s">
        <v>238</v>
      </c>
      <c r="H94" s="73" t="s">
        <v>1013</v>
      </c>
      <c r="I94" s="73" t="s">
        <v>440</v>
      </c>
      <c r="J94" s="78" t="s">
        <v>319</v>
      </c>
      <c r="K94" s="73" t="str">
        <f t="shared" si="3"/>
        <v>p-dtg-cdsvadm02-nic</v>
      </c>
      <c r="L94" s="79" t="s">
        <v>226</v>
      </c>
      <c r="M94" s="73"/>
    </row>
    <row r="95" spans="1:13" x14ac:dyDescent="0.3">
      <c r="A95" s="90"/>
      <c r="B95" s="80" t="s">
        <v>23</v>
      </c>
      <c r="C95" s="80" t="str" cm="1">
        <f t="array" ref="C95">UPPER(INDEX(_xlfn.TEXTSPLIT($E95, "-"), 2))</f>
        <v>DTG</v>
      </c>
      <c r="D95" s="80" t="s">
        <v>323</v>
      </c>
      <c r="E95" s="80" t="str">
        <f t="shared" si="4"/>
        <v>p-dtg-diosap01-nsg</v>
      </c>
      <c r="F95" s="74" t="s">
        <v>323</v>
      </c>
      <c r="G95" s="80" t="s">
        <v>238</v>
      </c>
      <c r="H95" s="74" t="s">
        <v>1013</v>
      </c>
      <c r="I95" s="74" t="s">
        <v>441</v>
      </c>
      <c r="J95" s="80" t="s">
        <v>319</v>
      </c>
      <c r="K95" s="74" t="str">
        <f t="shared" si="3"/>
        <v>p-dtg-diosap01-nic</v>
      </c>
      <c r="L95" s="81" t="s">
        <v>226</v>
      </c>
      <c r="M95" s="74"/>
    </row>
    <row r="96" spans="1:13" x14ac:dyDescent="0.3">
      <c r="A96" s="90"/>
      <c r="B96" s="78" t="s">
        <v>23</v>
      </c>
      <c r="C96" s="78" t="str" cm="1">
        <f t="array" ref="C96">UPPER(INDEX(_xlfn.TEXTSPLIT($E96, "-"), 2))</f>
        <v>DTG</v>
      </c>
      <c r="D96" s="78" t="s">
        <v>323</v>
      </c>
      <c r="E96" s="78" t="str">
        <f t="shared" si="4"/>
        <v>p-dtg-diosap02-nsg</v>
      </c>
      <c r="F96" s="73" t="s">
        <v>323</v>
      </c>
      <c r="G96" s="78" t="s">
        <v>238</v>
      </c>
      <c r="H96" s="73" t="s">
        <v>1013</v>
      </c>
      <c r="I96" s="73" t="s">
        <v>442</v>
      </c>
      <c r="J96" s="78" t="s">
        <v>319</v>
      </c>
      <c r="K96" s="73" t="str">
        <f t="shared" si="3"/>
        <v>p-dtg-diosap02-nic</v>
      </c>
      <c r="L96" s="79" t="s">
        <v>226</v>
      </c>
      <c r="M96" s="73"/>
    </row>
    <row r="97" spans="1:13" x14ac:dyDescent="0.3">
      <c r="A97" s="90"/>
      <c r="B97" s="80" t="s">
        <v>23</v>
      </c>
      <c r="C97" s="80" t="str" cm="1">
        <f t="array" ref="C97">UPPER(INDEX(_xlfn.TEXTSPLIT($E97, "-"), 2))</f>
        <v>DTG</v>
      </c>
      <c r="D97" s="80" t="s">
        <v>323</v>
      </c>
      <c r="E97" s="80" t="str">
        <f t="shared" si="4"/>
        <v>p-dtg-diosweb01-nsg</v>
      </c>
      <c r="F97" s="74" t="s">
        <v>323</v>
      </c>
      <c r="G97" s="80" t="s">
        <v>238</v>
      </c>
      <c r="H97" s="74" t="s">
        <v>1013</v>
      </c>
      <c r="I97" s="74" t="s">
        <v>443</v>
      </c>
      <c r="J97" s="80" t="s">
        <v>319</v>
      </c>
      <c r="K97" s="74" t="str">
        <f t="shared" si="3"/>
        <v>p-dtg-diosweb01-nic</v>
      </c>
      <c r="L97" s="81" t="s">
        <v>226</v>
      </c>
      <c r="M97" s="74"/>
    </row>
    <row r="98" spans="1:13" x14ac:dyDescent="0.3">
      <c r="A98" s="90"/>
      <c r="B98" s="78" t="s">
        <v>23</v>
      </c>
      <c r="C98" s="78" t="str" cm="1">
        <f t="array" ref="C98">UPPER(INDEX(_xlfn.TEXTSPLIT($E98, "-"), 2))</f>
        <v>DTG</v>
      </c>
      <c r="D98" s="78" t="s">
        <v>323</v>
      </c>
      <c r="E98" s="78" t="str">
        <f t="shared" si="4"/>
        <v>p-dtg-diosweb02-nsg</v>
      </c>
      <c r="F98" s="73" t="s">
        <v>323</v>
      </c>
      <c r="G98" s="78" t="s">
        <v>238</v>
      </c>
      <c r="H98" s="73" t="s">
        <v>1013</v>
      </c>
      <c r="I98" s="73" t="s">
        <v>444</v>
      </c>
      <c r="J98" s="78" t="s">
        <v>319</v>
      </c>
      <c r="K98" s="73" t="str">
        <f t="shared" si="3"/>
        <v>p-dtg-diosweb02-nic</v>
      </c>
      <c r="L98" s="79" t="s">
        <v>226</v>
      </c>
      <c r="M98" s="73"/>
    </row>
    <row r="99" spans="1:13" x14ac:dyDescent="0.3">
      <c r="A99" s="90"/>
      <c r="B99" s="80" t="s">
        <v>23</v>
      </c>
      <c r="C99" s="80" t="str" cm="1">
        <f t="array" ref="C99">UPPER(INDEX(_xlfn.TEXTSPLIT($E99, "-"), 2))</f>
        <v>DTG</v>
      </c>
      <c r="D99" s="80" t="s">
        <v>323</v>
      </c>
      <c r="E99" s="80" t="str">
        <f t="shared" si="4"/>
        <v>p-dtg-dprweb01-nsg</v>
      </c>
      <c r="F99" s="74" t="s">
        <v>323</v>
      </c>
      <c r="G99" s="80" t="s">
        <v>238</v>
      </c>
      <c r="H99" s="74" t="s">
        <v>1014</v>
      </c>
      <c r="I99" s="74" t="s">
        <v>445</v>
      </c>
      <c r="J99" s="80" t="s">
        <v>319</v>
      </c>
      <c r="K99" s="74" t="str">
        <f t="shared" si="3"/>
        <v>p-dtg-dprweb01-nic</v>
      </c>
      <c r="L99" s="81" t="s">
        <v>226</v>
      </c>
      <c r="M99" s="74"/>
    </row>
    <row r="100" spans="1:13" x14ac:dyDescent="0.3">
      <c r="A100" s="90"/>
      <c r="B100" s="78" t="s">
        <v>23</v>
      </c>
      <c r="C100" s="78" t="str" cm="1">
        <f t="array" ref="C100">UPPER(INDEX(_xlfn.TEXTSPLIT($E100, "-"), 2))</f>
        <v>DTG</v>
      </c>
      <c r="D100" s="78" t="s">
        <v>323</v>
      </c>
      <c r="E100" s="78" t="str">
        <f t="shared" si="4"/>
        <v>p-dtg-dprweb02-nsg</v>
      </c>
      <c r="F100" s="73" t="s">
        <v>323</v>
      </c>
      <c r="G100" s="78" t="s">
        <v>238</v>
      </c>
      <c r="H100" s="73" t="s">
        <v>1014</v>
      </c>
      <c r="I100" s="73" t="s">
        <v>446</v>
      </c>
      <c r="J100" s="78" t="s">
        <v>319</v>
      </c>
      <c r="K100" s="73" t="str">
        <f t="shared" si="3"/>
        <v>p-dtg-dprweb02-nic</v>
      </c>
      <c r="L100" s="79" t="s">
        <v>226</v>
      </c>
      <c r="M100" s="73"/>
    </row>
    <row r="101" spans="1:13" x14ac:dyDescent="0.3">
      <c r="A101" s="90"/>
      <c r="B101" s="80" t="s">
        <v>23</v>
      </c>
      <c r="C101" s="80" t="str" cm="1">
        <f t="array" ref="C101">UPPER(INDEX(_xlfn.TEXTSPLIT($E101, "-"), 2))</f>
        <v>DTG</v>
      </c>
      <c r="D101" s="80" t="s">
        <v>323</v>
      </c>
      <c r="E101" s="80" t="str">
        <f t="shared" si="4"/>
        <v>p-dtg-dprap01-nsg</v>
      </c>
      <c r="F101" s="74" t="s">
        <v>323</v>
      </c>
      <c r="G101" s="80" t="s">
        <v>238</v>
      </c>
      <c r="H101" s="74" t="s">
        <v>1013</v>
      </c>
      <c r="I101" s="74" t="s">
        <v>447</v>
      </c>
      <c r="J101" s="80" t="s">
        <v>319</v>
      </c>
      <c r="K101" s="74" t="str">
        <f t="shared" si="3"/>
        <v>p-dtg-dprap01-nic</v>
      </c>
      <c r="L101" s="81" t="s">
        <v>226</v>
      </c>
      <c r="M101" s="74"/>
    </row>
    <row r="102" spans="1:13" x14ac:dyDescent="0.3">
      <c r="A102" s="90"/>
      <c r="B102" s="78" t="s">
        <v>23</v>
      </c>
      <c r="C102" s="78" t="str" cm="1">
        <f t="array" ref="C102">UPPER(INDEX(_xlfn.TEXTSPLIT($E102, "-"), 2))</f>
        <v>DTG</v>
      </c>
      <c r="D102" s="78" t="s">
        <v>323</v>
      </c>
      <c r="E102" s="78" t="str">
        <f t="shared" si="4"/>
        <v>p-dtg-dprap02-nsg</v>
      </c>
      <c r="F102" s="73" t="s">
        <v>323</v>
      </c>
      <c r="G102" s="78" t="s">
        <v>238</v>
      </c>
      <c r="H102" s="73" t="s">
        <v>1013</v>
      </c>
      <c r="I102" s="73" t="s">
        <v>448</v>
      </c>
      <c r="J102" s="78" t="s">
        <v>319</v>
      </c>
      <c r="K102" s="73" t="str">
        <f t="shared" si="3"/>
        <v>p-dtg-dprap02-nic</v>
      </c>
      <c r="L102" s="79" t="s">
        <v>226</v>
      </c>
      <c r="M102" s="73"/>
    </row>
    <row r="103" spans="1:13" x14ac:dyDescent="0.3">
      <c r="A103" s="90"/>
      <c r="B103" s="80" t="s">
        <v>23</v>
      </c>
      <c r="C103" s="80" t="str" cm="1">
        <f t="array" ref="C103">UPPER(INDEX(_xlfn.TEXTSPLIT($E103, "-"), 2))</f>
        <v>BDP</v>
      </c>
      <c r="D103" s="80" t="s">
        <v>323</v>
      </c>
      <c r="E103" s="80" t="str">
        <f t="shared" si="4"/>
        <v>p-bdp-kepler01-nsg</v>
      </c>
      <c r="F103" s="74" t="s">
        <v>323</v>
      </c>
      <c r="G103" s="80" t="s">
        <v>238</v>
      </c>
      <c r="H103" s="74" t="s">
        <v>1015</v>
      </c>
      <c r="I103" s="74" t="s">
        <v>449</v>
      </c>
      <c r="J103" s="80" t="s">
        <v>321</v>
      </c>
      <c r="K103" s="74" t="str">
        <f t="shared" si="3"/>
        <v>p-bdp-kepler01-nic</v>
      </c>
      <c r="L103" s="81" t="s">
        <v>226</v>
      </c>
      <c r="M103" s="74"/>
    </row>
    <row r="104" spans="1:13" x14ac:dyDescent="0.3">
      <c r="A104" s="90"/>
      <c r="B104" s="78" t="s">
        <v>23</v>
      </c>
      <c r="C104" s="78" t="str" cm="1">
        <f t="array" ref="C104">UPPER(INDEX(_xlfn.TEXTSPLIT($E104, "-"), 2))</f>
        <v>BDP</v>
      </c>
      <c r="D104" s="78" t="s">
        <v>323</v>
      </c>
      <c r="E104" s="78" t="str">
        <f t="shared" si="4"/>
        <v>p-bdp-airfw01-nsg</v>
      </c>
      <c r="F104" s="73" t="s">
        <v>323</v>
      </c>
      <c r="G104" s="78" t="s">
        <v>238</v>
      </c>
      <c r="H104" s="73" t="s">
        <v>1015</v>
      </c>
      <c r="I104" s="73" t="s">
        <v>450</v>
      </c>
      <c r="J104" s="78" t="s">
        <v>321</v>
      </c>
      <c r="K104" s="73" t="str">
        <f t="shared" si="3"/>
        <v>p-bdp-airfw01-nic</v>
      </c>
      <c r="L104" s="79" t="s">
        <v>226</v>
      </c>
      <c r="M104" s="73"/>
    </row>
    <row r="105" spans="1:13" x14ac:dyDescent="0.3">
      <c r="A105" s="90"/>
      <c r="B105" s="80" t="s">
        <v>23</v>
      </c>
      <c r="C105" s="80" t="str" cm="1">
        <f t="array" ref="C105">UPPER(INDEX(_xlfn.TEXTSPLIT($E105, "-"), 2))</f>
        <v>BDP</v>
      </c>
      <c r="D105" s="80" t="s">
        <v>323</v>
      </c>
      <c r="E105" s="80" t="str">
        <f t="shared" si="4"/>
        <v>p-bdp-cxmadm01-nsg</v>
      </c>
      <c r="F105" s="74" t="s">
        <v>323</v>
      </c>
      <c r="G105" s="80" t="s">
        <v>238</v>
      </c>
      <c r="H105" s="74" t="s">
        <v>1015</v>
      </c>
      <c r="I105" s="74" t="s">
        <v>451</v>
      </c>
      <c r="J105" s="80" t="s">
        <v>321</v>
      </c>
      <c r="K105" s="74" t="str">
        <f t="shared" si="3"/>
        <v>p-bdp-cxmadm01-nic</v>
      </c>
      <c r="L105" s="81" t="s">
        <v>226</v>
      </c>
      <c r="M105" s="74"/>
    </row>
    <row r="106" spans="1:13" x14ac:dyDescent="0.3">
      <c r="A106" s="90"/>
      <c r="B106" s="78" t="s">
        <v>23</v>
      </c>
      <c r="C106" s="78" t="str" cm="1">
        <f t="array" ref="C106">UPPER(INDEX(_xlfn.TEXTSPLIT($E106, "-"), 2))</f>
        <v>BDP</v>
      </c>
      <c r="D106" s="78" t="s">
        <v>323</v>
      </c>
      <c r="E106" s="78" t="str">
        <f t="shared" si="4"/>
        <v>p-bdp-cxmadm02-nsg</v>
      </c>
      <c r="F106" s="73" t="s">
        <v>323</v>
      </c>
      <c r="G106" s="78" t="s">
        <v>238</v>
      </c>
      <c r="H106" s="73" t="s">
        <v>1015</v>
      </c>
      <c r="I106" s="73" t="s">
        <v>452</v>
      </c>
      <c r="J106" s="78" t="s">
        <v>321</v>
      </c>
      <c r="K106" s="73" t="str">
        <f t="shared" si="3"/>
        <v>p-bdp-cxmadm02-nic</v>
      </c>
      <c r="L106" s="79" t="s">
        <v>226</v>
      </c>
      <c r="M106" s="73"/>
    </row>
    <row r="107" spans="1:13" x14ac:dyDescent="0.3">
      <c r="A107" s="90"/>
      <c r="B107" s="80" t="s">
        <v>23</v>
      </c>
      <c r="C107" s="80" t="str" cm="1">
        <f t="array" ref="C107">UPPER(INDEX(_xlfn.TEXTSPLIT($E107, "-"), 2))</f>
        <v>BDP</v>
      </c>
      <c r="D107" s="80" t="s">
        <v>323</v>
      </c>
      <c r="E107" s="80" t="str">
        <f t="shared" si="4"/>
        <v>p-bdp-slap01-nsg</v>
      </c>
      <c r="F107" s="74" t="s">
        <v>323</v>
      </c>
      <c r="G107" s="80" t="s">
        <v>238</v>
      </c>
      <c r="H107" s="74" t="s">
        <v>1015</v>
      </c>
      <c r="I107" s="74" t="s">
        <v>453</v>
      </c>
      <c r="J107" s="80" t="s">
        <v>321</v>
      </c>
      <c r="K107" s="74" t="str">
        <f t="shared" si="3"/>
        <v>p-bdp-slap01-nic</v>
      </c>
      <c r="L107" s="81" t="s">
        <v>226</v>
      </c>
      <c r="M107" s="74"/>
    </row>
    <row r="108" spans="1:13" x14ac:dyDescent="0.3">
      <c r="A108" s="90"/>
      <c r="B108" s="78" t="s">
        <v>23</v>
      </c>
      <c r="C108" s="78" t="str" cm="1">
        <f t="array" ref="C108">UPPER(INDEX(_xlfn.TEXTSPLIT($E108, "-"), 2))</f>
        <v>BDP</v>
      </c>
      <c r="D108" s="78" t="s">
        <v>323</v>
      </c>
      <c r="E108" s="78" t="str">
        <f t="shared" si="4"/>
        <v>p-bdp-slap02-nsg</v>
      </c>
      <c r="F108" s="73" t="s">
        <v>323</v>
      </c>
      <c r="G108" s="78" t="s">
        <v>238</v>
      </c>
      <c r="H108" s="73" t="s">
        <v>1015</v>
      </c>
      <c r="I108" s="73" t="s">
        <v>454</v>
      </c>
      <c r="J108" s="78" t="s">
        <v>321</v>
      </c>
      <c r="K108" s="73" t="str">
        <f t="shared" si="3"/>
        <v>p-bdp-slap02-nic</v>
      </c>
      <c r="L108" s="79" t="s">
        <v>226</v>
      </c>
      <c r="M108" s="73"/>
    </row>
    <row r="109" spans="1:13" x14ac:dyDescent="0.3">
      <c r="A109" s="90"/>
      <c r="B109" s="80" t="s">
        <v>23</v>
      </c>
      <c r="C109" s="80" t="str" cm="1">
        <f t="array" ref="C109">UPPER(INDEX(_xlfn.TEXTSPLIT($E109, "-"), 2))</f>
        <v>IF</v>
      </c>
      <c r="D109" s="80" t="s">
        <v>323</v>
      </c>
      <c r="E109" s="80" t="str">
        <f t="shared" si="4"/>
        <v>p-if-auth01-nsg</v>
      </c>
      <c r="F109" s="74" t="s">
        <v>323</v>
      </c>
      <c r="G109" s="80" t="s">
        <v>238</v>
      </c>
      <c r="H109" s="74" t="s">
        <v>1016</v>
      </c>
      <c r="I109" s="74" t="s">
        <v>455</v>
      </c>
      <c r="J109" s="80" t="s">
        <v>320</v>
      </c>
      <c r="K109" s="74" t="str">
        <f t="shared" si="3"/>
        <v>p-if-auth01-nic</v>
      </c>
      <c r="L109" s="81" t="s">
        <v>226</v>
      </c>
      <c r="M109" s="74"/>
    </row>
    <row r="110" spans="1:13" x14ac:dyDescent="0.3">
      <c r="A110" s="90"/>
      <c r="B110" s="78" t="s">
        <v>23</v>
      </c>
      <c r="C110" s="78" t="str" cm="1">
        <f t="array" ref="C110">UPPER(INDEX(_xlfn.TEXTSPLIT($E110, "-"), 2))</f>
        <v>IF</v>
      </c>
      <c r="D110" s="78" t="s">
        <v>323</v>
      </c>
      <c r="E110" s="78" t="str">
        <f t="shared" si="4"/>
        <v>p-if-auth02-nsg</v>
      </c>
      <c r="F110" s="73" t="s">
        <v>323</v>
      </c>
      <c r="G110" s="78" t="s">
        <v>238</v>
      </c>
      <c r="H110" s="73" t="s">
        <v>1016</v>
      </c>
      <c r="I110" s="73" t="s">
        <v>456</v>
      </c>
      <c r="J110" s="78" t="s">
        <v>320</v>
      </c>
      <c r="K110" s="73" t="str">
        <f t="shared" si="3"/>
        <v>p-if-auth02-nic</v>
      </c>
      <c r="L110" s="79" t="s">
        <v>226</v>
      </c>
      <c r="M110" s="73"/>
    </row>
    <row r="111" spans="1:13" x14ac:dyDescent="0.3">
      <c r="A111" s="90"/>
      <c r="B111" s="80" t="s">
        <v>23</v>
      </c>
      <c r="C111" s="80" t="str" cm="1">
        <f t="array" ref="C111">UPPER(INDEX(_xlfn.TEXTSPLIT($E111, "-"), 2))</f>
        <v>IF</v>
      </c>
      <c r="D111" s="80" t="s">
        <v>323</v>
      </c>
      <c r="E111" s="80" t="str">
        <f t="shared" si="4"/>
        <v>p-if-gramon01-nsg</v>
      </c>
      <c r="F111" s="74" t="s">
        <v>323</v>
      </c>
      <c r="G111" s="80" t="s">
        <v>238</v>
      </c>
      <c r="H111" s="74" t="s">
        <v>1016</v>
      </c>
      <c r="I111" s="74" t="s">
        <v>457</v>
      </c>
      <c r="J111" s="80" t="s">
        <v>320</v>
      </c>
      <c r="K111" s="74" t="str">
        <f t="shared" si="3"/>
        <v>p-if-gramon01-nic</v>
      </c>
      <c r="L111" s="81" t="s">
        <v>226</v>
      </c>
      <c r="M111" s="74"/>
    </row>
    <row r="112" spans="1:13" x14ac:dyDescent="0.3">
      <c r="A112" s="90"/>
      <c r="B112" s="78" t="s">
        <v>23</v>
      </c>
      <c r="C112" s="78" t="str" cm="1">
        <f t="array" ref="C112">UPPER(INDEX(_xlfn.TEXTSPLIT($E112, "-"), 2))</f>
        <v>IF</v>
      </c>
      <c r="D112" s="78" t="s">
        <v>323</v>
      </c>
      <c r="E112" s="78" t="str">
        <f t="shared" si="4"/>
        <v>p-if-stryap01-nsg</v>
      </c>
      <c r="F112" s="73" t="s">
        <v>323</v>
      </c>
      <c r="G112" s="78" t="s">
        <v>238</v>
      </c>
      <c r="H112" s="73" t="s">
        <v>1016</v>
      </c>
      <c r="I112" s="73" t="s">
        <v>458</v>
      </c>
      <c r="J112" s="78" t="s">
        <v>320</v>
      </c>
      <c r="K112" s="73" t="str">
        <f t="shared" si="3"/>
        <v>p-if-stryap01-nic</v>
      </c>
      <c r="L112" s="79" t="s">
        <v>226</v>
      </c>
      <c r="M112" s="73"/>
    </row>
    <row r="113" spans="1:13" x14ac:dyDescent="0.3">
      <c r="A113" s="90"/>
      <c r="B113" s="80" t="s">
        <v>23</v>
      </c>
      <c r="C113" s="80" t="str" cm="1">
        <f t="array" ref="C113">UPPER(INDEX(_xlfn.TEXTSPLIT($E113, "-"), 2))</f>
        <v>IF</v>
      </c>
      <c r="D113" s="80" t="s">
        <v>323</v>
      </c>
      <c r="E113" s="80" t="str">
        <f t="shared" si="4"/>
        <v>p-if-stryweb01-nsg</v>
      </c>
      <c r="F113" s="74" t="s">
        <v>323</v>
      </c>
      <c r="G113" s="80" t="s">
        <v>238</v>
      </c>
      <c r="H113" s="74" t="s">
        <v>1016</v>
      </c>
      <c r="I113" s="74" t="s">
        <v>459</v>
      </c>
      <c r="J113" s="80" t="s">
        <v>320</v>
      </c>
      <c r="K113" s="74" t="str">
        <f t="shared" si="3"/>
        <v>p-if-stryweb01-nic</v>
      </c>
      <c r="L113" s="81" t="s">
        <v>226</v>
      </c>
      <c r="M113" s="74"/>
    </row>
    <row r="114" spans="1:13" x14ac:dyDescent="0.3">
      <c r="A114" s="90"/>
      <c r="B114" s="73" t="s">
        <v>1040</v>
      </c>
      <c r="C114" s="78" t="str" cm="1">
        <f t="array" ref="C114">UPPER(INDEX(_xlfn.TEXTSPLIT($E114, "-"), 2))</f>
        <v>MON</v>
      </c>
      <c r="D114" s="78" t="s">
        <v>323</v>
      </c>
      <c r="E114" s="78" t="str">
        <f t="shared" si="4"/>
        <v>l-mon-whtap01-nsg</v>
      </c>
      <c r="F114" s="73" t="s">
        <v>323</v>
      </c>
      <c r="G114" s="78" t="s">
        <v>238</v>
      </c>
      <c r="H114" s="73" t="s">
        <v>1045</v>
      </c>
      <c r="I114" s="73" t="s">
        <v>230</v>
      </c>
      <c r="J114" s="78" t="s">
        <v>484</v>
      </c>
      <c r="K114" s="73" t="str">
        <f t="shared" si="3"/>
        <v>l-mon-whtap01-nic</v>
      </c>
      <c r="L114" s="79" t="s">
        <v>226</v>
      </c>
      <c r="M114" s="73"/>
    </row>
    <row r="115" spans="1:13" x14ac:dyDescent="0.3">
      <c r="A115" s="90"/>
      <c r="B115" s="74" t="s">
        <v>1040</v>
      </c>
      <c r="C115" s="80" t="str" cm="1">
        <f t="array" ref="C115">UPPER(INDEX(_xlfn.TEXTSPLIT($E115, "-"), 2))</f>
        <v>MON</v>
      </c>
      <c r="D115" s="80" t="s">
        <v>323</v>
      </c>
      <c r="E115" s="80" t="str">
        <f t="shared" si="4"/>
        <v>l-mon-whtap02-nsg</v>
      </c>
      <c r="F115" s="74" t="s">
        <v>323</v>
      </c>
      <c r="G115" s="80" t="s">
        <v>238</v>
      </c>
      <c r="H115" s="74" t="s">
        <v>1045</v>
      </c>
      <c r="I115" s="74" t="s">
        <v>229</v>
      </c>
      <c r="J115" s="80" t="s">
        <v>484</v>
      </c>
      <c r="K115" s="74" t="str">
        <f t="shared" si="3"/>
        <v>l-mon-whtap02-nic</v>
      </c>
      <c r="L115" s="81" t="s">
        <v>226</v>
      </c>
      <c r="M115" s="74"/>
    </row>
    <row r="116" spans="1:13" x14ac:dyDescent="0.3">
      <c r="A116" s="90"/>
      <c r="B116" s="73" t="s">
        <v>1040</v>
      </c>
      <c r="C116" s="78" t="str" cm="1">
        <f t="array" ref="C116">UPPER(INDEX(_xlfn.TEXTSPLIT($E116, "-"), 2))</f>
        <v>MON</v>
      </c>
      <c r="D116" s="78" t="s">
        <v>323</v>
      </c>
      <c r="E116" s="78" t="str">
        <f t="shared" si="4"/>
        <v>l-mon-whtap03-nsg</v>
      </c>
      <c r="F116" s="73" t="s">
        <v>323</v>
      </c>
      <c r="G116" s="78" t="s">
        <v>238</v>
      </c>
      <c r="H116" s="73" t="s">
        <v>1045</v>
      </c>
      <c r="I116" s="73" t="s">
        <v>233</v>
      </c>
      <c r="J116" s="78" t="s">
        <v>484</v>
      </c>
      <c r="K116" s="73" t="str">
        <f t="shared" si="3"/>
        <v>l-mon-whtap03-nic</v>
      </c>
      <c r="L116" s="79" t="s">
        <v>226</v>
      </c>
      <c r="M116" s="73"/>
    </row>
    <row r="117" spans="1:13" x14ac:dyDescent="0.3">
      <c r="A117" s="90"/>
      <c r="B117" s="80" t="s">
        <v>23</v>
      </c>
      <c r="C117" s="80" t="str" cm="1">
        <f t="array" ref="C117">UPPER(INDEX(_xlfn.TEXTSPLIT($E117, "-"), 2))</f>
        <v>IF</v>
      </c>
      <c r="D117" s="80" t="s">
        <v>323</v>
      </c>
      <c r="E117" s="80" t="str">
        <f t="shared" si="4"/>
        <v>p-if-nbakadm01-nsg</v>
      </c>
      <c r="F117" s="74" t="s">
        <v>323</v>
      </c>
      <c r="G117" s="80" t="s">
        <v>238</v>
      </c>
      <c r="H117" s="74" t="s">
        <v>1016</v>
      </c>
      <c r="I117" s="74" t="s">
        <v>460</v>
      </c>
      <c r="J117" s="80" t="s">
        <v>320</v>
      </c>
      <c r="K117" s="74" t="str">
        <f t="shared" si="3"/>
        <v>p-if-nbakadm01-nic</v>
      </c>
      <c r="L117" s="81" t="s">
        <v>226</v>
      </c>
      <c r="M117" s="74"/>
    </row>
    <row r="118" spans="1:13" x14ac:dyDescent="0.3">
      <c r="B118" s="78" t="s">
        <v>23</v>
      </c>
      <c r="C118" s="78" t="str" cm="1">
        <f t="array" ref="C118">UPPER(INDEX(_xlfn.TEXTSPLIT($E118, "-"), 2))</f>
        <v>IF</v>
      </c>
      <c r="D118" s="78" t="s">
        <v>323</v>
      </c>
      <c r="E118" s="78" t="str">
        <f t="shared" si="4"/>
        <v>p-if-dbenckey01-nsg</v>
      </c>
      <c r="F118" s="73" t="s">
        <v>323</v>
      </c>
      <c r="G118" s="78" t="s">
        <v>237</v>
      </c>
      <c r="H118" s="73" t="s">
        <v>1016</v>
      </c>
      <c r="I118" s="73" t="s">
        <v>461</v>
      </c>
      <c r="J118" s="78" t="s">
        <v>320</v>
      </c>
      <c r="K118" s="73" t="str">
        <f t="shared" si="3"/>
        <v>p-if-dbenckey01-nic</v>
      </c>
      <c r="L118" s="79" t="s">
        <v>226</v>
      </c>
      <c r="M118" s="73"/>
    </row>
    <row r="119" spans="1:13" x14ac:dyDescent="0.3">
      <c r="B119" s="80" t="s">
        <v>23</v>
      </c>
      <c r="C119" s="80" t="str" cm="1">
        <f t="array" ref="C119">UPPER(INDEX(_xlfn.TEXTSPLIT($E119, "-"), 2))</f>
        <v>IF</v>
      </c>
      <c r="D119" s="80" t="s">
        <v>323</v>
      </c>
      <c r="E119" s="80" t="str">
        <f t="shared" si="4"/>
        <v>p-if-dbenckey02-nsg</v>
      </c>
      <c r="F119" s="74" t="s">
        <v>323</v>
      </c>
      <c r="G119" s="80" t="s">
        <v>237</v>
      </c>
      <c r="H119" s="74" t="s">
        <v>1016</v>
      </c>
      <c r="I119" s="74" t="s">
        <v>462</v>
      </c>
      <c r="J119" s="80" t="s">
        <v>320</v>
      </c>
      <c r="K119" s="74" t="str">
        <f t="shared" si="3"/>
        <v>p-if-dbenckey02-nic</v>
      </c>
      <c r="L119" s="81" t="s">
        <v>226</v>
      </c>
      <c r="M119" s="74"/>
    </row>
    <row r="120" spans="1:13" x14ac:dyDescent="0.3">
      <c r="A120" s="90"/>
      <c r="B120" s="78" t="s">
        <v>23</v>
      </c>
      <c r="C120" s="78" t="str" cm="1">
        <f t="array" ref="C120">UPPER(INDEX(_xlfn.TEXTSPLIT($E120, "-"), 2))</f>
        <v>CS</v>
      </c>
      <c r="D120" s="78" t="s">
        <v>323</v>
      </c>
      <c r="E120" s="78" t="str">
        <f t="shared" si="4"/>
        <v>p-cs-chtap01-nsg</v>
      </c>
      <c r="F120" s="73" t="s">
        <v>323</v>
      </c>
      <c r="G120" s="78" t="s">
        <v>238</v>
      </c>
      <c r="H120" s="73" t="s">
        <v>1017</v>
      </c>
      <c r="I120" s="73" t="s">
        <v>463</v>
      </c>
      <c r="J120" s="78" t="s">
        <v>316</v>
      </c>
      <c r="K120" s="73" t="str">
        <f t="shared" si="3"/>
        <v>p-cs-chtap01-nic</v>
      </c>
      <c r="L120" s="79" t="s">
        <v>226</v>
      </c>
      <c r="M120" s="73"/>
    </row>
    <row r="121" spans="1:13" x14ac:dyDescent="0.3">
      <c r="A121" s="90"/>
      <c r="B121" s="80" t="s">
        <v>23</v>
      </c>
      <c r="C121" s="80" t="str" cm="1">
        <f t="array" ref="C121">UPPER(INDEX(_xlfn.TEXTSPLIT($E121, "-"), 2))</f>
        <v>CS</v>
      </c>
      <c r="D121" s="80" t="s">
        <v>323</v>
      </c>
      <c r="E121" s="80" t="str">
        <f t="shared" si="4"/>
        <v>p-cs-chtap02-nsg</v>
      </c>
      <c r="F121" s="74" t="s">
        <v>323</v>
      </c>
      <c r="G121" s="80" t="s">
        <v>238</v>
      </c>
      <c r="H121" s="74" t="s">
        <v>1017</v>
      </c>
      <c r="I121" s="74" t="s">
        <v>464</v>
      </c>
      <c r="J121" s="80" t="s">
        <v>316</v>
      </c>
      <c r="K121" s="74" t="str">
        <f t="shared" si="3"/>
        <v>p-cs-chtap02-nic</v>
      </c>
      <c r="L121" s="81" t="s">
        <v>226</v>
      </c>
      <c r="M121" s="74"/>
    </row>
    <row r="122" spans="1:13" x14ac:dyDescent="0.3">
      <c r="A122" s="90"/>
      <c r="B122" s="78" t="s">
        <v>23</v>
      </c>
      <c r="C122" s="78" t="str" cm="1">
        <f t="array" ref="C122">UPPER(INDEX(_xlfn.TEXTSPLIT($E122, "-"), 2))</f>
        <v>CS</v>
      </c>
      <c r="D122" s="78" t="s">
        <v>323</v>
      </c>
      <c r="E122" s="78" t="str">
        <f t="shared" si="4"/>
        <v>p-cs-chtweb01-nsg</v>
      </c>
      <c r="F122" s="73" t="s">
        <v>323</v>
      </c>
      <c r="G122" s="78" t="s">
        <v>238</v>
      </c>
      <c r="H122" s="73" t="s">
        <v>1018</v>
      </c>
      <c r="I122" s="73" t="s">
        <v>465</v>
      </c>
      <c r="J122" s="78" t="s">
        <v>316</v>
      </c>
      <c r="K122" s="73" t="str">
        <f t="shared" si="3"/>
        <v>p-cs-chtweb01-nic</v>
      </c>
      <c r="L122" s="79" t="s">
        <v>226</v>
      </c>
      <c r="M122" s="73"/>
    </row>
    <row r="123" spans="1:13" x14ac:dyDescent="0.3">
      <c r="A123" s="90"/>
      <c r="B123" s="80" t="s">
        <v>23</v>
      </c>
      <c r="C123" s="80" t="str" cm="1">
        <f t="array" ref="C123">UPPER(INDEX(_xlfn.TEXTSPLIT($E123, "-"), 2))</f>
        <v>CS</v>
      </c>
      <c r="D123" s="80" t="s">
        <v>323</v>
      </c>
      <c r="E123" s="80" t="str">
        <f t="shared" si="4"/>
        <v>p-cs-chtweb02-nsg</v>
      </c>
      <c r="F123" s="74" t="s">
        <v>323</v>
      </c>
      <c r="G123" s="80" t="s">
        <v>238</v>
      </c>
      <c r="H123" s="74" t="s">
        <v>1018</v>
      </c>
      <c r="I123" s="74" t="s">
        <v>466</v>
      </c>
      <c r="J123" s="80" t="s">
        <v>316</v>
      </c>
      <c r="K123" s="74" t="str">
        <f t="shared" si="3"/>
        <v>p-cs-chtweb02-nic</v>
      </c>
      <c r="L123" s="81" t="s">
        <v>226</v>
      </c>
      <c r="M123" s="74"/>
    </row>
    <row r="124" spans="1:13" x14ac:dyDescent="0.3">
      <c r="A124" s="90"/>
      <c r="B124" s="78" t="s">
        <v>23</v>
      </c>
      <c r="C124" s="78" t="str" cm="1">
        <f t="array" ref="C124">UPPER(INDEX(_xlfn.TEXTSPLIT($E124, "-"), 2))</f>
        <v>CS</v>
      </c>
      <c r="D124" s="78" t="s">
        <v>323</v>
      </c>
      <c r="E124" s="78" t="str">
        <f t="shared" si="4"/>
        <v>p-cs-chtintweb01-nsg</v>
      </c>
      <c r="F124" s="73" t="s">
        <v>323</v>
      </c>
      <c r="G124" s="78" t="s">
        <v>238</v>
      </c>
      <c r="H124" s="73" t="s">
        <v>1017</v>
      </c>
      <c r="I124" s="73" t="s">
        <v>467</v>
      </c>
      <c r="J124" s="78" t="s">
        <v>316</v>
      </c>
      <c r="K124" s="73" t="str">
        <f t="shared" si="3"/>
        <v>p-cs-chtintweb01-nic</v>
      </c>
      <c r="L124" s="79" t="s">
        <v>226</v>
      </c>
      <c r="M124" s="73"/>
    </row>
    <row r="125" spans="1:13" x14ac:dyDescent="0.3">
      <c r="A125" s="90"/>
      <c r="B125" s="80" t="s">
        <v>23</v>
      </c>
      <c r="C125" s="80" t="str" cm="1">
        <f t="array" ref="C125">UPPER(INDEX(_xlfn.TEXTSPLIT($E125, "-"), 2))</f>
        <v>CS</v>
      </c>
      <c r="D125" s="80" t="s">
        <v>323</v>
      </c>
      <c r="E125" s="80" t="str">
        <f t="shared" si="4"/>
        <v>p-cs-chtintweb02-nsg</v>
      </c>
      <c r="F125" s="74" t="s">
        <v>323</v>
      </c>
      <c r="G125" s="80" t="s">
        <v>238</v>
      </c>
      <c r="H125" s="74" t="s">
        <v>1017</v>
      </c>
      <c r="I125" s="74" t="s">
        <v>468</v>
      </c>
      <c r="J125" s="80" t="s">
        <v>316</v>
      </c>
      <c r="K125" s="74" t="str">
        <f t="shared" si="3"/>
        <v>p-cs-chtintweb02-nic</v>
      </c>
      <c r="L125" s="81" t="s">
        <v>226</v>
      </c>
      <c r="M125" s="74"/>
    </row>
    <row r="126" spans="1:13" x14ac:dyDescent="0.3">
      <c r="A126" s="90"/>
      <c r="B126" s="78" t="s">
        <v>23</v>
      </c>
      <c r="C126" s="78" t="str" cm="1">
        <f t="array" ref="C126">UPPER(INDEX(_xlfn.TEXTSPLIT($E126, "-"), 2))</f>
        <v>DOIP</v>
      </c>
      <c r="D126" s="78" t="s">
        <v>323</v>
      </c>
      <c r="E126" s="78" t="str">
        <f t="shared" si="4"/>
        <v>p-doip-web01-nsg</v>
      </c>
      <c r="F126" s="73" t="s">
        <v>323</v>
      </c>
      <c r="G126" s="78" t="s">
        <v>238</v>
      </c>
      <c r="H126" s="73" t="s">
        <v>1019</v>
      </c>
      <c r="I126" s="73" t="s">
        <v>469</v>
      </c>
      <c r="J126" s="78" t="s">
        <v>318</v>
      </c>
      <c r="K126" s="73" t="str">
        <f t="shared" ref="K126:K140" si="5">SUBSTITUTE(I126,"hazr-","")&amp;"-nic"</f>
        <v>p-doip-web01-nic</v>
      </c>
      <c r="L126" s="79" t="s">
        <v>226</v>
      </c>
      <c r="M126" s="73"/>
    </row>
    <row r="127" spans="1:13" x14ac:dyDescent="0.3">
      <c r="A127" s="90"/>
      <c r="B127" s="80" t="s">
        <v>23</v>
      </c>
      <c r="C127" s="80" t="str" cm="1">
        <f t="array" ref="C127">UPPER(INDEX(_xlfn.TEXTSPLIT($E127, "-"), 2))</f>
        <v>DOIP</v>
      </c>
      <c r="D127" s="80" t="s">
        <v>323</v>
      </c>
      <c r="E127" s="80" t="str">
        <f t="shared" si="4"/>
        <v>p-doip-web02-nsg</v>
      </c>
      <c r="F127" s="74" t="s">
        <v>323</v>
      </c>
      <c r="G127" s="80" t="s">
        <v>238</v>
      </c>
      <c r="H127" s="74" t="s">
        <v>1019</v>
      </c>
      <c r="I127" s="74" t="s">
        <v>470</v>
      </c>
      <c r="J127" s="80" t="s">
        <v>318</v>
      </c>
      <c r="K127" s="74" t="str">
        <f t="shared" si="5"/>
        <v>p-doip-web02-nic</v>
      </c>
      <c r="L127" s="81" t="s">
        <v>226</v>
      </c>
      <c r="M127" s="74"/>
    </row>
    <row r="128" spans="1:13" x14ac:dyDescent="0.3">
      <c r="A128" s="90"/>
      <c r="B128" s="78" t="s">
        <v>23</v>
      </c>
      <c r="C128" s="78" t="str" cm="1">
        <f t="array" ref="C128">UPPER(INDEX(_xlfn.TEXTSPLIT($E128, "-"), 2))</f>
        <v>DOIP</v>
      </c>
      <c r="D128" s="78" t="s">
        <v>323</v>
      </c>
      <c r="E128" s="78" t="str">
        <f t="shared" si="4"/>
        <v>p-doip-ap01-nsg</v>
      </c>
      <c r="F128" s="73" t="s">
        <v>323</v>
      </c>
      <c r="G128" s="78" t="s">
        <v>238</v>
      </c>
      <c r="H128" s="73" t="s">
        <v>1019</v>
      </c>
      <c r="I128" s="73" t="s">
        <v>471</v>
      </c>
      <c r="J128" s="78" t="s">
        <v>318</v>
      </c>
      <c r="K128" s="73" t="str">
        <f t="shared" si="5"/>
        <v>p-doip-ap01-nic</v>
      </c>
      <c r="L128" s="79" t="s">
        <v>226</v>
      </c>
      <c r="M128" s="73"/>
    </row>
    <row r="129" spans="1:13" x14ac:dyDescent="0.3">
      <c r="A129" s="90"/>
      <c r="B129" s="80" t="s">
        <v>23</v>
      </c>
      <c r="C129" s="80" t="str" cm="1">
        <f t="array" ref="C129">UPPER(INDEX(_xlfn.TEXTSPLIT($E129, "-"), 2))</f>
        <v>DOIP</v>
      </c>
      <c r="D129" s="80" t="s">
        <v>323</v>
      </c>
      <c r="E129" s="80" t="str">
        <f t="shared" si="4"/>
        <v>p-doip-ap02-nsg</v>
      </c>
      <c r="F129" s="74" t="s">
        <v>323</v>
      </c>
      <c r="G129" s="80" t="s">
        <v>238</v>
      </c>
      <c r="H129" s="74" t="s">
        <v>1019</v>
      </c>
      <c r="I129" s="74" t="s">
        <v>472</v>
      </c>
      <c r="J129" s="80" t="s">
        <v>318</v>
      </c>
      <c r="K129" s="74" t="str">
        <f t="shared" si="5"/>
        <v>p-doip-ap02-nic</v>
      </c>
      <c r="L129" s="81" t="s">
        <v>226</v>
      </c>
      <c r="M129" s="74"/>
    </row>
    <row r="130" spans="1:13" x14ac:dyDescent="0.3">
      <c r="A130" s="90"/>
      <c r="B130" s="78" t="s">
        <v>23</v>
      </c>
      <c r="C130" s="78" t="str" cm="1">
        <f t="array" ref="C130">UPPER(INDEX(_xlfn.TEXTSPLIT($E130, "-"), 2))</f>
        <v>DOIP</v>
      </c>
      <c r="D130" s="78" t="s">
        <v>323</v>
      </c>
      <c r="E130" s="78" t="str">
        <f t="shared" si="4"/>
        <v>p-doip-adm01-nsg</v>
      </c>
      <c r="F130" s="73" t="s">
        <v>323</v>
      </c>
      <c r="G130" s="78" t="s">
        <v>237</v>
      </c>
      <c r="H130" s="73" t="s">
        <v>1019</v>
      </c>
      <c r="I130" s="73" t="s">
        <v>473</v>
      </c>
      <c r="J130" s="78" t="s">
        <v>318</v>
      </c>
      <c r="K130" s="73" t="str">
        <f t="shared" si="5"/>
        <v>p-doip-adm01-nic</v>
      </c>
      <c r="L130" s="79" t="s">
        <v>226</v>
      </c>
      <c r="M130" s="73"/>
    </row>
    <row r="131" spans="1:13" x14ac:dyDescent="0.3">
      <c r="A131" s="90"/>
      <c r="B131" s="80" t="s">
        <v>23</v>
      </c>
      <c r="C131" s="80" t="str" cm="1">
        <f t="array" ref="C131">UPPER(INDEX(_xlfn.TEXTSPLIT($E131, "-"), 2))</f>
        <v>DOIP</v>
      </c>
      <c r="D131" s="80" t="s">
        <v>323</v>
      </c>
      <c r="E131" s="80" t="str">
        <f t="shared" si="4"/>
        <v>p-doip-adm02-nsg</v>
      </c>
      <c r="F131" s="74" t="s">
        <v>323</v>
      </c>
      <c r="G131" s="80" t="s">
        <v>237</v>
      </c>
      <c r="H131" s="74" t="s">
        <v>1019</v>
      </c>
      <c r="I131" s="74" t="s">
        <v>474</v>
      </c>
      <c r="J131" s="80" t="s">
        <v>318</v>
      </c>
      <c r="K131" s="74" t="str">
        <f t="shared" si="5"/>
        <v>p-doip-adm02-nic</v>
      </c>
      <c r="L131" s="81" t="s">
        <v>226</v>
      </c>
      <c r="M131" s="74"/>
    </row>
    <row r="132" spans="1:13" x14ac:dyDescent="0.3">
      <c r="A132" s="90"/>
      <c r="B132" s="78" t="s">
        <v>23</v>
      </c>
      <c r="C132" s="78" t="str" cm="1">
        <f t="array" ref="C132">UPPER(INDEX(_xlfn.TEXTSPLIT($E132, "-"), 2))</f>
        <v>BDP</v>
      </c>
      <c r="D132" s="78" t="s">
        <v>323</v>
      </c>
      <c r="E132" s="78" t="str">
        <f t="shared" si="4"/>
        <v>p-bdp-crkweb01-nsg</v>
      </c>
      <c r="F132" s="73" t="s">
        <v>323</v>
      </c>
      <c r="G132" s="78" t="s">
        <v>238</v>
      </c>
      <c r="H132" s="73" t="s">
        <v>1020</v>
      </c>
      <c r="I132" s="73" t="s">
        <v>475</v>
      </c>
      <c r="J132" s="78" t="s">
        <v>321</v>
      </c>
      <c r="K132" s="73" t="str">
        <f t="shared" si="5"/>
        <v>p-bdp-crkweb01-nic</v>
      </c>
      <c r="L132" s="79" t="s">
        <v>226</v>
      </c>
      <c r="M132" s="73"/>
    </row>
    <row r="133" spans="1:13" x14ac:dyDescent="0.3">
      <c r="A133" s="90"/>
      <c r="B133" s="80" t="s">
        <v>23</v>
      </c>
      <c r="C133" s="80" t="str" cm="1">
        <f t="array" ref="C133">UPPER(INDEX(_xlfn.TEXTSPLIT($E133, "-"), 2))</f>
        <v>BDP</v>
      </c>
      <c r="D133" s="80" t="s">
        <v>323</v>
      </c>
      <c r="E133" s="80" t="str">
        <f t="shared" si="4"/>
        <v>p-bdp-crkweb02-nsg</v>
      </c>
      <c r="F133" s="74" t="s">
        <v>323</v>
      </c>
      <c r="G133" s="80" t="s">
        <v>238</v>
      </c>
      <c r="H133" s="74" t="s">
        <v>1020</v>
      </c>
      <c r="I133" s="74" t="s">
        <v>476</v>
      </c>
      <c r="J133" s="80" t="s">
        <v>321</v>
      </c>
      <c r="K133" s="74" t="str">
        <f t="shared" si="5"/>
        <v>p-bdp-crkweb02-nic</v>
      </c>
      <c r="L133" s="81" t="s">
        <v>226</v>
      </c>
      <c r="M133" s="74"/>
    </row>
    <row r="134" spans="1:13" x14ac:dyDescent="0.3">
      <c r="A134" s="90"/>
      <c r="B134" s="78" t="s">
        <v>23</v>
      </c>
      <c r="C134" s="78" t="str" cm="1">
        <f t="array" ref="C134">UPPER(INDEX(_xlfn.TEXTSPLIT($E134, "-"), 2))</f>
        <v>BDP</v>
      </c>
      <c r="D134" s="78" t="s">
        <v>323</v>
      </c>
      <c r="E134" s="78" t="str">
        <f t="shared" si="4"/>
        <v>p-bdp-crkap01-nsg</v>
      </c>
      <c r="F134" s="73" t="s">
        <v>323</v>
      </c>
      <c r="G134" s="78" t="s">
        <v>238</v>
      </c>
      <c r="H134" s="73" t="s">
        <v>1015</v>
      </c>
      <c r="I134" s="73" t="s">
        <v>477</v>
      </c>
      <c r="J134" s="78" t="s">
        <v>321</v>
      </c>
      <c r="K134" s="73" t="str">
        <f t="shared" si="5"/>
        <v>p-bdp-crkap01-nic</v>
      </c>
      <c r="L134" s="79" t="s">
        <v>226</v>
      </c>
      <c r="M134" s="73"/>
    </row>
    <row r="135" spans="1:13" x14ac:dyDescent="0.3">
      <c r="A135" s="90"/>
      <c r="B135" s="80" t="s">
        <v>23</v>
      </c>
      <c r="C135" s="80" t="str" cm="1">
        <f t="array" ref="C135">UPPER(INDEX(_xlfn.TEXTSPLIT($E135, "-"), 2))</f>
        <v>BDP</v>
      </c>
      <c r="D135" s="80" t="s">
        <v>323</v>
      </c>
      <c r="E135" s="80" t="str">
        <f t="shared" si="4"/>
        <v>p-bdp-crkap02-nsg</v>
      </c>
      <c r="F135" s="74" t="s">
        <v>323</v>
      </c>
      <c r="G135" s="80" t="s">
        <v>202</v>
      </c>
      <c r="H135" s="74" t="s">
        <v>1015</v>
      </c>
      <c r="I135" s="74" t="s">
        <v>478</v>
      </c>
      <c r="J135" s="80" t="s">
        <v>321</v>
      </c>
      <c r="K135" s="74" t="str">
        <f t="shared" si="5"/>
        <v>p-bdp-crkap02-nic</v>
      </c>
      <c r="L135" s="81" t="s">
        <v>226</v>
      </c>
      <c r="M135" s="74"/>
    </row>
    <row r="136" spans="1:13" x14ac:dyDescent="0.3">
      <c r="A136" s="90"/>
      <c r="B136" s="78" t="s">
        <v>23</v>
      </c>
      <c r="C136" s="78" t="str" cm="1">
        <f t="array" ref="C136">UPPER(INDEX(_xlfn.TEXTSPLIT($E136, "-"), 2))</f>
        <v>BDP</v>
      </c>
      <c r="D136" s="78" t="s">
        <v>323</v>
      </c>
      <c r="E136" s="78" t="str">
        <f t="shared" si="4"/>
        <v>p-bdp-crkml01-nsg</v>
      </c>
      <c r="F136" s="73" t="s">
        <v>323</v>
      </c>
      <c r="G136" s="78" t="s">
        <v>202</v>
      </c>
      <c r="H136" s="73" t="s">
        <v>1015</v>
      </c>
      <c r="I136" s="73" t="s">
        <v>479</v>
      </c>
      <c r="J136" s="78" t="s">
        <v>321</v>
      </c>
      <c r="K136" s="73" t="str">
        <f t="shared" si="5"/>
        <v>p-bdp-crkml01-nic</v>
      </c>
      <c r="L136" s="79" t="s">
        <v>226</v>
      </c>
      <c r="M136" s="73"/>
    </row>
    <row r="137" spans="1:13" x14ac:dyDescent="0.3">
      <c r="A137" s="90"/>
      <c r="B137" s="80" t="s">
        <v>23</v>
      </c>
      <c r="C137" s="80" t="str" cm="1">
        <f t="array" ref="C137">UPPER(INDEX(_xlfn.TEXTSPLIT($E137, "-"), 2))</f>
        <v>BDP</v>
      </c>
      <c r="D137" s="80" t="s">
        <v>323</v>
      </c>
      <c r="E137" s="80" t="str">
        <f t="shared" si="4"/>
        <v>p-bdp-crkml02-nsg</v>
      </c>
      <c r="F137" s="74" t="s">
        <v>323</v>
      </c>
      <c r="G137" s="80" t="s">
        <v>202</v>
      </c>
      <c r="H137" s="74" t="s">
        <v>1015</v>
      </c>
      <c r="I137" s="74" t="s">
        <v>480</v>
      </c>
      <c r="J137" s="80" t="s">
        <v>321</v>
      </c>
      <c r="K137" s="74" t="str">
        <f t="shared" si="5"/>
        <v>p-bdp-crkml02-nic</v>
      </c>
      <c r="L137" s="81" t="s">
        <v>226</v>
      </c>
      <c r="M137" s="74"/>
    </row>
    <row r="138" spans="1:13" x14ac:dyDescent="0.3">
      <c r="A138" s="90"/>
      <c r="B138" s="78" t="s">
        <v>23</v>
      </c>
      <c r="C138" s="78" t="str" cm="1">
        <f t="array" ref="C138">UPPER(INDEX(_xlfn.TEXTSPLIT($E138, "-"), 2))</f>
        <v>BDP</v>
      </c>
      <c r="D138" s="78" t="s">
        <v>323</v>
      </c>
      <c r="E138" s="78" t="str">
        <f t="shared" si="4"/>
        <v>p-bdp-crkml03-nsg</v>
      </c>
      <c r="F138" s="73" t="s">
        <v>323</v>
      </c>
      <c r="G138" s="78" t="s">
        <v>238</v>
      </c>
      <c r="H138" s="73" t="s">
        <v>1015</v>
      </c>
      <c r="I138" s="73" t="s">
        <v>481</v>
      </c>
      <c r="J138" s="78" t="s">
        <v>321</v>
      </c>
      <c r="K138" s="73" t="str">
        <f t="shared" si="5"/>
        <v>p-bdp-crkml03-nic</v>
      </c>
      <c r="L138" s="79" t="s">
        <v>226</v>
      </c>
      <c r="M138" s="73"/>
    </row>
    <row r="139" spans="1:13" x14ac:dyDescent="0.3">
      <c r="A139" s="90"/>
      <c r="B139" s="80" t="s">
        <v>1100</v>
      </c>
      <c r="C139" s="80" t="str" cm="1">
        <f t="array" ref="C139">UPPER(INDEX(_xlfn.TEXTSPLIT($E139, "-"), 2))</f>
        <v>COM</v>
      </c>
      <c r="D139" s="80" t="s">
        <v>231</v>
      </c>
      <c r="E139" s="80" t="str">
        <f t="shared" si="4"/>
        <v>l-com-build01-nsg</v>
      </c>
      <c r="F139" s="74" t="s">
        <v>231</v>
      </c>
      <c r="G139" s="80" t="s">
        <v>223</v>
      </c>
      <c r="H139" s="74" t="s">
        <v>1043</v>
      </c>
      <c r="I139" s="74" t="s">
        <v>482</v>
      </c>
      <c r="J139" s="74" t="s">
        <v>231</v>
      </c>
      <c r="K139" s="74" t="str">
        <f t="shared" si="5"/>
        <v>l-com-build01-nic</v>
      </c>
      <c r="L139" s="81" t="s">
        <v>226</v>
      </c>
      <c r="M139" s="74"/>
    </row>
    <row r="140" spans="1:13" x14ac:dyDescent="0.3">
      <c r="A140" s="90"/>
      <c r="B140" s="78" t="s">
        <v>1100</v>
      </c>
      <c r="C140" s="78" t="str" cm="1">
        <f t="array" ref="C140">UPPER(INDEX(_xlfn.TEXTSPLIT($E140, "-"), 2))</f>
        <v>COM</v>
      </c>
      <c r="D140" s="78" t="s">
        <v>231</v>
      </c>
      <c r="E140" s="78" t="str">
        <f t="shared" si="4"/>
        <v>l-com-repoweb01-nsg</v>
      </c>
      <c r="F140" s="73" t="s">
        <v>231</v>
      </c>
      <c r="G140" s="78" t="s">
        <v>223</v>
      </c>
      <c r="H140" s="73" t="s">
        <v>1043</v>
      </c>
      <c r="I140" s="73" t="s">
        <v>483</v>
      </c>
      <c r="J140" s="73" t="s">
        <v>231</v>
      </c>
      <c r="K140" s="73" t="str">
        <f t="shared" si="5"/>
        <v>l-com-repoweb01-nic</v>
      </c>
      <c r="L140" s="79" t="s">
        <v>226</v>
      </c>
      <c r="M140" s="73"/>
    </row>
    <row r="141" spans="1:13" x14ac:dyDescent="0.3">
      <c r="A141" s="90"/>
      <c r="B141" s="80" t="s">
        <v>23</v>
      </c>
      <c r="C141" s="80" t="str" cm="1">
        <f t="array" ref="C141">UPPER(INDEX(_xlfn.TEXTSPLIT($E141, "-"), 2))</f>
        <v>DIS</v>
      </c>
      <c r="D141" s="80" t="s">
        <v>323</v>
      </c>
      <c r="E141" s="80" t="str">
        <f>SUBSTITUTE(H141,"-sbn","")&amp;"-nsg"</f>
        <v>p-dis-db-nsg</v>
      </c>
      <c r="F141" s="74" t="s">
        <v>323</v>
      </c>
      <c r="G141" s="80" t="s">
        <v>238</v>
      </c>
      <c r="H141" s="74" t="s">
        <v>249</v>
      </c>
      <c r="I141" s="74"/>
      <c r="J141" s="74"/>
      <c r="K141" s="74"/>
      <c r="L141" s="74" t="s">
        <v>228</v>
      </c>
      <c r="M141" s="74"/>
    </row>
    <row r="142" spans="1:13" x14ac:dyDescent="0.3">
      <c r="A142" s="90"/>
      <c r="B142" s="78" t="s">
        <v>23</v>
      </c>
      <c r="C142" s="78" t="str" cm="1">
        <f t="array" ref="C142">UPPER(INDEX(_xlfn.TEXTSPLIT($E142, "-"), 2))</f>
        <v>DIS</v>
      </c>
      <c r="D142" s="78" t="s">
        <v>323</v>
      </c>
      <c r="E142" s="78" t="str">
        <f t="shared" ref="E142:E152" si="6">SUBSTITUTE(H142,"-sbn","")&amp;"-nsg"</f>
        <v>p-dis-pe-nsg</v>
      </c>
      <c r="F142" s="73" t="s">
        <v>323</v>
      </c>
      <c r="G142" s="78" t="s">
        <v>238</v>
      </c>
      <c r="H142" s="73" t="s">
        <v>250</v>
      </c>
      <c r="I142" s="73"/>
      <c r="J142" s="73"/>
      <c r="K142" s="73"/>
      <c r="L142" s="73" t="s">
        <v>228</v>
      </c>
      <c r="M142" s="73"/>
    </row>
    <row r="143" spans="1:13" x14ac:dyDescent="0.3">
      <c r="A143" s="90"/>
      <c r="B143" s="80" t="s">
        <v>23</v>
      </c>
      <c r="C143" s="80" t="str" cm="1">
        <f t="array" ref="C143">UPPER(INDEX(_xlfn.TEXTSPLIT($E143, "-"), 2))</f>
        <v>PULS</v>
      </c>
      <c r="D143" s="80" t="s">
        <v>323</v>
      </c>
      <c r="E143" s="80" t="str">
        <f t="shared" si="6"/>
        <v>p-puls-db-nsg</v>
      </c>
      <c r="F143" s="74" t="s">
        <v>323</v>
      </c>
      <c r="G143" s="80" t="s">
        <v>238</v>
      </c>
      <c r="H143" s="74" t="s">
        <v>929</v>
      </c>
      <c r="I143" s="74"/>
      <c r="J143" s="74"/>
      <c r="K143" s="74"/>
      <c r="L143" s="74" t="s">
        <v>228</v>
      </c>
      <c r="M143" s="74"/>
    </row>
    <row r="144" spans="1:13" x14ac:dyDescent="0.3">
      <c r="A144" s="90"/>
      <c r="B144" s="78" t="s">
        <v>23</v>
      </c>
      <c r="C144" s="78" t="str" cm="1">
        <f t="array" ref="C144">UPPER(INDEX(_xlfn.TEXTSPLIT($E144, "-"), 2))</f>
        <v>PULS</v>
      </c>
      <c r="D144" s="78" t="s">
        <v>323</v>
      </c>
      <c r="E144" s="78" t="str">
        <f t="shared" si="6"/>
        <v>p-puls-pe-nsg</v>
      </c>
      <c r="F144" s="73" t="s">
        <v>323</v>
      </c>
      <c r="G144" s="78" t="s">
        <v>238</v>
      </c>
      <c r="H144" s="73" t="s">
        <v>253</v>
      </c>
      <c r="I144" s="73"/>
      <c r="J144" s="73"/>
      <c r="K144" s="73"/>
      <c r="L144" s="73" t="s">
        <v>228</v>
      </c>
      <c r="M144" s="73"/>
    </row>
    <row r="145" spans="1:13" x14ac:dyDescent="0.3">
      <c r="A145" s="90"/>
      <c r="B145" s="80" t="s">
        <v>23</v>
      </c>
      <c r="C145" s="80" t="str" cm="1">
        <f t="array" ref="C145">UPPER(INDEX(_xlfn.TEXTSPLIT($E145, "-"), 2))</f>
        <v>DOIP</v>
      </c>
      <c r="D145" s="80" t="s">
        <v>323</v>
      </c>
      <c r="E145" s="80" t="str">
        <f t="shared" si="6"/>
        <v>p-doip-db-nsg</v>
      </c>
      <c r="F145" s="74" t="s">
        <v>323</v>
      </c>
      <c r="G145" s="80" t="s">
        <v>238</v>
      </c>
      <c r="H145" s="74" t="s">
        <v>255</v>
      </c>
      <c r="I145" s="74"/>
      <c r="J145" s="74"/>
      <c r="K145" s="74"/>
      <c r="L145" s="74" t="s">
        <v>228</v>
      </c>
      <c r="M145" s="74"/>
    </row>
    <row r="146" spans="1:13" x14ac:dyDescent="0.3">
      <c r="A146" s="90"/>
      <c r="B146" s="78" t="s">
        <v>23</v>
      </c>
      <c r="C146" s="78" t="str" cm="1">
        <f t="array" ref="C146">UPPER(INDEX(_xlfn.TEXTSPLIT($E146, "-"), 2))</f>
        <v>DOIP</v>
      </c>
      <c r="D146" s="78" t="s">
        <v>323</v>
      </c>
      <c r="E146" s="78" t="str">
        <f t="shared" si="6"/>
        <v>p-doip-pe-nsg</v>
      </c>
      <c r="F146" s="73" t="s">
        <v>323</v>
      </c>
      <c r="G146" s="78" t="s">
        <v>238</v>
      </c>
      <c r="H146" s="73" t="s">
        <v>256</v>
      </c>
      <c r="I146" s="73"/>
      <c r="J146" s="73"/>
      <c r="K146" s="73"/>
      <c r="L146" s="73" t="s">
        <v>228</v>
      </c>
      <c r="M146" s="73"/>
    </row>
    <row r="147" spans="1:13" x14ac:dyDescent="0.3">
      <c r="A147" s="90"/>
      <c r="B147" s="80" t="s">
        <v>23</v>
      </c>
      <c r="C147" s="80" t="str" cm="1">
        <f t="array" ref="C147">UPPER(INDEX(_xlfn.TEXTSPLIT($E147, "-"), 2))</f>
        <v>DTG</v>
      </c>
      <c r="D147" s="80" t="s">
        <v>323</v>
      </c>
      <c r="E147" s="80" t="str">
        <f t="shared" si="6"/>
        <v>p-dtg-db-nsg</v>
      </c>
      <c r="F147" s="74" t="s">
        <v>323</v>
      </c>
      <c r="G147" s="80" t="s">
        <v>238</v>
      </c>
      <c r="H147" s="74" t="s">
        <v>258</v>
      </c>
      <c r="I147" s="74"/>
      <c r="J147" s="74"/>
      <c r="K147" s="74"/>
      <c r="L147" s="74" t="s">
        <v>228</v>
      </c>
      <c r="M147" s="74"/>
    </row>
    <row r="148" spans="1:13" x14ac:dyDescent="0.3">
      <c r="A148" s="90"/>
      <c r="B148" s="78" t="s">
        <v>23</v>
      </c>
      <c r="C148" s="78" t="str" cm="1">
        <f t="array" ref="C148">UPPER(INDEX(_xlfn.TEXTSPLIT($E148, "-"), 2))</f>
        <v>DTG</v>
      </c>
      <c r="D148" s="78" t="s">
        <v>323</v>
      </c>
      <c r="E148" s="78" t="str">
        <f t="shared" si="6"/>
        <v>p-dtg-pe-nsg</v>
      </c>
      <c r="F148" s="73" t="s">
        <v>323</v>
      </c>
      <c r="G148" s="78" t="s">
        <v>238</v>
      </c>
      <c r="H148" s="73" t="s">
        <v>259</v>
      </c>
      <c r="I148" s="73"/>
      <c r="J148" s="73"/>
      <c r="K148" s="73"/>
      <c r="L148" s="73" t="s">
        <v>228</v>
      </c>
      <c r="M148" s="73"/>
    </row>
    <row r="149" spans="1:13" x14ac:dyDescent="0.3">
      <c r="A149" s="90"/>
      <c r="B149" s="80" t="s">
        <v>23</v>
      </c>
      <c r="C149" s="80" t="str" cm="1">
        <f t="array" ref="C149">UPPER(INDEX(_xlfn.TEXTSPLIT($E149, "-"), 2))</f>
        <v>BDP</v>
      </c>
      <c r="D149" s="80" t="s">
        <v>323</v>
      </c>
      <c r="E149" s="80" t="str">
        <f t="shared" si="6"/>
        <v>p-bdp-db-nsg</v>
      </c>
      <c r="F149" s="74" t="s">
        <v>323</v>
      </c>
      <c r="G149" s="80" t="s">
        <v>238</v>
      </c>
      <c r="H149" s="74" t="s">
        <v>261</v>
      </c>
      <c r="I149" s="74"/>
      <c r="J149" s="74"/>
      <c r="K149" s="74"/>
      <c r="L149" s="74" t="s">
        <v>228</v>
      </c>
      <c r="M149" s="74"/>
    </row>
    <row r="150" spans="1:13" x14ac:dyDescent="0.3">
      <c r="A150" s="90"/>
      <c r="B150" s="78" t="s">
        <v>23</v>
      </c>
      <c r="C150" s="78" t="str" cm="1">
        <f t="array" ref="C150">UPPER(INDEX(_xlfn.TEXTSPLIT($E150, "-"), 2))</f>
        <v>BDP</v>
      </c>
      <c r="D150" s="78" t="s">
        <v>323</v>
      </c>
      <c r="E150" s="78" t="str">
        <f t="shared" si="6"/>
        <v>p-bdp-pe-nsg</v>
      </c>
      <c r="F150" s="73" t="s">
        <v>323</v>
      </c>
      <c r="G150" s="78" t="s">
        <v>238</v>
      </c>
      <c r="H150" s="73" t="s">
        <v>262</v>
      </c>
      <c r="I150" s="73"/>
      <c r="J150" s="73"/>
      <c r="K150" s="73"/>
      <c r="L150" s="73" t="s">
        <v>228</v>
      </c>
      <c r="M150" s="73"/>
    </row>
    <row r="151" spans="1:13" x14ac:dyDescent="0.3">
      <c r="A151" s="90"/>
      <c r="B151" s="80" t="s">
        <v>23</v>
      </c>
      <c r="C151" s="80" t="str" cm="1">
        <f t="array" ref="C151">UPPER(INDEX(_xlfn.TEXTSPLIT($E151, "-"), 2))</f>
        <v>DIP</v>
      </c>
      <c r="D151" s="80" t="s">
        <v>323</v>
      </c>
      <c r="E151" s="80" t="str">
        <f t="shared" si="6"/>
        <v>p-dip-db-nsg</v>
      </c>
      <c r="F151" s="74" t="s">
        <v>323</v>
      </c>
      <c r="G151" s="80" t="s">
        <v>238</v>
      </c>
      <c r="H151" s="74" t="s">
        <v>264</v>
      </c>
      <c r="I151" s="74"/>
      <c r="J151" s="74"/>
      <c r="K151" s="74"/>
      <c r="L151" s="74" t="s">
        <v>228</v>
      </c>
      <c r="M151" s="74"/>
    </row>
    <row r="152" spans="1:13" x14ac:dyDescent="0.3">
      <c r="A152" s="90"/>
      <c r="B152" s="78" t="s">
        <v>23</v>
      </c>
      <c r="C152" s="78" t="str" cm="1">
        <f t="array" ref="C152">UPPER(INDEX(_xlfn.TEXTSPLIT($E152, "-"), 2))</f>
        <v>DIP</v>
      </c>
      <c r="D152" s="78" t="s">
        <v>323</v>
      </c>
      <c r="E152" s="78" t="str">
        <f t="shared" si="6"/>
        <v>p-dip-pe-nsg</v>
      </c>
      <c r="F152" s="73" t="s">
        <v>323</v>
      </c>
      <c r="G152" s="78" t="s">
        <v>238</v>
      </c>
      <c r="H152" s="73" t="s">
        <v>265</v>
      </c>
      <c r="I152" s="73"/>
      <c r="J152" s="73"/>
      <c r="K152" s="73"/>
      <c r="L152" s="73" t="s">
        <v>228</v>
      </c>
      <c r="M152" s="73"/>
    </row>
    <row r="153" spans="1:13" x14ac:dyDescent="0.3">
      <c r="A153" s="90"/>
      <c r="B153" s="80" t="s">
        <v>23</v>
      </c>
      <c r="C153" s="80"/>
      <c r="D153" s="80" t="s">
        <v>323</v>
      </c>
      <c r="E153" s="80" t="str">
        <f>SUBSTITUTE(H153,"-sbn","")&amp;"-nsg"</f>
        <v>p-com-db-nsg</v>
      </c>
      <c r="F153" s="74" t="s">
        <v>323</v>
      </c>
      <c r="G153" s="80" t="s">
        <v>238</v>
      </c>
      <c r="H153" s="74" t="s">
        <v>267</v>
      </c>
      <c r="I153" s="74"/>
      <c r="J153" s="74"/>
      <c r="K153" s="74"/>
      <c r="L153" s="74" t="s">
        <v>228</v>
      </c>
      <c r="M153" s="74"/>
    </row>
    <row r="154" spans="1:13" x14ac:dyDescent="0.3">
      <c r="A154" s="90"/>
      <c r="B154" s="78" t="s">
        <v>23</v>
      </c>
      <c r="C154" s="78"/>
      <c r="D154" s="78" t="s">
        <v>323</v>
      </c>
      <c r="E154" s="78" t="str">
        <f t="shared" ref="E154:E158" si="7">SUBSTITUTE(H154,"-sbn","")&amp;"-nsg"</f>
        <v>p-com-pe-nsg</v>
      </c>
      <c r="F154" s="73" t="s">
        <v>323</v>
      </c>
      <c r="G154" s="78" t="s">
        <v>238</v>
      </c>
      <c r="H154" s="73" t="s">
        <v>268</v>
      </c>
      <c r="I154" s="73"/>
      <c r="J154" s="73"/>
      <c r="K154" s="73"/>
      <c r="L154" s="73" t="s">
        <v>228</v>
      </c>
      <c r="M154" s="73"/>
    </row>
    <row r="155" spans="1:13" x14ac:dyDescent="0.3">
      <c r="A155" s="90"/>
      <c r="B155" s="80" t="s">
        <v>23</v>
      </c>
      <c r="C155" s="80" t="str" cm="1">
        <f t="array" ref="C155">UPPER(INDEX(_xlfn.TEXTSPLIT($E155, "-"), 2))</f>
        <v>IF</v>
      </c>
      <c r="D155" s="80" t="s">
        <v>323</v>
      </c>
      <c r="E155" s="80" t="str">
        <f t="shared" si="7"/>
        <v>p-if-db-nsg</v>
      </c>
      <c r="F155" s="74" t="s">
        <v>323</v>
      </c>
      <c r="G155" s="80" t="s">
        <v>238</v>
      </c>
      <c r="H155" s="74" t="s">
        <v>270</v>
      </c>
      <c r="I155" s="74"/>
      <c r="J155" s="74"/>
      <c r="K155" s="74"/>
      <c r="L155" s="74" t="s">
        <v>228</v>
      </c>
      <c r="M155" s="74"/>
    </row>
    <row r="156" spans="1:13" x14ac:dyDescent="0.3">
      <c r="A156" s="90"/>
      <c r="B156" s="78" t="s">
        <v>23</v>
      </c>
      <c r="C156" s="78" t="str" cm="1">
        <f t="array" ref="C156">UPPER(INDEX(_xlfn.TEXTSPLIT($E156, "-"), 2))</f>
        <v>IF</v>
      </c>
      <c r="D156" s="78" t="s">
        <v>323</v>
      </c>
      <c r="E156" s="78" t="str">
        <f t="shared" si="7"/>
        <v>p-if-pe-nsg</v>
      </c>
      <c r="F156" s="73" t="s">
        <v>323</v>
      </c>
      <c r="G156" s="78" t="s">
        <v>238</v>
      </c>
      <c r="H156" s="73" t="s">
        <v>271</v>
      </c>
      <c r="I156" s="73"/>
      <c r="J156" s="73"/>
      <c r="K156" s="73"/>
      <c r="L156" s="73" t="s">
        <v>228</v>
      </c>
      <c r="M156" s="73"/>
    </row>
    <row r="157" spans="1:13" x14ac:dyDescent="0.3">
      <c r="A157" s="90"/>
      <c r="B157" s="80" t="s">
        <v>23</v>
      </c>
      <c r="C157" s="80" t="str" cm="1">
        <f t="array" ref="C157">UPPER(INDEX(_xlfn.TEXTSPLIT($E157, "-"), 2))</f>
        <v>CS</v>
      </c>
      <c r="D157" s="80" t="s">
        <v>323</v>
      </c>
      <c r="E157" s="80" t="str">
        <f t="shared" si="7"/>
        <v>p-cs-db-nsg</v>
      </c>
      <c r="F157" s="74" t="s">
        <v>323</v>
      </c>
      <c r="G157" s="80" t="s">
        <v>238</v>
      </c>
      <c r="H157" s="74" t="s">
        <v>273</v>
      </c>
      <c r="I157" s="74"/>
      <c r="J157" s="74"/>
      <c r="K157" s="74"/>
      <c r="L157" s="74" t="s">
        <v>228</v>
      </c>
      <c r="M157" s="74"/>
    </row>
    <row r="158" spans="1:13" x14ac:dyDescent="0.3">
      <c r="A158" s="90"/>
      <c r="B158" s="78" t="s">
        <v>23</v>
      </c>
      <c r="C158" s="78" t="str" cm="1">
        <f t="array" ref="C158">UPPER(INDEX(_xlfn.TEXTSPLIT($E158, "-"), 2))</f>
        <v>CS</v>
      </c>
      <c r="D158" s="78" t="s">
        <v>323</v>
      </c>
      <c r="E158" s="78" t="str">
        <f t="shared" si="7"/>
        <v>p-cs-pe-nsg</v>
      </c>
      <c r="F158" s="73" t="s">
        <v>323</v>
      </c>
      <c r="G158" s="78" t="s">
        <v>238</v>
      </c>
      <c r="H158" s="73" t="s">
        <v>274</v>
      </c>
      <c r="I158" s="73"/>
      <c r="J158" s="73"/>
      <c r="K158" s="73"/>
      <c r="L158" s="73" t="s">
        <v>228</v>
      </c>
      <c r="M158" s="73"/>
    </row>
    <row r="159" spans="1:13" x14ac:dyDescent="0.3">
      <c r="A159" s="90"/>
      <c r="B159" s="80" t="s">
        <v>1100</v>
      </c>
      <c r="C159" s="80" t="str" cm="1">
        <f t="array" ref="C159">UPPER(INDEX(_xlfn.TEXTSPLIT($E159, "-"), 2))</f>
        <v>SEC</v>
      </c>
      <c r="D159" s="80" t="s">
        <v>1086</v>
      </c>
      <c r="E159" s="80" t="str">
        <f t="shared" ref="E159:E160" si="8">SUBSTITUTE(I159,"hazr-","")&amp;"-nsg"</f>
        <v>l-sec-virsol01-nsg</v>
      </c>
      <c r="F159" s="74" t="s">
        <v>1086</v>
      </c>
      <c r="G159" s="74" t="s">
        <v>1093</v>
      </c>
      <c r="H159" s="74" t="s">
        <v>1094</v>
      </c>
      <c r="I159" s="118" t="s">
        <v>1087</v>
      </c>
      <c r="J159" s="74" t="s">
        <v>1086</v>
      </c>
      <c r="K159" s="74" t="str">
        <f t="shared" ref="K159:K160" si="9">SUBSTITUTE(I159,"hazr-","")&amp;"-nic"</f>
        <v>l-sec-virsol01-nic</v>
      </c>
      <c r="L159" s="81" t="s">
        <v>226</v>
      </c>
      <c r="M159" s="74"/>
    </row>
    <row r="160" spans="1:13" x14ac:dyDescent="0.3">
      <c r="A160" s="90"/>
      <c r="B160" s="78" t="s">
        <v>1100</v>
      </c>
      <c r="C160" s="78" t="str" cm="1">
        <f t="array" ref="C160">UPPER(INDEX(_xlfn.TEXTSPLIT($E160, "-"), 2))</f>
        <v>SEC</v>
      </c>
      <c r="D160" s="78" t="s">
        <v>1086</v>
      </c>
      <c r="E160" s="78" t="str">
        <f t="shared" si="8"/>
        <v>l-sec-wbdsol01-nsg</v>
      </c>
      <c r="F160" s="73" t="s">
        <v>1086</v>
      </c>
      <c r="G160" s="73" t="s">
        <v>1093</v>
      </c>
      <c r="H160" s="73" t="s">
        <v>1094</v>
      </c>
      <c r="I160" s="119" t="s">
        <v>1088</v>
      </c>
      <c r="J160" s="73" t="s">
        <v>1086</v>
      </c>
      <c r="K160" s="73" t="str">
        <f t="shared" si="9"/>
        <v>l-sec-wbdsol01-nic</v>
      </c>
      <c r="L160" s="79" t="s">
        <v>226</v>
      </c>
      <c r="M160" s="73"/>
    </row>
    <row r="161" spans="2:13" x14ac:dyDescent="0.3">
      <c r="B161" s="80" t="s">
        <v>1100</v>
      </c>
      <c r="C161" s="80" t="str" cm="1">
        <f t="array" ref="C161">UPPER(INDEX(_xlfn.TEXTSPLIT($E161, "-"), 2))</f>
        <v>COM</v>
      </c>
      <c r="D161" s="80" t="s">
        <v>231</v>
      </c>
      <c r="E161" s="80" t="str">
        <f t="shared" ref="E161" si="10">SUBSTITUTE(I161,"hazr-","")&amp;"-nsg"</f>
        <v>l-com-scmsol01-nsg</v>
      </c>
      <c r="F161" s="74" t="s">
        <v>231</v>
      </c>
      <c r="G161" s="74" t="s">
        <v>223</v>
      </c>
      <c r="H161" s="74" t="s">
        <v>1043</v>
      </c>
      <c r="I161" s="118" t="s">
        <v>1101</v>
      </c>
      <c r="J161" s="74" t="s">
        <v>231</v>
      </c>
      <c r="K161" s="74" t="str">
        <f t="shared" ref="K161" si="11">SUBSTITUTE(I161,"hazr-","")&amp;"-nic"</f>
        <v>l-com-scmsol01-nic</v>
      </c>
      <c r="L161" s="81" t="s">
        <v>226</v>
      </c>
      <c r="M161" s="74"/>
    </row>
  </sheetData>
  <autoFilter ref="B1:M161" xr:uid="{BAB1F184-7BFC-47CB-AC71-63C76B7E3D12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13697-3740-4555-9E10-C39D5D5DCDBB}">
  <dimension ref="A1:P36"/>
  <sheetViews>
    <sheetView topLeftCell="F1" workbookViewId="0">
      <selection activeCell="L16" sqref="L16"/>
    </sheetView>
  </sheetViews>
  <sheetFormatPr defaultRowHeight="16.5" x14ac:dyDescent="0.3"/>
  <cols>
    <col min="1" max="2" width="5.75" bestFit="1" customWidth="1"/>
    <col min="3" max="3" width="16.125" bestFit="1" customWidth="1"/>
    <col min="4" max="4" width="15.125" bestFit="1" customWidth="1"/>
    <col min="5" max="5" width="44.625" customWidth="1"/>
    <col min="6" max="6" width="16.125" customWidth="1"/>
    <col min="7" max="7" width="11.5" bestFit="1" customWidth="1"/>
    <col min="9" max="9" width="25.5" style="2" bestFit="1" customWidth="1"/>
    <col min="10" max="10" width="9" style="2"/>
    <col min="11" max="11" width="19" style="2" bestFit="1" customWidth="1"/>
    <col min="12" max="12" width="13.625" style="2" bestFit="1" customWidth="1"/>
    <col min="13" max="13" width="23.625" bestFit="1" customWidth="1"/>
  </cols>
  <sheetData>
    <row r="1" spans="1:16" ht="17.25" thickBot="1" x14ac:dyDescent="0.35">
      <c r="A1" s="3" t="s">
        <v>0</v>
      </c>
      <c r="B1" s="41" t="s">
        <v>1</v>
      </c>
      <c r="C1" s="43" t="s">
        <v>34</v>
      </c>
      <c r="D1" s="43" t="s">
        <v>37</v>
      </c>
      <c r="E1" s="42" t="s">
        <v>38</v>
      </c>
      <c r="F1" s="43" t="s">
        <v>40</v>
      </c>
      <c r="G1" s="42" t="s">
        <v>39</v>
      </c>
      <c r="H1" s="44" t="s">
        <v>52</v>
      </c>
      <c r="I1" s="45" t="s">
        <v>53</v>
      </c>
      <c r="J1" s="45" t="s">
        <v>54</v>
      </c>
      <c r="K1" s="45" t="s">
        <v>55</v>
      </c>
      <c r="L1" s="45" t="s">
        <v>56</v>
      </c>
      <c r="M1" s="46" t="s">
        <v>22</v>
      </c>
    </row>
    <row r="2" spans="1:16" x14ac:dyDescent="0.3">
      <c r="A2" s="12" t="s">
        <v>23</v>
      </c>
      <c r="B2" s="13" t="s">
        <v>29</v>
      </c>
      <c r="C2" s="13" t="s">
        <v>94</v>
      </c>
      <c r="D2" s="13">
        <v>100</v>
      </c>
      <c r="E2" s="13" t="s">
        <v>50</v>
      </c>
      <c r="F2" s="13" t="s">
        <v>41</v>
      </c>
      <c r="G2" s="13" t="s">
        <v>44</v>
      </c>
      <c r="H2" s="13" t="s">
        <v>57</v>
      </c>
      <c r="I2" s="28" t="s">
        <v>73</v>
      </c>
      <c r="J2" s="28" t="s">
        <v>58</v>
      </c>
      <c r="K2" s="28" t="s">
        <v>26</v>
      </c>
      <c r="L2" s="28">
        <v>22</v>
      </c>
      <c r="M2" s="22" t="s">
        <v>62</v>
      </c>
    </row>
    <row r="3" spans="1:16" x14ac:dyDescent="0.3">
      <c r="A3" s="14" t="s">
        <v>23</v>
      </c>
      <c r="B3" s="4" t="s">
        <v>29</v>
      </c>
      <c r="C3" s="4" t="s">
        <v>94</v>
      </c>
      <c r="D3" s="4">
        <v>110</v>
      </c>
      <c r="E3" s="4" t="s">
        <v>49</v>
      </c>
      <c r="F3" s="4" t="s">
        <v>41</v>
      </c>
      <c r="G3" s="4" t="s">
        <v>44</v>
      </c>
      <c r="H3" s="4" t="s">
        <v>57</v>
      </c>
      <c r="I3" s="29" t="s">
        <v>58</v>
      </c>
      <c r="J3" s="29" t="s">
        <v>74</v>
      </c>
      <c r="K3" s="29" t="s">
        <v>71</v>
      </c>
      <c r="L3" s="29">
        <v>80</v>
      </c>
      <c r="M3" s="23" t="s">
        <v>63</v>
      </c>
    </row>
    <row r="4" spans="1:16" x14ac:dyDescent="0.3">
      <c r="A4" s="15" t="s">
        <v>23</v>
      </c>
      <c r="B4" s="7" t="s">
        <v>29</v>
      </c>
      <c r="C4" s="7" t="s">
        <v>94</v>
      </c>
      <c r="D4" s="7">
        <v>4095</v>
      </c>
      <c r="E4" s="7" t="s">
        <v>48</v>
      </c>
      <c r="F4" s="7" t="s">
        <v>41</v>
      </c>
      <c r="G4" s="7" t="s">
        <v>44</v>
      </c>
      <c r="H4" s="7" t="s">
        <v>59</v>
      </c>
      <c r="I4" s="30" t="s">
        <v>60</v>
      </c>
      <c r="J4" s="30" t="s">
        <v>58</v>
      </c>
      <c r="K4" s="30" t="s">
        <v>58</v>
      </c>
      <c r="L4" s="30" t="s">
        <v>58</v>
      </c>
      <c r="M4" s="24" t="s">
        <v>66</v>
      </c>
    </row>
    <row r="5" spans="1:16" x14ac:dyDescent="0.3">
      <c r="A5" s="16" t="s">
        <v>23</v>
      </c>
      <c r="B5" s="7" t="s">
        <v>29</v>
      </c>
      <c r="C5" s="7" t="s">
        <v>94</v>
      </c>
      <c r="D5" s="7">
        <v>4096</v>
      </c>
      <c r="E5" s="7" t="s">
        <v>51</v>
      </c>
      <c r="F5" s="7" t="s">
        <v>41</v>
      </c>
      <c r="G5" s="7" t="s">
        <v>43</v>
      </c>
      <c r="H5" s="7" t="s">
        <v>59</v>
      </c>
      <c r="I5" s="30" t="s">
        <v>35</v>
      </c>
      <c r="J5" s="30" t="s">
        <v>58</v>
      </c>
      <c r="K5" s="30" t="s">
        <v>35</v>
      </c>
      <c r="L5" s="30" t="s">
        <v>58</v>
      </c>
      <c r="M5" s="24" t="s">
        <v>65</v>
      </c>
    </row>
    <row r="6" spans="1:16" x14ac:dyDescent="0.3">
      <c r="A6" s="17" t="s">
        <v>23</v>
      </c>
      <c r="B6" s="10" t="s">
        <v>29</v>
      </c>
      <c r="C6" s="10" t="s">
        <v>94</v>
      </c>
      <c r="D6" s="10">
        <v>100</v>
      </c>
      <c r="E6" s="10" t="s">
        <v>46</v>
      </c>
      <c r="F6" s="10" t="s">
        <v>42</v>
      </c>
      <c r="G6" s="10" t="s">
        <v>44</v>
      </c>
      <c r="H6" s="10" t="s">
        <v>57</v>
      </c>
      <c r="I6" s="31" t="s">
        <v>26</v>
      </c>
      <c r="J6" s="31" t="s">
        <v>58</v>
      </c>
      <c r="K6" s="31" t="s">
        <v>67</v>
      </c>
      <c r="L6" s="31" t="s">
        <v>75</v>
      </c>
      <c r="M6" s="25" t="s">
        <v>69</v>
      </c>
    </row>
    <row r="7" spans="1:16" x14ac:dyDescent="0.3">
      <c r="A7" s="18" t="s">
        <v>23</v>
      </c>
      <c r="B7" s="5" t="s">
        <v>29</v>
      </c>
      <c r="C7" s="5" t="s">
        <v>94</v>
      </c>
      <c r="D7" s="5"/>
      <c r="E7" s="5"/>
      <c r="F7" s="5"/>
      <c r="G7" s="5"/>
      <c r="H7" s="5"/>
      <c r="I7" s="32"/>
      <c r="J7" s="32"/>
      <c r="K7" s="32"/>
      <c r="L7" s="32"/>
      <c r="M7" s="26"/>
    </row>
    <row r="8" spans="1:16" x14ac:dyDescent="0.3">
      <c r="A8" s="18" t="s">
        <v>23</v>
      </c>
      <c r="B8" s="5" t="s">
        <v>29</v>
      </c>
      <c r="C8" s="5" t="s">
        <v>94</v>
      </c>
      <c r="D8" s="5"/>
      <c r="E8" s="5"/>
      <c r="F8" s="5" t="s">
        <v>42</v>
      </c>
      <c r="G8" s="5"/>
      <c r="H8" s="5"/>
      <c r="I8" s="32"/>
      <c r="J8" s="32"/>
      <c r="K8" s="32"/>
      <c r="L8" s="32"/>
      <c r="M8" s="26"/>
    </row>
    <row r="9" spans="1:16" ht="17.25" thickBot="1" x14ac:dyDescent="0.35">
      <c r="A9" s="19" t="s">
        <v>23</v>
      </c>
      <c r="B9" s="20" t="s">
        <v>29</v>
      </c>
      <c r="C9" s="20" t="s">
        <v>94</v>
      </c>
      <c r="D9" s="20">
        <v>4096</v>
      </c>
      <c r="E9" s="20" t="s">
        <v>72</v>
      </c>
      <c r="F9" s="20" t="s">
        <v>42</v>
      </c>
      <c r="G9" s="20" t="s">
        <v>43</v>
      </c>
      <c r="H9" s="21" t="s">
        <v>59</v>
      </c>
      <c r="I9" s="33" t="s">
        <v>58</v>
      </c>
      <c r="J9" s="33" t="s">
        <v>58</v>
      </c>
      <c r="K9" s="33" t="s">
        <v>68</v>
      </c>
      <c r="L9" s="33" t="s">
        <v>58</v>
      </c>
      <c r="M9" s="27" t="s">
        <v>64</v>
      </c>
    </row>
    <row r="10" spans="1:16" ht="6.75" customHeight="1" x14ac:dyDescent="0.3">
      <c r="A10" s="36"/>
      <c r="B10" s="37"/>
      <c r="C10" s="37"/>
      <c r="D10" s="37"/>
      <c r="E10" s="37"/>
      <c r="F10" s="37"/>
      <c r="G10" s="37"/>
      <c r="H10" s="38"/>
      <c r="I10" s="39"/>
      <c r="J10" s="39"/>
      <c r="K10" s="39"/>
      <c r="L10" s="39"/>
      <c r="M10" s="40"/>
    </row>
    <row r="11" spans="1:16" x14ac:dyDescent="0.3">
      <c r="A11" s="11" t="s">
        <v>23</v>
      </c>
      <c r="B11" s="11" t="s">
        <v>29</v>
      </c>
      <c r="C11" s="11" t="s">
        <v>96</v>
      </c>
      <c r="D11" s="11">
        <v>100</v>
      </c>
      <c r="E11" s="11" t="s">
        <v>47</v>
      </c>
      <c r="F11" s="11" t="s">
        <v>41</v>
      </c>
      <c r="G11" s="11" t="s">
        <v>44</v>
      </c>
      <c r="H11" s="11" t="s">
        <v>57</v>
      </c>
      <c r="I11" s="34" t="s">
        <v>61</v>
      </c>
      <c r="J11" s="34" t="s">
        <v>58</v>
      </c>
      <c r="K11" s="34" t="s">
        <v>27</v>
      </c>
      <c r="L11" s="34">
        <v>22</v>
      </c>
      <c r="M11" s="11"/>
      <c r="P11" s="2"/>
    </row>
    <row r="12" spans="1:16" x14ac:dyDescent="0.3">
      <c r="A12" s="4" t="s">
        <v>23</v>
      </c>
      <c r="B12" s="4" t="s">
        <v>29</v>
      </c>
      <c r="C12" s="4" t="s">
        <v>96</v>
      </c>
      <c r="D12" s="4"/>
      <c r="E12" s="4"/>
      <c r="F12" s="4"/>
      <c r="G12" s="4"/>
      <c r="H12" s="4"/>
      <c r="I12" s="29"/>
      <c r="J12" s="29"/>
      <c r="K12" s="29"/>
      <c r="L12" s="29"/>
      <c r="M12" s="4"/>
    </row>
    <row r="13" spans="1:16" x14ac:dyDescent="0.3">
      <c r="A13" s="6" t="s">
        <v>23</v>
      </c>
      <c r="B13" s="7" t="s">
        <v>29</v>
      </c>
      <c r="C13" s="7" t="s">
        <v>96</v>
      </c>
      <c r="D13" s="7">
        <v>4095</v>
      </c>
      <c r="E13" s="7" t="s">
        <v>48</v>
      </c>
      <c r="F13" s="7" t="s">
        <v>41</v>
      </c>
      <c r="G13" s="7" t="s">
        <v>44</v>
      </c>
      <c r="H13" s="7" t="s">
        <v>59</v>
      </c>
      <c r="I13" s="30" t="s">
        <v>60</v>
      </c>
      <c r="J13" s="30" t="s">
        <v>58</v>
      </c>
      <c r="K13" s="30" t="s">
        <v>58</v>
      </c>
      <c r="L13" s="30" t="s">
        <v>58</v>
      </c>
      <c r="M13" s="24" t="s">
        <v>66</v>
      </c>
    </row>
    <row r="14" spans="1:16" x14ac:dyDescent="0.3">
      <c r="A14" s="7" t="s">
        <v>23</v>
      </c>
      <c r="B14" s="7" t="s">
        <v>29</v>
      </c>
      <c r="C14" s="7" t="s">
        <v>96</v>
      </c>
      <c r="D14" s="7">
        <v>4096</v>
      </c>
      <c r="E14" s="7" t="s">
        <v>51</v>
      </c>
      <c r="F14" s="7" t="s">
        <v>41</v>
      </c>
      <c r="G14" s="7" t="s">
        <v>43</v>
      </c>
      <c r="H14" s="7" t="s">
        <v>59</v>
      </c>
      <c r="I14" s="30" t="s">
        <v>35</v>
      </c>
      <c r="J14" s="30" t="s">
        <v>58</v>
      </c>
      <c r="K14" s="30" t="s">
        <v>35</v>
      </c>
      <c r="L14" s="30" t="s">
        <v>58</v>
      </c>
      <c r="M14" s="7" t="s">
        <v>65</v>
      </c>
    </row>
    <row r="15" spans="1:16" x14ac:dyDescent="0.3">
      <c r="A15" s="52" t="s">
        <v>23</v>
      </c>
      <c r="B15" s="52" t="s">
        <v>29</v>
      </c>
      <c r="C15" s="52" t="s">
        <v>96</v>
      </c>
      <c r="D15" s="52"/>
      <c r="E15" s="52"/>
      <c r="F15" s="52" t="s">
        <v>42</v>
      </c>
      <c r="G15" s="52"/>
      <c r="H15" s="53"/>
      <c r="I15" s="54"/>
      <c r="J15" s="54"/>
      <c r="K15" s="54"/>
      <c r="L15" s="54"/>
      <c r="M15" s="53"/>
    </row>
    <row r="16" spans="1:16" x14ac:dyDescent="0.3">
      <c r="A16" s="52" t="s">
        <v>23</v>
      </c>
      <c r="B16" s="52" t="s">
        <v>29</v>
      </c>
      <c r="C16" s="52" t="s">
        <v>96</v>
      </c>
      <c r="D16" s="52"/>
      <c r="E16" s="52"/>
      <c r="F16" s="52" t="s">
        <v>42</v>
      </c>
      <c r="G16" s="52"/>
      <c r="H16" s="52"/>
      <c r="I16" s="55"/>
      <c r="J16" s="55"/>
      <c r="K16" s="55"/>
      <c r="L16" s="55"/>
      <c r="M16" s="52"/>
    </row>
    <row r="17" spans="1:13" x14ac:dyDescent="0.3">
      <c r="A17" s="52" t="s">
        <v>23</v>
      </c>
      <c r="B17" s="52" t="s">
        <v>29</v>
      </c>
      <c r="C17" s="52" t="s">
        <v>95</v>
      </c>
      <c r="D17" s="52"/>
      <c r="E17" s="52"/>
      <c r="F17" s="52" t="s">
        <v>42</v>
      </c>
      <c r="G17" s="52"/>
      <c r="H17" s="52"/>
      <c r="I17" s="55"/>
      <c r="J17" s="55"/>
      <c r="K17" s="55"/>
      <c r="L17" s="55"/>
      <c r="M17" s="52"/>
    </row>
    <row r="18" spans="1:13" x14ac:dyDescent="0.3">
      <c r="A18" s="56" t="s">
        <v>23</v>
      </c>
      <c r="B18" s="56" t="s">
        <v>29</v>
      </c>
      <c r="C18" s="52" t="s">
        <v>95</v>
      </c>
      <c r="D18" s="57">
        <v>4096</v>
      </c>
      <c r="E18" s="57" t="s">
        <v>72</v>
      </c>
      <c r="F18" s="56" t="s">
        <v>42</v>
      </c>
      <c r="G18" s="57" t="s">
        <v>43</v>
      </c>
      <c r="H18" s="58" t="s">
        <v>59</v>
      </c>
      <c r="I18" s="59" t="s">
        <v>58</v>
      </c>
      <c r="J18" s="59" t="s">
        <v>58</v>
      </c>
      <c r="K18" s="59" t="s">
        <v>68</v>
      </c>
      <c r="L18" s="59" t="s">
        <v>58</v>
      </c>
      <c r="M18" s="57" t="s">
        <v>64</v>
      </c>
    </row>
    <row r="19" spans="1:13" ht="6.75" customHeight="1" thickBot="1" x14ac:dyDescent="0.35">
      <c r="A19" s="36"/>
      <c r="B19" s="37"/>
      <c r="C19" s="37"/>
      <c r="D19" s="37"/>
      <c r="E19" s="37"/>
      <c r="F19" s="37"/>
      <c r="G19" s="37"/>
      <c r="H19" s="38"/>
      <c r="I19" s="39"/>
      <c r="J19" s="39"/>
      <c r="K19" s="39"/>
      <c r="L19" s="39"/>
      <c r="M19" s="40"/>
    </row>
    <row r="20" spans="1:13" x14ac:dyDescent="0.3">
      <c r="A20" s="12" t="s">
        <v>23</v>
      </c>
      <c r="B20" s="13" t="s">
        <v>30</v>
      </c>
      <c r="C20" s="13" t="s">
        <v>97</v>
      </c>
      <c r="D20" s="13">
        <v>150</v>
      </c>
      <c r="E20" s="13" t="s">
        <v>50</v>
      </c>
      <c r="F20" s="13" t="s">
        <v>41</v>
      </c>
      <c r="G20" s="13" t="s">
        <v>44</v>
      </c>
      <c r="H20" s="13" t="s">
        <v>57</v>
      </c>
      <c r="I20" s="28" t="s">
        <v>73</v>
      </c>
      <c r="J20" s="28" t="s">
        <v>58</v>
      </c>
      <c r="K20" s="28" t="s">
        <v>26</v>
      </c>
      <c r="L20" s="28">
        <v>22</v>
      </c>
      <c r="M20" s="22" t="s">
        <v>62</v>
      </c>
    </row>
    <row r="21" spans="1:13" x14ac:dyDescent="0.3">
      <c r="A21" s="14" t="s">
        <v>23</v>
      </c>
      <c r="B21" s="4" t="s">
        <v>30</v>
      </c>
      <c r="C21" s="4" t="s">
        <v>97</v>
      </c>
      <c r="D21" s="4">
        <v>160</v>
      </c>
      <c r="E21" s="4" t="s">
        <v>45</v>
      </c>
      <c r="F21" s="4" t="s">
        <v>41</v>
      </c>
      <c r="G21" s="4" t="s">
        <v>44</v>
      </c>
      <c r="H21" s="4" t="s">
        <v>57</v>
      </c>
      <c r="I21" s="29" t="s">
        <v>58</v>
      </c>
      <c r="J21" s="29" t="s">
        <v>58</v>
      </c>
      <c r="K21" s="29" t="s">
        <v>27</v>
      </c>
      <c r="L21" s="29" t="s">
        <v>77</v>
      </c>
      <c r="M21" s="23"/>
    </row>
    <row r="22" spans="1:13" x14ac:dyDescent="0.3">
      <c r="A22" s="15" t="s">
        <v>23</v>
      </c>
      <c r="B22" s="7" t="s">
        <v>29</v>
      </c>
      <c r="C22" s="7" t="s">
        <v>97</v>
      </c>
      <c r="D22" s="7">
        <v>4095</v>
      </c>
      <c r="E22" s="7" t="s">
        <v>48</v>
      </c>
      <c r="F22" s="7" t="s">
        <v>41</v>
      </c>
      <c r="G22" s="7" t="s">
        <v>44</v>
      </c>
      <c r="H22" s="7" t="s">
        <v>59</v>
      </c>
      <c r="I22" s="30" t="s">
        <v>60</v>
      </c>
      <c r="J22" s="30" t="s">
        <v>58</v>
      </c>
      <c r="K22" s="30" t="s">
        <v>58</v>
      </c>
      <c r="L22" s="30" t="s">
        <v>58</v>
      </c>
      <c r="M22" s="24" t="s">
        <v>66</v>
      </c>
    </row>
    <row r="23" spans="1:13" x14ac:dyDescent="0.3">
      <c r="A23" s="16" t="s">
        <v>23</v>
      </c>
      <c r="B23" s="7" t="s">
        <v>29</v>
      </c>
      <c r="C23" s="7" t="s">
        <v>97</v>
      </c>
      <c r="D23" s="7">
        <v>4096</v>
      </c>
      <c r="E23" s="7" t="s">
        <v>51</v>
      </c>
      <c r="F23" s="7" t="s">
        <v>41</v>
      </c>
      <c r="G23" s="7" t="s">
        <v>43</v>
      </c>
      <c r="H23" s="7" t="s">
        <v>59</v>
      </c>
      <c r="I23" s="30" t="s">
        <v>35</v>
      </c>
      <c r="J23" s="30" t="s">
        <v>58</v>
      </c>
      <c r="K23" s="30" t="s">
        <v>35</v>
      </c>
      <c r="L23" s="30" t="s">
        <v>58</v>
      </c>
      <c r="M23" s="24" t="s">
        <v>65</v>
      </c>
    </row>
    <row r="24" spans="1:13" x14ac:dyDescent="0.3">
      <c r="A24" s="60" t="s">
        <v>23</v>
      </c>
      <c r="B24" s="52" t="s">
        <v>30</v>
      </c>
      <c r="C24" s="52" t="s">
        <v>97</v>
      </c>
      <c r="D24" s="52"/>
      <c r="E24" s="52"/>
      <c r="F24" s="52" t="s">
        <v>42</v>
      </c>
      <c r="G24" s="52"/>
      <c r="H24" s="53"/>
      <c r="I24" s="54"/>
      <c r="J24" s="54"/>
      <c r="K24" s="54"/>
      <c r="L24" s="54"/>
      <c r="M24" s="61"/>
    </row>
    <row r="25" spans="1:13" x14ac:dyDescent="0.3">
      <c r="A25" s="60" t="s">
        <v>23</v>
      </c>
      <c r="B25" s="52" t="s">
        <v>30</v>
      </c>
      <c r="C25" s="52" t="s">
        <v>97</v>
      </c>
      <c r="D25" s="52"/>
      <c r="E25" s="52"/>
      <c r="F25" s="52" t="s">
        <v>42</v>
      </c>
      <c r="G25" s="52"/>
      <c r="H25" s="52"/>
      <c r="I25" s="55"/>
      <c r="J25" s="55"/>
      <c r="K25" s="55"/>
      <c r="L25" s="55"/>
      <c r="M25" s="62"/>
    </row>
    <row r="26" spans="1:13" x14ac:dyDescent="0.3">
      <c r="A26" s="60" t="s">
        <v>23</v>
      </c>
      <c r="B26" s="52" t="s">
        <v>30</v>
      </c>
      <c r="C26" s="52" t="s">
        <v>97</v>
      </c>
      <c r="D26" s="52"/>
      <c r="E26" s="52"/>
      <c r="F26" s="52" t="s">
        <v>42</v>
      </c>
      <c r="G26" s="52"/>
      <c r="H26" s="52"/>
      <c r="I26" s="55"/>
      <c r="J26" s="55"/>
      <c r="K26" s="55"/>
      <c r="L26" s="55"/>
      <c r="M26" s="62"/>
    </row>
    <row r="27" spans="1:13" ht="17.25" thickBot="1" x14ac:dyDescent="0.35">
      <c r="A27" s="63" t="s">
        <v>23</v>
      </c>
      <c r="B27" s="64" t="s">
        <v>30</v>
      </c>
      <c r="C27" s="64" t="s">
        <v>97</v>
      </c>
      <c r="D27" s="65">
        <v>4096</v>
      </c>
      <c r="E27" s="65" t="s">
        <v>72</v>
      </c>
      <c r="F27" s="64" t="s">
        <v>42</v>
      </c>
      <c r="G27" s="65" t="s">
        <v>43</v>
      </c>
      <c r="H27" s="66" t="s">
        <v>59</v>
      </c>
      <c r="I27" s="67" t="s">
        <v>58</v>
      </c>
      <c r="J27" s="67" t="s">
        <v>58</v>
      </c>
      <c r="K27" s="67" t="s">
        <v>68</v>
      </c>
      <c r="L27" s="67" t="s">
        <v>58</v>
      </c>
      <c r="M27" s="68" t="s">
        <v>64</v>
      </c>
    </row>
    <row r="28" spans="1:13" ht="6.75" customHeight="1" x14ac:dyDescent="0.3">
      <c r="A28" s="36"/>
      <c r="B28" s="37"/>
      <c r="C28" s="37"/>
      <c r="D28" s="37"/>
      <c r="E28" s="37"/>
      <c r="F28" s="37"/>
      <c r="G28" s="37"/>
      <c r="H28" s="38"/>
      <c r="I28" s="39"/>
      <c r="J28" s="39"/>
      <c r="K28" s="39"/>
      <c r="L28" s="39"/>
      <c r="M28" s="40"/>
    </row>
    <row r="29" spans="1:13" x14ac:dyDescent="0.3">
      <c r="A29" s="11" t="s">
        <v>23</v>
      </c>
      <c r="B29" s="11" t="s">
        <v>32</v>
      </c>
      <c r="C29" s="11" t="s">
        <v>98</v>
      </c>
      <c r="D29" s="11"/>
      <c r="E29" s="11"/>
      <c r="F29" s="11" t="s">
        <v>41</v>
      </c>
      <c r="G29" s="11" t="s">
        <v>44</v>
      </c>
      <c r="H29" s="11"/>
      <c r="I29" s="34"/>
      <c r="J29" s="34"/>
      <c r="K29" s="34"/>
      <c r="L29" s="34"/>
      <c r="M29" s="11"/>
    </row>
    <row r="30" spans="1:13" x14ac:dyDescent="0.3">
      <c r="A30" s="4" t="s">
        <v>23</v>
      </c>
      <c r="B30" s="4" t="s">
        <v>32</v>
      </c>
      <c r="C30" s="4" t="s">
        <v>98</v>
      </c>
      <c r="D30" s="4"/>
      <c r="E30" s="4"/>
      <c r="F30" s="4" t="s">
        <v>41</v>
      </c>
      <c r="G30" s="4" t="s">
        <v>44</v>
      </c>
      <c r="H30" s="4"/>
      <c r="I30" s="29"/>
      <c r="J30" s="29"/>
      <c r="K30" s="29"/>
      <c r="L30" s="29"/>
      <c r="M30" s="4"/>
    </row>
    <row r="31" spans="1:13" x14ac:dyDescent="0.3">
      <c r="A31" s="6" t="s">
        <v>23</v>
      </c>
      <c r="B31" s="7" t="s">
        <v>29</v>
      </c>
      <c r="C31" s="7" t="s">
        <v>98</v>
      </c>
      <c r="D31" s="7">
        <v>4095</v>
      </c>
      <c r="E31" s="7" t="s">
        <v>48</v>
      </c>
      <c r="F31" s="7" t="s">
        <v>41</v>
      </c>
      <c r="G31" s="7" t="s">
        <v>44</v>
      </c>
      <c r="H31" s="7" t="s">
        <v>59</v>
      </c>
      <c r="I31" s="30" t="s">
        <v>60</v>
      </c>
      <c r="J31" s="30" t="s">
        <v>58</v>
      </c>
      <c r="K31" s="30" t="s">
        <v>58</v>
      </c>
      <c r="L31" s="30" t="s">
        <v>58</v>
      </c>
      <c r="M31" s="24" t="s">
        <v>66</v>
      </c>
    </row>
    <row r="32" spans="1:13" x14ac:dyDescent="0.3">
      <c r="A32" s="7" t="s">
        <v>23</v>
      </c>
      <c r="B32" s="7" t="s">
        <v>29</v>
      </c>
      <c r="C32" s="7" t="s">
        <v>98</v>
      </c>
      <c r="D32" s="7">
        <v>4096</v>
      </c>
      <c r="E32" s="7" t="s">
        <v>51</v>
      </c>
      <c r="F32" s="7" t="s">
        <v>41</v>
      </c>
      <c r="G32" s="7" t="s">
        <v>43</v>
      </c>
      <c r="H32" s="7" t="s">
        <v>59</v>
      </c>
      <c r="I32" s="30" t="s">
        <v>35</v>
      </c>
      <c r="J32" s="30" t="s">
        <v>58</v>
      </c>
      <c r="K32" s="30" t="s">
        <v>35</v>
      </c>
      <c r="L32" s="30" t="s">
        <v>58</v>
      </c>
      <c r="M32" s="7" t="s">
        <v>65</v>
      </c>
    </row>
    <row r="33" spans="1:13" x14ac:dyDescent="0.3">
      <c r="A33" s="5" t="s">
        <v>23</v>
      </c>
      <c r="B33" s="5" t="s">
        <v>32</v>
      </c>
      <c r="C33" s="5" t="s">
        <v>98</v>
      </c>
      <c r="D33" s="10">
        <v>200</v>
      </c>
      <c r="E33" s="10" t="s">
        <v>46</v>
      </c>
      <c r="F33" s="10" t="s">
        <v>42</v>
      </c>
      <c r="G33" s="10" t="s">
        <v>44</v>
      </c>
      <c r="H33" s="10" t="s">
        <v>57</v>
      </c>
      <c r="I33" s="31" t="s">
        <v>70</v>
      </c>
      <c r="J33" s="31" t="s">
        <v>58</v>
      </c>
      <c r="K33" s="31" t="s">
        <v>67</v>
      </c>
      <c r="L33" s="31" t="s">
        <v>76</v>
      </c>
      <c r="M33" s="25" t="s">
        <v>69</v>
      </c>
    </row>
    <row r="34" spans="1:13" x14ac:dyDescent="0.3">
      <c r="A34" s="5" t="s">
        <v>23</v>
      </c>
      <c r="B34" s="5" t="s">
        <v>32</v>
      </c>
      <c r="C34" s="5" t="s">
        <v>98</v>
      </c>
      <c r="D34" s="5"/>
      <c r="E34" s="5"/>
      <c r="F34" s="5" t="s">
        <v>42</v>
      </c>
      <c r="G34" s="5"/>
      <c r="H34" s="5"/>
      <c r="I34" s="32"/>
      <c r="J34" s="32"/>
      <c r="K34" s="32"/>
      <c r="L34" s="32"/>
      <c r="M34" s="5"/>
    </row>
    <row r="35" spans="1:13" x14ac:dyDescent="0.3">
      <c r="A35" s="5" t="s">
        <v>23</v>
      </c>
      <c r="B35" s="5" t="s">
        <v>32</v>
      </c>
      <c r="C35" s="5" t="s">
        <v>98</v>
      </c>
      <c r="D35" s="5"/>
      <c r="E35" s="5"/>
      <c r="F35" s="5" t="s">
        <v>42</v>
      </c>
      <c r="G35" s="5"/>
      <c r="H35" s="5"/>
      <c r="I35" s="32"/>
      <c r="J35" s="32"/>
      <c r="K35" s="32"/>
      <c r="L35" s="32"/>
      <c r="M35" s="5"/>
    </row>
    <row r="36" spans="1:13" x14ac:dyDescent="0.3">
      <c r="A36" s="5" t="s">
        <v>23</v>
      </c>
      <c r="B36" s="5" t="s">
        <v>32</v>
      </c>
      <c r="C36" s="5" t="s">
        <v>98</v>
      </c>
      <c r="D36" s="9">
        <v>4096</v>
      </c>
      <c r="E36" s="9" t="s">
        <v>72</v>
      </c>
      <c r="F36" s="5" t="s">
        <v>42</v>
      </c>
      <c r="G36" s="9" t="s">
        <v>43</v>
      </c>
      <c r="H36" s="8" t="s">
        <v>59</v>
      </c>
      <c r="I36" s="35" t="s">
        <v>58</v>
      </c>
      <c r="J36" s="35" t="s">
        <v>58</v>
      </c>
      <c r="K36" s="35" t="s">
        <v>68</v>
      </c>
      <c r="L36" s="35" t="s">
        <v>58</v>
      </c>
      <c r="M36" s="9" t="s">
        <v>64</v>
      </c>
    </row>
  </sheetData>
  <phoneticPr fontId="1" type="noConversion"/>
  <pageMargins left="0.7" right="0.7" top="0.75" bottom="0.75" header="0.3" footer="0.3"/>
  <ignoredErrors>
    <ignoredError sqref="J3 L6 L33 L21" numberStoredAsText="1"/>
  </ignoredErrors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DC07-76A1-42D8-823C-45359A57A751}">
  <sheetPr>
    <tabColor rgb="FF00B050"/>
  </sheetPr>
  <dimension ref="A1:J40"/>
  <sheetViews>
    <sheetView workbookViewId="0"/>
  </sheetViews>
  <sheetFormatPr defaultRowHeight="13.5" x14ac:dyDescent="0.3"/>
  <cols>
    <col min="1" max="1" width="1.875" style="1" customWidth="1"/>
    <col min="2" max="3" width="9" style="88"/>
    <col min="4" max="4" width="13.125" style="1" bestFit="1" customWidth="1"/>
    <col min="5" max="5" width="13.125" style="1" customWidth="1"/>
    <col min="6" max="6" width="18" style="1" bestFit="1" customWidth="1"/>
    <col min="7" max="7" width="24.25" style="1" bestFit="1" customWidth="1"/>
    <col min="8" max="8" width="17.125" style="1" bestFit="1" customWidth="1"/>
    <col min="9" max="9" width="16.25" style="1" bestFit="1" customWidth="1"/>
    <col min="10" max="10" width="19.25" style="1" customWidth="1"/>
    <col min="11" max="16384" width="9" style="1"/>
  </cols>
  <sheetData>
    <row r="1" spans="1:10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196</v>
      </c>
      <c r="G1" s="72" t="s">
        <v>195</v>
      </c>
      <c r="H1" s="72" t="s">
        <v>213</v>
      </c>
      <c r="I1" s="72" t="s">
        <v>220</v>
      </c>
      <c r="J1" s="72" t="s">
        <v>222</v>
      </c>
    </row>
    <row r="2" spans="1:10" x14ac:dyDescent="0.3">
      <c r="A2" s="107"/>
      <c r="B2" s="74" t="s">
        <v>23</v>
      </c>
      <c r="C2" s="74" t="str" cm="1">
        <f t="array" ref="C2">UPPER(INDEX(_xlfn.TEXTSPLIT($F2, "-"), 3))</f>
        <v>EXT</v>
      </c>
      <c r="D2" s="74" t="s">
        <v>236</v>
      </c>
      <c r="E2" s="74" t="s">
        <v>24</v>
      </c>
      <c r="F2" s="74" t="s">
        <v>325</v>
      </c>
      <c r="G2" s="74" t="s">
        <v>197</v>
      </c>
      <c r="H2" s="74" t="s">
        <v>214</v>
      </c>
      <c r="I2" s="74" t="s">
        <v>221</v>
      </c>
      <c r="J2" s="74" t="s">
        <v>1080</v>
      </c>
    </row>
    <row r="3" spans="1:10" x14ac:dyDescent="0.3">
      <c r="A3" s="107"/>
      <c r="B3" s="82" t="s">
        <v>23</v>
      </c>
      <c r="C3" s="82" t="str" cm="1">
        <f t="array" ref="C3">UPPER(INDEX(_xlfn.TEXTSPLIT($F3, "-"), 3))</f>
        <v>EXT</v>
      </c>
      <c r="D3" s="82" t="s">
        <v>236</v>
      </c>
      <c r="E3" s="82" t="s">
        <v>24</v>
      </c>
      <c r="F3" s="82" t="s">
        <v>325</v>
      </c>
      <c r="G3" s="82" t="s">
        <v>198</v>
      </c>
      <c r="H3" s="82" t="s">
        <v>215</v>
      </c>
      <c r="I3" s="82" t="s">
        <v>221</v>
      </c>
      <c r="J3" s="82" t="s">
        <v>1082</v>
      </c>
    </row>
    <row r="4" spans="1:10" x14ac:dyDescent="0.3">
      <c r="A4" s="107"/>
      <c r="B4" s="74" t="s">
        <v>23</v>
      </c>
      <c r="C4" s="74" t="str" cm="1">
        <f t="array" ref="C4">UPPER(INDEX(_xlfn.TEXTSPLIT($F4, "-"), 3))</f>
        <v>EXT</v>
      </c>
      <c r="D4" s="74" t="s">
        <v>236</v>
      </c>
      <c r="E4" s="74" t="s">
        <v>24</v>
      </c>
      <c r="F4" s="74" t="s">
        <v>325</v>
      </c>
      <c r="G4" s="74" t="s">
        <v>199</v>
      </c>
      <c r="H4" s="74" t="s">
        <v>216</v>
      </c>
      <c r="I4" s="74" t="s">
        <v>221</v>
      </c>
      <c r="J4" s="74" t="s">
        <v>1082</v>
      </c>
    </row>
    <row r="5" spans="1:10" x14ac:dyDescent="0.3">
      <c r="A5" s="107"/>
      <c r="B5" s="82" t="s">
        <v>23</v>
      </c>
      <c r="C5" s="82" t="str" cm="1">
        <f t="array" ref="C5">UPPER(INDEX(_xlfn.TEXTSPLIT($F5, "-"), 3))</f>
        <v>EXT</v>
      </c>
      <c r="D5" s="82" t="s">
        <v>236</v>
      </c>
      <c r="E5" s="82" t="s">
        <v>24</v>
      </c>
      <c r="F5" s="82" t="s">
        <v>325</v>
      </c>
      <c r="G5" s="82" t="s">
        <v>200</v>
      </c>
      <c r="H5" s="82" t="s">
        <v>217</v>
      </c>
      <c r="I5" s="82" t="s">
        <v>221</v>
      </c>
      <c r="J5" s="82" t="s">
        <v>1081</v>
      </c>
    </row>
    <row r="6" spans="1:10" x14ac:dyDescent="0.3">
      <c r="A6" s="107"/>
      <c r="B6" s="74" t="s">
        <v>23</v>
      </c>
      <c r="C6" s="74" t="str" cm="1">
        <f t="array" ref="C6">UPPER(INDEX(_xlfn.TEXTSPLIT($F6, "-"), 3))</f>
        <v>EXT</v>
      </c>
      <c r="D6" s="74" t="s">
        <v>236</v>
      </c>
      <c r="E6" s="74" t="s">
        <v>24</v>
      </c>
      <c r="F6" s="74" t="s">
        <v>325</v>
      </c>
      <c r="G6" s="74" t="s">
        <v>201</v>
      </c>
      <c r="H6" s="74" t="s">
        <v>218</v>
      </c>
      <c r="I6" s="74" t="s">
        <v>221</v>
      </c>
      <c r="J6" s="74" t="s">
        <v>1081</v>
      </c>
    </row>
    <row r="7" spans="1:10" x14ac:dyDescent="0.3">
      <c r="A7" s="107"/>
      <c r="B7" s="82" t="s">
        <v>23</v>
      </c>
      <c r="C7" s="82" t="str" cm="1">
        <f t="array" ref="C7">UPPER(INDEX(_xlfn.TEXTSPLIT($F7, "-"), 3))</f>
        <v>EXT</v>
      </c>
      <c r="D7" s="82" t="s">
        <v>236</v>
      </c>
      <c r="E7" s="82" t="s">
        <v>24</v>
      </c>
      <c r="F7" s="82" t="s">
        <v>325</v>
      </c>
      <c r="G7" s="82" t="s">
        <v>202</v>
      </c>
      <c r="H7" s="82" t="s">
        <v>219</v>
      </c>
      <c r="I7" s="82" t="s">
        <v>221</v>
      </c>
      <c r="J7" s="82" t="s">
        <v>1081</v>
      </c>
    </row>
    <row r="8" spans="1:10" x14ac:dyDescent="0.3">
      <c r="A8" s="107"/>
      <c r="B8" s="74" t="s">
        <v>23</v>
      </c>
      <c r="C8" s="74" t="str" cm="1">
        <f t="array" ref="C8">UPPER(INDEX(_xlfn.TEXTSPLIT($F8, "-"), 3))</f>
        <v>EXT</v>
      </c>
      <c r="D8" s="74" t="s">
        <v>236</v>
      </c>
      <c r="E8" s="74" t="s">
        <v>24</v>
      </c>
      <c r="F8" s="74" t="s">
        <v>325</v>
      </c>
      <c r="G8" s="74" t="s">
        <v>329</v>
      </c>
      <c r="H8" s="74" t="s">
        <v>1058</v>
      </c>
      <c r="I8" s="74" t="s">
        <v>221</v>
      </c>
      <c r="J8" s="74" t="s">
        <v>1081</v>
      </c>
    </row>
    <row r="9" spans="1:10" x14ac:dyDescent="0.3">
      <c r="A9" s="107"/>
      <c r="B9" s="82" t="s">
        <v>23</v>
      </c>
      <c r="C9" s="82" t="str" cm="1">
        <f t="array" ref="C9">UPPER(INDEX(_xlfn.TEXTSPLIT($F9, "-"), 3))</f>
        <v>EXT</v>
      </c>
      <c r="D9" s="82" t="s">
        <v>236</v>
      </c>
      <c r="E9" s="82" t="s">
        <v>24</v>
      </c>
      <c r="F9" s="82" t="s">
        <v>325</v>
      </c>
      <c r="G9" s="82" t="s">
        <v>326</v>
      </c>
      <c r="H9" s="82" t="s">
        <v>330</v>
      </c>
      <c r="I9" s="82" t="s">
        <v>221</v>
      </c>
      <c r="J9" s="82" t="s">
        <v>1081</v>
      </c>
    </row>
    <row r="10" spans="1:10" x14ac:dyDescent="0.3">
      <c r="A10" s="107"/>
      <c r="B10" s="74" t="s">
        <v>23</v>
      </c>
      <c r="C10" s="74" t="str" cm="1">
        <f t="array" ref="C10">UPPER(INDEX(_xlfn.TEXTSPLIT($F10, "-"), 3))</f>
        <v>EXT</v>
      </c>
      <c r="D10" s="74" t="s">
        <v>236</v>
      </c>
      <c r="E10" s="74" t="s">
        <v>24</v>
      </c>
      <c r="F10" s="74" t="s">
        <v>325</v>
      </c>
      <c r="G10" s="74" t="s">
        <v>327</v>
      </c>
      <c r="H10" s="74" t="s">
        <v>331</v>
      </c>
      <c r="I10" s="74" t="s">
        <v>221</v>
      </c>
      <c r="J10" s="74" t="s">
        <v>1081</v>
      </c>
    </row>
    <row r="11" spans="1:10" x14ac:dyDescent="0.3">
      <c r="A11" s="107"/>
      <c r="B11" s="82" t="s">
        <v>23</v>
      </c>
      <c r="C11" s="82" t="str" cm="1">
        <f t="array" ref="C11">UPPER(INDEX(_xlfn.TEXTSPLIT($F11, "-"), 3))</f>
        <v>EXT</v>
      </c>
      <c r="D11" s="82" t="s">
        <v>236</v>
      </c>
      <c r="E11" s="82" t="s">
        <v>24</v>
      </c>
      <c r="F11" s="82" t="s">
        <v>325</v>
      </c>
      <c r="G11" s="82" t="s">
        <v>328</v>
      </c>
      <c r="H11" s="82" t="s">
        <v>332</v>
      </c>
      <c r="I11" s="82" t="s">
        <v>221</v>
      </c>
      <c r="J11" s="82" t="s">
        <v>1081</v>
      </c>
    </row>
    <row r="12" spans="1:10" x14ac:dyDescent="0.3">
      <c r="A12" s="107"/>
      <c r="B12" s="74" t="s">
        <v>23</v>
      </c>
      <c r="C12" s="74" t="str" cm="1">
        <f t="array" ref="C12">UPPER(INDEX(_xlfn.TEXTSPLIT($F12, "-"), 3))</f>
        <v>EXT</v>
      </c>
      <c r="D12" s="74" t="s">
        <v>236</v>
      </c>
      <c r="E12" s="74" t="s">
        <v>24</v>
      </c>
      <c r="F12" s="74" t="s">
        <v>325</v>
      </c>
      <c r="G12" s="74" t="s">
        <v>203</v>
      </c>
      <c r="H12" s="74" t="s">
        <v>333</v>
      </c>
      <c r="I12" s="74" t="s">
        <v>221</v>
      </c>
      <c r="J12" s="74" t="s">
        <v>1081</v>
      </c>
    </row>
    <row r="13" spans="1:10" x14ac:dyDescent="0.3">
      <c r="A13" s="107"/>
      <c r="B13" s="82" t="s">
        <v>23</v>
      </c>
      <c r="C13" s="82" t="str" cm="1">
        <f t="array" ref="C13">UPPER(INDEX(_xlfn.TEXTSPLIT($F13, "-"), 3))</f>
        <v>EXT</v>
      </c>
      <c r="D13" s="82" t="s">
        <v>236</v>
      </c>
      <c r="E13" s="82" t="s">
        <v>24</v>
      </c>
      <c r="F13" s="82" t="s">
        <v>325</v>
      </c>
      <c r="G13" s="82" t="s">
        <v>204</v>
      </c>
      <c r="H13" s="82" t="s">
        <v>334</v>
      </c>
      <c r="I13" s="82" t="s">
        <v>221</v>
      </c>
      <c r="J13" s="82" t="s">
        <v>1081</v>
      </c>
    </row>
    <row r="14" spans="1:10" x14ac:dyDescent="0.3">
      <c r="A14" s="107"/>
      <c r="B14" s="74" t="s">
        <v>23</v>
      </c>
      <c r="C14" s="74" t="str" cm="1">
        <f t="array" ref="C14">UPPER(INDEX(_xlfn.TEXTSPLIT($F14, "-"), 3))</f>
        <v>EXT</v>
      </c>
      <c r="D14" s="74" t="s">
        <v>236</v>
      </c>
      <c r="E14" s="74" t="s">
        <v>24</v>
      </c>
      <c r="F14" s="74" t="s">
        <v>325</v>
      </c>
      <c r="G14" s="74" t="s">
        <v>205</v>
      </c>
      <c r="H14" s="74" t="s">
        <v>335</v>
      </c>
      <c r="I14" s="74" t="s">
        <v>221</v>
      </c>
      <c r="J14" s="74" t="s">
        <v>1081</v>
      </c>
    </row>
    <row r="15" spans="1:10" x14ac:dyDescent="0.3">
      <c r="A15" s="107"/>
      <c r="B15" s="82" t="s">
        <v>23</v>
      </c>
      <c r="C15" s="82" t="str" cm="1">
        <f t="array" ref="C15">UPPER(INDEX(_xlfn.TEXTSPLIT($F15, "-"), 3))</f>
        <v>EXT</v>
      </c>
      <c r="D15" s="82" t="s">
        <v>236</v>
      </c>
      <c r="E15" s="82" t="s">
        <v>24</v>
      </c>
      <c r="F15" s="82" t="s">
        <v>325</v>
      </c>
      <c r="G15" s="82" t="s">
        <v>206</v>
      </c>
      <c r="H15" s="82" t="s">
        <v>336</v>
      </c>
      <c r="I15" s="82" t="s">
        <v>221</v>
      </c>
      <c r="J15" s="82" t="s">
        <v>1081</v>
      </c>
    </row>
    <row r="16" spans="1:10" x14ac:dyDescent="0.3">
      <c r="A16" s="107"/>
      <c r="B16" s="74" t="s">
        <v>23</v>
      </c>
      <c r="C16" s="74" t="str" cm="1">
        <f t="array" ref="C16">UPPER(INDEX(_xlfn.TEXTSPLIT($F16, "-"), 3))</f>
        <v>EXT</v>
      </c>
      <c r="D16" s="74" t="s">
        <v>236</v>
      </c>
      <c r="E16" s="74" t="s">
        <v>24</v>
      </c>
      <c r="F16" s="74" t="s">
        <v>325</v>
      </c>
      <c r="G16" s="74" t="s">
        <v>207</v>
      </c>
      <c r="H16" s="74" t="s">
        <v>337</v>
      </c>
      <c r="I16" s="74" t="s">
        <v>221</v>
      </c>
      <c r="J16" s="74" t="s">
        <v>1081</v>
      </c>
    </row>
    <row r="17" spans="1:10" x14ac:dyDescent="0.3">
      <c r="A17" s="107"/>
      <c r="B17" s="82" t="s">
        <v>23</v>
      </c>
      <c r="C17" s="82" t="str" cm="1">
        <f t="array" ref="C17">UPPER(INDEX(_xlfn.TEXTSPLIT($F17, "-"), 3))</f>
        <v>EXT</v>
      </c>
      <c r="D17" s="82" t="s">
        <v>236</v>
      </c>
      <c r="E17" s="82" t="s">
        <v>24</v>
      </c>
      <c r="F17" s="82" t="s">
        <v>325</v>
      </c>
      <c r="G17" s="82" t="s">
        <v>208</v>
      </c>
      <c r="H17" s="82" t="s">
        <v>338</v>
      </c>
      <c r="I17" s="82" t="s">
        <v>221</v>
      </c>
      <c r="J17" s="82" t="s">
        <v>1081</v>
      </c>
    </row>
    <row r="18" spans="1:10" x14ac:dyDescent="0.3">
      <c r="A18" s="107"/>
      <c r="B18" s="74" t="s">
        <v>23</v>
      </c>
      <c r="C18" s="74" t="str" cm="1">
        <f t="array" ref="C18">UPPER(INDEX(_xlfn.TEXTSPLIT($F18, "-"), 3))</f>
        <v>EXT</v>
      </c>
      <c r="D18" s="74" t="s">
        <v>236</v>
      </c>
      <c r="E18" s="74" t="s">
        <v>24</v>
      </c>
      <c r="F18" s="74" t="s">
        <v>325</v>
      </c>
      <c r="G18" s="74" t="s">
        <v>209</v>
      </c>
      <c r="H18" s="74" t="s">
        <v>339</v>
      </c>
      <c r="I18" s="74" t="s">
        <v>221</v>
      </c>
      <c r="J18" s="74" t="s">
        <v>1081</v>
      </c>
    </row>
    <row r="19" spans="1:10" x14ac:dyDescent="0.3">
      <c r="A19" s="107"/>
      <c r="B19" s="82" t="s">
        <v>23</v>
      </c>
      <c r="C19" s="82" t="str" cm="1">
        <f t="array" ref="C19">UPPER(INDEX(_xlfn.TEXTSPLIT($F19, "-"), 3))</f>
        <v>EXT</v>
      </c>
      <c r="D19" s="82" t="s">
        <v>236</v>
      </c>
      <c r="E19" s="82" t="s">
        <v>24</v>
      </c>
      <c r="F19" s="82" t="s">
        <v>325</v>
      </c>
      <c r="G19" s="82" t="s">
        <v>210</v>
      </c>
      <c r="H19" s="82" t="s">
        <v>340</v>
      </c>
      <c r="I19" s="82" t="s">
        <v>221</v>
      </c>
      <c r="J19" s="82" t="s">
        <v>1081</v>
      </c>
    </row>
    <row r="20" spans="1:10" x14ac:dyDescent="0.3">
      <c r="A20" s="107"/>
      <c r="B20" s="74" t="s">
        <v>23</v>
      </c>
      <c r="C20" s="74" t="str" cm="1">
        <f t="array" ref="C20">UPPER(INDEX(_xlfn.TEXTSPLIT($F20, "-"), 3))</f>
        <v>EXT</v>
      </c>
      <c r="D20" s="74" t="s">
        <v>236</v>
      </c>
      <c r="E20" s="74" t="s">
        <v>24</v>
      </c>
      <c r="F20" s="74" t="s">
        <v>325</v>
      </c>
      <c r="G20" s="74" t="s">
        <v>211</v>
      </c>
      <c r="H20" s="74" t="s">
        <v>341</v>
      </c>
      <c r="I20" s="74" t="s">
        <v>221</v>
      </c>
      <c r="J20" s="74" t="s">
        <v>1081</v>
      </c>
    </row>
    <row r="21" spans="1:10" x14ac:dyDescent="0.3">
      <c r="A21" s="107"/>
      <c r="B21" s="82" t="s">
        <v>23</v>
      </c>
      <c r="C21" s="82" t="str" cm="1">
        <f t="array" ref="C21">UPPER(INDEX(_xlfn.TEXTSPLIT($F21, "-"), 3))</f>
        <v>EXT</v>
      </c>
      <c r="D21" s="82" t="s">
        <v>236</v>
      </c>
      <c r="E21" s="82" t="s">
        <v>24</v>
      </c>
      <c r="F21" s="82" t="s">
        <v>325</v>
      </c>
      <c r="G21" s="82" t="s">
        <v>212</v>
      </c>
      <c r="H21" s="82" t="s">
        <v>342</v>
      </c>
      <c r="I21" s="82" t="s">
        <v>221</v>
      </c>
      <c r="J21" s="82" t="s">
        <v>1081</v>
      </c>
    </row>
    <row r="22" spans="1:10" ht="8.25" customHeight="1" x14ac:dyDescent="0.3">
      <c r="B22" s="87"/>
      <c r="C22" s="87"/>
      <c r="D22" s="87"/>
      <c r="E22" s="87"/>
      <c r="F22" s="87"/>
      <c r="G22" s="87"/>
      <c r="H22" s="87"/>
      <c r="I22" s="87"/>
      <c r="J22" s="87"/>
    </row>
    <row r="23" spans="1:10" x14ac:dyDescent="0.3">
      <c r="A23" s="107"/>
      <c r="B23" s="82" t="s">
        <v>23</v>
      </c>
      <c r="C23" s="82" t="str" cm="1">
        <f t="array" ref="C23">UPPER(INDEX(_xlfn.TEXTSPLIT($F23, "-"), 3))</f>
        <v>INT</v>
      </c>
      <c r="D23" s="82" t="s">
        <v>323</v>
      </c>
      <c r="E23" s="82" t="s">
        <v>24</v>
      </c>
      <c r="F23" s="82" t="s">
        <v>921</v>
      </c>
      <c r="G23" s="82" t="s">
        <v>197</v>
      </c>
      <c r="H23" s="82" t="s">
        <v>922</v>
      </c>
      <c r="I23" s="82" t="s">
        <v>221</v>
      </c>
      <c r="J23" s="82" t="s">
        <v>1082</v>
      </c>
    </row>
    <row r="24" spans="1:10" x14ac:dyDescent="0.3">
      <c r="A24" s="107"/>
      <c r="B24" s="74" t="s">
        <v>23</v>
      </c>
      <c r="C24" s="74" t="str" cm="1">
        <f t="array" ref="C24">UPPER(INDEX(_xlfn.TEXTSPLIT($F24, "-"), 3))</f>
        <v>INT</v>
      </c>
      <c r="D24" s="74" t="s">
        <v>323</v>
      </c>
      <c r="E24" s="74" t="s">
        <v>24</v>
      </c>
      <c r="F24" s="74" t="s">
        <v>921</v>
      </c>
      <c r="G24" s="74" t="s">
        <v>198</v>
      </c>
      <c r="H24" s="74" t="s">
        <v>923</v>
      </c>
      <c r="I24" s="74" t="s">
        <v>221</v>
      </c>
      <c r="J24" s="74" t="s">
        <v>1082</v>
      </c>
    </row>
    <row r="25" spans="1:10" x14ac:dyDescent="0.3">
      <c r="A25" s="107"/>
      <c r="B25" s="82" t="s">
        <v>23</v>
      </c>
      <c r="C25" s="82" t="str" cm="1">
        <f t="array" ref="C25">UPPER(INDEX(_xlfn.TEXTSPLIT($F25, "-"), 3))</f>
        <v>INT</v>
      </c>
      <c r="D25" s="82" t="s">
        <v>323</v>
      </c>
      <c r="E25" s="82" t="s">
        <v>24</v>
      </c>
      <c r="F25" s="82" t="s">
        <v>921</v>
      </c>
      <c r="G25" s="82" t="s">
        <v>199</v>
      </c>
      <c r="H25" s="82" t="s">
        <v>924</v>
      </c>
      <c r="I25" s="82" t="s">
        <v>221</v>
      </c>
      <c r="J25" s="82" t="s">
        <v>1081</v>
      </c>
    </row>
    <row r="26" spans="1:10" x14ac:dyDescent="0.3">
      <c r="A26" s="107"/>
      <c r="B26" s="74" t="s">
        <v>23</v>
      </c>
      <c r="C26" s="74" t="str" cm="1">
        <f t="array" ref="C26">UPPER(INDEX(_xlfn.TEXTSPLIT($F26, "-"), 3))</f>
        <v>INT</v>
      </c>
      <c r="D26" s="74" t="s">
        <v>323</v>
      </c>
      <c r="E26" s="74" t="s">
        <v>24</v>
      </c>
      <c r="F26" s="74" t="s">
        <v>921</v>
      </c>
      <c r="G26" s="74" t="s">
        <v>200</v>
      </c>
      <c r="H26" s="74" t="s">
        <v>925</v>
      </c>
      <c r="I26" s="74" t="s">
        <v>221</v>
      </c>
      <c r="J26" s="74" t="s">
        <v>1081</v>
      </c>
    </row>
    <row r="27" spans="1:10" x14ac:dyDescent="0.3">
      <c r="A27" s="107"/>
      <c r="B27" s="82" t="s">
        <v>23</v>
      </c>
      <c r="C27" s="82" t="str" cm="1">
        <f t="array" ref="C27">UPPER(INDEX(_xlfn.TEXTSPLIT($F27, "-"), 3))</f>
        <v>INT</v>
      </c>
      <c r="D27" s="82" t="s">
        <v>323</v>
      </c>
      <c r="E27" s="82" t="s">
        <v>24</v>
      </c>
      <c r="F27" s="82" t="s">
        <v>921</v>
      </c>
      <c r="G27" s="82" t="s">
        <v>201</v>
      </c>
      <c r="H27" s="82" t="s">
        <v>926</v>
      </c>
      <c r="I27" s="82" t="s">
        <v>221</v>
      </c>
      <c r="J27" s="82" t="s">
        <v>1081</v>
      </c>
    </row>
    <row r="28" spans="1:10" x14ac:dyDescent="0.3">
      <c r="A28" s="107"/>
      <c r="B28" s="74" t="s">
        <v>23</v>
      </c>
      <c r="C28" s="74" t="str" cm="1">
        <f t="array" ref="C28">UPPER(INDEX(_xlfn.TEXTSPLIT($F28, "-"), 3))</f>
        <v>INT</v>
      </c>
      <c r="D28" s="74" t="s">
        <v>323</v>
      </c>
      <c r="E28" s="74" t="s">
        <v>24</v>
      </c>
      <c r="F28" s="74" t="s">
        <v>921</v>
      </c>
      <c r="G28" s="74" t="s">
        <v>223</v>
      </c>
      <c r="H28" s="74" t="s">
        <v>927</v>
      </c>
      <c r="I28" s="74" t="s">
        <v>221</v>
      </c>
      <c r="J28" s="74" t="s">
        <v>1081</v>
      </c>
    </row>
    <row r="29" spans="1:10" x14ac:dyDescent="0.3">
      <c r="A29" s="107"/>
      <c r="B29" s="82" t="s">
        <v>23</v>
      </c>
      <c r="C29" s="82" t="str" cm="1">
        <f t="array" ref="C29">UPPER(INDEX(_xlfn.TEXTSPLIT($F29, "-"), 3))</f>
        <v>INT</v>
      </c>
      <c r="D29" s="82" t="s">
        <v>323</v>
      </c>
      <c r="E29" s="82" t="s">
        <v>24</v>
      </c>
      <c r="F29" s="82" t="s">
        <v>921</v>
      </c>
      <c r="G29" s="82" t="s">
        <v>329</v>
      </c>
      <c r="H29" s="82" t="s">
        <v>1058</v>
      </c>
      <c r="I29" s="82" t="s">
        <v>221</v>
      </c>
      <c r="J29" s="82" t="s">
        <v>1081</v>
      </c>
    </row>
    <row r="30" spans="1:10" x14ac:dyDescent="0.3">
      <c r="A30" s="107"/>
      <c r="B30" s="74" t="s">
        <v>23</v>
      </c>
      <c r="C30" s="74" t="str" cm="1">
        <f t="array" ref="C30">UPPER(INDEX(_xlfn.TEXTSPLIT($F30, "-"), 3))</f>
        <v>INT</v>
      </c>
      <c r="D30" s="74" t="s">
        <v>323</v>
      </c>
      <c r="E30" s="74" t="s">
        <v>24</v>
      </c>
      <c r="F30" s="74" t="s">
        <v>921</v>
      </c>
      <c r="G30" s="74" t="s">
        <v>343</v>
      </c>
      <c r="H30" s="74" t="s">
        <v>275</v>
      </c>
      <c r="I30" s="74" t="s">
        <v>221</v>
      </c>
      <c r="J30" s="74" t="s">
        <v>1081</v>
      </c>
    </row>
    <row r="31" spans="1:10" x14ac:dyDescent="0.3">
      <c r="A31" s="107"/>
      <c r="B31" s="82" t="s">
        <v>23</v>
      </c>
      <c r="C31" s="82" t="str" cm="1">
        <f t="array" ref="C31">UPPER(INDEX(_xlfn.TEXTSPLIT($F31, "-"), 3))</f>
        <v>INT</v>
      </c>
      <c r="D31" s="82" t="s">
        <v>323</v>
      </c>
      <c r="E31" s="82" t="s">
        <v>24</v>
      </c>
      <c r="F31" s="82" t="s">
        <v>921</v>
      </c>
      <c r="G31" s="82" t="s">
        <v>203</v>
      </c>
      <c r="H31" s="82" t="s">
        <v>333</v>
      </c>
      <c r="I31" s="82" t="s">
        <v>221</v>
      </c>
      <c r="J31" s="82" t="s">
        <v>1081</v>
      </c>
    </row>
    <row r="32" spans="1:10" x14ac:dyDescent="0.3">
      <c r="A32" s="107"/>
      <c r="B32" s="74" t="s">
        <v>23</v>
      </c>
      <c r="C32" s="74" t="str" cm="1">
        <f t="array" ref="C32">UPPER(INDEX(_xlfn.TEXTSPLIT($F32, "-"), 3))</f>
        <v>INT</v>
      </c>
      <c r="D32" s="74" t="s">
        <v>323</v>
      </c>
      <c r="E32" s="74" t="s">
        <v>24</v>
      </c>
      <c r="F32" s="74" t="s">
        <v>921</v>
      </c>
      <c r="G32" s="74" t="s">
        <v>204</v>
      </c>
      <c r="H32" s="74" t="s">
        <v>334</v>
      </c>
      <c r="I32" s="74" t="s">
        <v>221</v>
      </c>
      <c r="J32" s="74" t="s">
        <v>1081</v>
      </c>
    </row>
    <row r="33" spans="1:10" x14ac:dyDescent="0.3">
      <c r="A33" s="107"/>
      <c r="B33" s="82" t="s">
        <v>23</v>
      </c>
      <c r="C33" s="82" t="str" cm="1">
        <f t="array" ref="C33">UPPER(INDEX(_xlfn.TEXTSPLIT($F33, "-"), 3))</f>
        <v>INT</v>
      </c>
      <c r="D33" s="82" t="s">
        <v>323</v>
      </c>
      <c r="E33" s="82" t="s">
        <v>24</v>
      </c>
      <c r="F33" s="82" t="s">
        <v>921</v>
      </c>
      <c r="G33" s="82" t="s">
        <v>205</v>
      </c>
      <c r="H33" s="82" t="s">
        <v>335</v>
      </c>
      <c r="I33" s="82" t="s">
        <v>221</v>
      </c>
      <c r="J33" s="82" t="s">
        <v>1081</v>
      </c>
    </row>
    <row r="34" spans="1:10" x14ac:dyDescent="0.3">
      <c r="A34" s="107"/>
      <c r="B34" s="74" t="s">
        <v>23</v>
      </c>
      <c r="C34" s="74" t="str" cm="1">
        <f t="array" ref="C34">UPPER(INDEX(_xlfn.TEXTSPLIT($F34, "-"), 3))</f>
        <v>INT</v>
      </c>
      <c r="D34" s="74" t="s">
        <v>323</v>
      </c>
      <c r="E34" s="74" t="s">
        <v>24</v>
      </c>
      <c r="F34" s="74" t="s">
        <v>921</v>
      </c>
      <c r="G34" s="74" t="s">
        <v>206</v>
      </c>
      <c r="H34" s="74" t="s">
        <v>336</v>
      </c>
      <c r="I34" s="74" t="s">
        <v>221</v>
      </c>
      <c r="J34" s="74" t="s">
        <v>1081</v>
      </c>
    </row>
    <row r="35" spans="1:10" x14ac:dyDescent="0.3">
      <c r="A35" s="107"/>
      <c r="B35" s="82" t="s">
        <v>23</v>
      </c>
      <c r="C35" s="82" t="str" cm="1">
        <f t="array" ref="C35">UPPER(INDEX(_xlfn.TEXTSPLIT($F35, "-"), 3))</f>
        <v>INT</v>
      </c>
      <c r="D35" s="82" t="s">
        <v>323</v>
      </c>
      <c r="E35" s="82" t="s">
        <v>24</v>
      </c>
      <c r="F35" s="82" t="s">
        <v>921</v>
      </c>
      <c r="G35" s="82" t="s">
        <v>207</v>
      </c>
      <c r="H35" s="82" t="s">
        <v>337</v>
      </c>
      <c r="I35" s="82" t="s">
        <v>221</v>
      </c>
      <c r="J35" s="82" t="s">
        <v>1081</v>
      </c>
    </row>
    <row r="36" spans="1:10" x14ac:dyDescent="0.3">
      <c r="A36" s="107"/>
      <c r="B36" s="74" t="s">
        <v>23</v>
      </c>
      <c r="C36" s="74" t="str" cm="1">
        <f t="array" ref="C36">UPPER(INDEX(_xlfn.TEXTSPLIT($F36, "-"), 3))</f>
        <v>INT</v>
      </c>
      <c r="D36" s="74" t="s">
        <v>323</v>
      </c>
      <c r="E36" s="74" t="s">
        <v>24</v>
      </c>
      <c r="F36" s="74" t="s">
        <v>921</v>
      </c>
      <c r="G36" s="74" t="s">
        <v>208</v>
      </c>
      <c r="H36" s="74" t="s">
        <v>338</v>
      </c>
      <c r="I36" s="74" t="s">
        <v>221</v>
      </c>
      <c r="J36" s="74" t="s">
        <v>1081</v>
      </c>
    </row>
    <row r="37" spans="1:10" x14ac:dyDescent="0.3">
      <c r="A37" s="107"/>
      <c r="B37" s="82" t="s">
        <v>23</v>
      </c>
      <c r="C37" s="82" t="str" cm="1">
        <f t="array" ref="C37">UPPER(INDEX(_xlfn.TEXTSPLIT($F37, "-"), 3))</f>
        <v>INT</v>
      </c>
      <c r="D37" s="82" t="s">
        <v>323</v>
      </c>
      <c r="E37" s="82" t="s">
        <v>24</v>
      </c>
      <c r="F37" s="82" t="s">
        <v>921</v>
      </c>
      <c r="G37" s="82" t="s">
        <v>209</v>
      </c>
      <c r="H37" s="82" t="s">
        <v>339</v>
      </c>
      <c r="I37" s="82" t="s">
        <v>221</v>
      </c>
      <c r="J37" s="82" t="s">
        <v>1081</v>
      </c>
    </row>
    <row r="38" spans="1:10" x14ac:dyDescent="0.3">
      <c r="A38" s="107"/>
      <c r="B38" s="74" t="s">
        <v>23</v>
      </c>
      <c r="C38" s="74" t="str" cm="1">
        <f t="array" ref="C38">UPPER(INDEX(_xlfn.TEXTSPLIT($F38, "-"), 3))</f>
        <v>INT</v>
      </c>
      <c r="D38" s="74" t="s">
        <v>323</v>
      </c>
      <c r="E38" s="74" t="s">
        <v>24</v>
      </c>
      <c r="F38" s="74" t="s">
        <v>921</v>
      </c>
      <c r="G38" s="74" t="s">
        <v>210</v>
      </c>
      <c r="H38" s="74" t="s">
        <v>340</v>
      </c>
      <c r="I38" s="74" t="s">
        <v>221</v>
      </c>
      <c r="J38" s="74" t="s">
        <v>1081</v>
      </c>
    </row>
    <row r="39" spans="1:10" x14ac:dyDescent="0.3">
      <c r="A39" s="107"/>
      <c r="B39" s="82" t="s">
        <v>23</v>
      </c>
      <c r="C39" s="82" t="str" cm="1">
        <f t="array" ref="C39">UPPER(INDEX(_xlfn.TEXTSPLIT($F39, "-"), 3))</f>
        <v>INT</v>
      </c>
      <c r="D39" s="82" t="s">
        <v>323</v>
      </c>
      <c r="E39" s="82" t="s">
        <v>24</v>
      </c>
      <c r="F39" s="82" t="s">
        <v>921</v>
      </c>
      <c r="G39" s="82" t="s">
        <v>211</v>
      </c>
      <c r="H39" s="82" t="s">
        <v>341</v>
      </c>
      <c r="I39" s="82" t="s">
        <v>221</v>
      </c>
      <c r="J39" s="82" t="s">
        <v>1081</v>
      </c>
    </row>
    <row r="40" spans="1:10" x14ac:dyDescent="0.3">
      <c r="A40" s="107"/>
      <c r="B40" s="74" t="s">
        <v>23</v>
      </c>
      <c r="C40" s="74" t="str" cm="1">
        <f t="array" ref="C40">UPPER(INDEX(_xlfn.TEXTSPLIT($F40, "-"), 3))</f>
        <v>INT</v>
      </c>
      <c r="D40" s="74" t="s">
        <v>323</v>
      </c>
      <c r="E40" s="74" t="s">
        <v>24</v>
      </c>
      <c r="F40" s="74" t="s">
        <v>921</v>
      </c>
      <c r="G40" s="74" t="s">
        <v>212</v>
      </c>
      <c r="H40" s="74" t="s">
        <v>342</v>
      </c>
      <c r="I40" s="74" t="s">
        <v>221</v>
      </c>
      <c r="J40" s="74" t="s">
        <v>1081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A3252-EF11-4361-BCDB-10417C7A0940}">
  <sheetPr>
    <tabColor rgb="FF00B050"/>
  </sheetPr>
  <dimension ref="A1:Q43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B1" sqref="B1"/>
    </sheetView>
  </sheetViews>
  <sheetFormatPr defaultRowHeight="16.5" x14ac:dyDescent="0.3"/>
  <cols>
    <col min="1" max="1" width="2.25" customWidth="1"/>
    <col min="2" max="2" width="5.75" bestFit="1" customWidth="1"/>
    <col min="3" max="3" width="14" bestFit="1" customWidth="1"/>
    <col min="4" max="4" width="12.875" bestFit="1" customWidth="1"/>
    <col min="5" max="5" width="22.875" bestFit="1" customWidth="1"/>
    <col min="6" max="6" width="20.125" bestFit="1" customWidth="1"/>
    <col min="8" max="8" width="14.75" bestFit="1" customWidth="1"/>
    <col min="9" max="9" width="14.75" customWidth="1"/>
    <col min="10" max="10" width="12.5" bestFit="1" customWidth="1"/>
    <col min="11" max="11" width="17.5" bestFit="1" customWidth="1"/>
    <col min="12" max="12" width="13.375" customWidth="1"/>
    <col min="13" max="13" width="16.125" bestFit="1" customWidth="1"/>
    <col min="14" max="14" width="13.5" bestFit="1" customWidth="1"/>
    <col min="15" max="15" width="16.875" bestFit="1" customWidth="1"/>
    <col min="16" max="16" width="15" bestFit="1" customWidth="1"/>
    <col min="17" max="17" width="18.75" bestFit="1" customWidth="1"/>
    <col min="20" max="21" width="15" bestFit="1" customWidth="1"/>
    <col min="27" max="27" width="19.125" customWidth="1"/>
  </cols>
  <sheetData>
    <row r="1" spans="1:17" x14ac:dyDescent="0.3">
      <c r="B1" s="76" t="s">
        <v>0</v>
      </c>
      <c r="C1" s="76" t="s">
        <v>1</v>
      </c>
      <c r="D1" s="72" t="s">
        <v>100</v>
      </c>
      <c r="E1" s="72" t="s">
        <v>3</v>
      </c>
      <c r="F1" s="72" t="s">
        <v>99</v>
      </c>
      <c r="G1" s="72" t="s">
        <v>101</v>
      </c>
      <c r="H1" s="72" t="s">
        <v>125</v>
      </c>
      <c r="I1" s="72" t="s">
        <v>124</v>
      </c>
      <c r="J1" s="72" t="s">
        <v>103</v>
      </c>
      <c r="K1" s="72" t="s">
        <v>104</v>
      </c>
      <c r="L1" s="72" t="s">
        <v>128</v>
      </c>
      <c r="M1" s="77" t="s">
        <v>105</v>
      </c>
      <c r="N1" s="77" t="s">
        <v>106</v>
      </c>
      <c r="O1" s="77" t="s">
        <v>107</v>
      </c>
      <c r="P1" s="77" t="s">
        <v>109</v>
      </c>
      <c r="Q1" s="72" t="s">
        <v>110</v>
      </c>
    </row>
    <row r="2" spans="1:17" x14ac:dyDescent="0.3">
      <c r="A2" s="90"/>
      <c r="B2" s="82" t="s">
        <v>23</v>
      </c>
      <c r="C2" s="82" t="str" cm="1">
        <f t="array" ref="C2">UPPER(INDEX(_xlfn.TEXTSPLIT($F2, "-"), 3))</f>
        <v>DIS</v>
      </c>
      <c r="D2" s="82" t="s">
        <v>969</v>
      </c>
      <c r="E2" s="82" t="s">
        <v>24</v>
      </c>
      <c r="F2" s="82" t="s">
        <v>930</v>
      </c>
      <c r="G2" s="82" t="s">
        <v>111</v>
      </c>
      <c r="H2" s="82" t="s">
        <v>1084</v>
      </c>
      <c r="I2" s="82" t="s">
        <v>1083</v>
      </c>
      <c r="J2" s="82" t="s">
        <v>102</v>
      </c>
      <c r="K2" s="82" t="str">
        <f t="shared" ref="K2:K31" si="0">SUBSTITUTE(F2, "hazr-", "")&amp;"-fe"</f>
        <v>p-dis-ap-lb-fe</v>
      </c>
      <c r="L2" s="82" t="s">
        <v>236</v>
      </c>
      <c r="M2" s="82" t="s">
        <v>238</v>
      </c>
      <c r="N2" s="82" t="s">
        <v>346</v>
      </c>
      <c r="O2" s="82" t="s">
        <v>108</v>
      </c>
      <c r="P2" s="82" t="s">
        <v>968</v>
      </c>
      <c r="Q2" s="83" t="str">
        <f>SUBSTITUTE(F2, "hazr-", "")&amp;"-bp"</f>
        <v>p-dis-ap-lb-bp</v>
      </c>
    </row>
    <row r="3" spans="1:17" x14ac:dyDescent="0.3">
      <c r="A3" s="90"/>
      <c r="B3" s="74" t="s">
        <v>919</v>
      </c>
      <c r="C3" s="74" t="str" cm="1">
        <f t="array" ref="C3">UPPER(INDEX(_xlfn.TEXTSPLIT($F3, "-"), 3))</f>
        <v>DIS</v>
      </c>
      <c r="D3" s="74" t="s">
        <v>969</v>
      </c>
      <c r="E3" s="74" t="s">
        <v>24</v>
      </c>
      <c r="F3" s="74" t="s">
        <v>931</v>
      </c>
      <c r="G3" s="74" t="s">
        <v>111</v>
      </c>
      <c r="H3" s="74" t="s">
        <v>1084</v>
      </c>
      <c r="I3" s="74" t="s">
        <v>1083</v>
      </c>
      <c r="J3" s="74" t="s">
        <v>102</v>
      </c>
      <c r="K3" s="74" t="str">
        <f t="shared" si="0"/>
        <v>p-dis-adm-lb-fe</v>
      </c>
      <c r="L3" s="74" t="s">
        <v>236</v>
      </c>
      <c r="M3" s="74" t="s">
        <v>238</v>
      </c>
      <c r="N3" s="74" t="s">
        <v>346</v>
      </c>
      <c r="O3" s="74" t="s">
        <v>108</v>
      </c>
      <c r="P3" s="74" t="s">
        <v>975</v>
      </c>
      <c r="Q3" s="84" t="str">
        <f>SUBSTITUTE(F3, "hazr-", "")&amp;"-bp"</f>
        <v>p-dis-adm-lb-bp</v>
      </c>
    </row>
    <row r="4" spans="1:17" x14ac:dyDescent="0.3">
      <c r="A4" s="90"/>
      <c r="B4" s="82" t="s">
        <v>23</v>
      </c>
      <c r="C4" s="82" t="str" cm="1">
        <f t="array" ref="C4">UPPER(INDEX(_xlfn.TEXTSPLIT($F4, "-"), 3))</f>
        <v>DIS</v>
      </c>
      <c r="D4" s="82" t="s">
        <v>969</v>
      </c>
      <c r="E4" s="82" t="s">
        <v>24</v>
      </c>
      <c r="F4" s="82" t="s">
        <v>932</v>
      </c>
      <c r="G4" s="82" t="s">
        <v>111</v>
      </c>
      <c r="H4" s="82" t="s">
        <v>1084</v>
      </c>
      <c r="I4" s="82" t="s">
        <v>1083</v>
      </c>
      <c r="J4" s="82" t="s">
        <v>102</v>
      </c>
      <c r="K4" s="82" t="str">
        <f t="shared" si="0"/>
        <v>p-dis-bbiweb-lb-fe</v>
      </c>
      <c r="L4" s="82" t="s">
        <v>236</v>
      </c>
      <c r="M4" s="82" t="s">
        <v>237</v>
      </c>
      <c r="N4" s="82" t="s">
        <v>352</v>
      </c>
      <c r="O4" s="82" t="s">
        <v>108</v>
      </c>
      <c r="P4" s="82" t="s">
        <v>976</v>
      </c>
      <c r="Q4" s="83" t="str">
        <f t="shared" ref="Q4:Q42" si="1">SUBSTITUTE(F4, "hazr-", "")&amp;"-bp"</f>
        <v>p-dis-bbiweb-lb-bp</v>
      </c>
    </row>
    <row r="5" spans="1:17" x14ac:dyDescent="0.3">
      <c r="A5" s="90"/>
      <c r="B5" s="74" t="s">
        <v>919</v>
      </c>
      <c r="C5" s="74" t="str" cm="1">
        <f t="array" ref="C5">UPPER(INDEX(_xlfn.TEXTSPLIT($F5, "-"), 3))</f>
        <v>DIS</v>
      </c>
      <c r="D5" s="74" t="s">
        <v>969</v>
      </c>
      <c r="E5" s="74" t="s">
        <v>24</v>
      </c>
      <c r="F5" s="74" t="s">
        <v>933</v>
      </c>
      <c r="G5" s="74" t="s">
        <v>111</v>
      </c>
      <c r="H5" s="74" t="s">
        <v>1084</v>
      </c>
      <c r="I5" s="74" t="s">
        <v>1083</v>
      </c>
      <c r="J5" s="74" t="s">
        <v>102</v>
      </c>
      <c r="K5" s="74" t="str">
        <f t="shared" si="0"/>
        <v>p-dis-bbicltap-lb-fe</v>
      </c>
      <c r="L5" s="74" t="s">
        <v>236</v>
      </c>
      <c r="M5" s="74" t="s">
        <v>238</v>
      </c>
      <c r="N5" s="74" t="s">
        <v>346</v>
      </c>
      <c r="O5" s="74" t="s">
        <v>108</v>
      </c>
      <c r="P5" s="74" t="s">
        <v>977</v>
      </c>
      <c r="Q5" s="84" t="str">
        <f t="shared" si="1"/>
        <v>p-dis-bbicltap-lb-bp</v>
      </c>
    </row>
    <row r="6" spans="1:17" x14ac:dyDescent="0.3">
      <c r="A6" s="90"/>
      <c r="B6" s="82" t="s">
        <v>23</v>
      </c>
      <c r="C6" s="82" t="str" cm="1">
        <f t="array" ref="C6">UPPER(INDEX(_xlfn.TEXTSPLIT($F6, "-"), 3))</f>
        <v>DIS</v>
      </c>
      <c r="D6" s="82" t="s">
        <v>969</v>
      </c>
      <c r="E6" s="82" t="s">
        <v>24</v>
      </c>
      <c r="F6" s="82" t="s">
        <v>934</v>
      </c>
      <c r="G6" s="82" t="s">
        <v>111</v>
      </c>
      <c r="H6" s="82" t="s">
        <v>1084</v>
      </c>
      <c r="I6" s="82" t="s">
        <v>1083</v>
      </c>
      <c r="J6" s="82" t="s">
        <v>102</v>
      </c>
      <c r="K6" s="82" t="str">
        <f t="shared" si="0"/>
        <v>p-dis-bbimsgap-lb-fe</v>
      </c>
      <c r="L6" s="82" t="s">
        <v>236</v>
      </c>
      <c r="M6" s="82" t="s">
        <v>238</v>
      </c>
      <c r="N6" s="82" t="s">
        <v>346</v>
      </c>
      <c r="O6" s="82" t="s">
        <v>108</v>
      </c>
      <c r="P6" s="82" t="s">
        <v>978</v>
      </c>
      <c r="Q6" s="83" t="str">
        <f t="shared" si="1"/>
        <v>p-dis-bbimsgap-lb-bp</v>
      </c>
    </row>
    <row r="7" spans="1:17" x14ac:dyDescent="0.3">
      <c r="A7" s="90"/>
      <c r="B7" s="82" t="s">
        <v>23</v>
      </c>
      <c r="C7" s="82" t="str" cm="1">
        <f t="array" ref="C7">UPPER(INDEX(_xlfn.TEXTSPLIT($F7, "-"), 3))</f>
        <v>DIS</v>
      </c>
      <c r="D7" s="82" t="s">
        <v>969</v>
      </c>
      <c r="E7" s="82" t="s">
        <v>24</v>
      </c>
      <c r="F7" s="82" t="s">
        <v>1085</v>
      </c>
      <c r="G7" s="82" t="s">
        <v>111</v>
      </c>
      <c r="H7" s="82" t="s">
        <v>1084</v>
      </c>
      <c r="I7" s="82" t="s">
        <v>1083</v>
      </c>
      <c r="J7" s="82" t="s">
        <v>102</v>
      </c>
      <c r="K7" s="82" t="str">
        <f t="shared" si="0"/>
        <v>p-dis-drvcltap-lb-fe</v>
      </c>
      <c r="L7" s="82" t="s">
        <v>236</v>
      </c>
      <c r="M7" s="82" t="s">
        <v>238</v>
      </c>
      <c r="N7" s="82" t="s">
        <v>346</v>
      </c>
      <c r="O7" s="82" t="s">
        <v>108</v>
      </c>
      <c r="P7" s="82" t="s">
        <v>979</v>
      </c>
      <c r="Q7" s="83" t="str">
        <f t="shared" si="1"/>
        <v>p-dis-drvcltap-lb-bp</v>
      </c>
    </row>
    <row r="8" spans="1:17" x14ac:dyDescent="0.3">
      <c r="A8" s="90"/>
      <c r="B8" s="82" t="s">
        <v>23</v>
      </c>
      <c r="C8" s="82" t="str" cm="1">
        <f t="array" ref="C8">UPPER(INDEX(_xlfn.TEXTSPLIT($F8, "-"), 3))</f>
        <v>DIS</v>
      </c>
      <c r="D8" s="82" t="s">
        <v>969</v>
      </c>
      <c r="E8" s="82" t="s">
        <v>24</v>
      </c>
      <c r="F8" s="82" t="s">
        <v>935</v>
      </c>
      <c r="G8" s="82" t="s">
        <v>111</v>
      </c>
      <c r="H8" s="82" t="s">
        <v>1084</v>
      </c>
      <c r="I8" s="82" t="s">
        <v>1083</v>
      </c>
      <c r="J8" s="82" t="s">
        <v>102</v>
      </c>
      <c r="K8" s="82" t="str">
        <f t="shared" si="0"/>
        <v>p-dis-drvmsgap-lb-fe</v>
      </c>
      <c r="L8" s="82" t="s">
        <v>236</v>
      </c>
      <c r="M8" s="82" t="s">
        <v>238</v>
      </c>
      <c r="N8" s="82" t="s">
        <v>346</v>
      </c>
      <c r="O8" s="82" t="s">
        <v>108</v>
      </c>
      <c r="P8" s="82" t="s">
        <v>980</v>
      </c>
      <c r="Q8" s="83" t="str">
        <f t="shared" si="1"/>
        <v>p-dis-drvmsgap-lb-bp</v>
      </c>
    </row>
    <row r="9" spans="1:17" x14ac:dyDescent="0.3">
      <c r="A9" s="90"/>
      <c r="B9" s="74" t="s">
        <v>919</v>
      </c>
      <c r="C9" s="74" t="str" cm="1">
        <f t="array" ref="C9">UPPER(INDEX(_xlfn.TEXTSPLIT($F9, "-"), 3))</f>
        <v>DIS</v>
      </c>
      <c r="D9" s="74" t="s">
        <v>969</v>
      </c>
      <c r="E9" s="74" t="s">
        <v>24</v>
      </c>
      <c r="F9" s="74" t="s">
        <v>936</v>
      </c>
      <c r="G9" s="74" t="s">
        <v>111</v>
      </c>
      <c r="H9" s="74" t="s">
        <v>1084</v>
      </c>
      <c r="I9" s="74" t="s">
        <v>1083</v>
      </c>
      <c r="J9" s="74" t="s">
        <v>102</v>
      </c>
      <c r="K9" s="74" t="str">
        <f t="shared" si="0"/>
        <v>p-dis-web-lb-fe</v>
      </c>
      <c r="L9" s="74" t="s">
        <v>236</v>
      </c>
      <c r="M9" s="74" t="s">
        <v>237</v>
      </c>
      <c r="N9" s="74" t="s">
        <v>352</v>
      </c>
      <c r="O9" s="74" t="s">
        <v>108</v>
      </c>
      <c r="P9" s="74" t="s">
        <v>981</v>
      </c>
      <c r="Q9" s="84" t="str">
        <f t="shared" si="1"/>
        <v>p-dis-web-lb-bp</v>
      </c>
    </row>
    <row r="10" spans="1:17" x14ac:dyDescent="0.3">
      <c r="A10" s="90"/>
      <c r="B10" s="82" t="s">
        <v>23</v>
      </c>
      <c r="C10" s="82" t="str" cm="1">
        <f t="array" ref="C10">UPPER(INDEX(_xlfn.TEXTSPLIT($F10, "-"), 3))</f>
        <v>DIS</v>
      </c>
      <c r="D10" s="82" t="s">
        <v>969</v>
      </c>
      <c r="E10" s="82" t="s">
        <v>24</v>
      </c>
      <c r="F10" s="82" t="s">
        <v>937</v>
      </c>
      <c r="G10" s="82" t="s">
        <v>111</v>
      </c>
      <c r="H10" s="82" t="s">
        <v>1084</v>
      </c>
      <c r="I10" s="82" t="s">
        <v>1083</v>
      </c>
      <c r="J10" s="82" t="s">
        <v>102</v>
      </c>
      <c r="K10" s="82" t="str">
        <f t="shared" si="0"/>
        <v>p-dis-cmsadm-lb-fe</v>
      </c>
      <c r="L10" s="82" t="s">
        <v>236</v>
      </c>
      <c r="M10" s="82" t="s">
        <v>238</v>
      </c>
      <c r="N10" s="82" t="s">
        <v>346</v>
      </c>
      <c r="O10" s="82" t="s">
        <v>108</v>
      </c>
      <c r="P10" s="82" t="s">
        <v>982</v>
      </c>
      <c r="Q10" s="83" t="str">
        <f t="shared" si="1"/>
        <v>p-dis-cmsadm-lb-bp</v>
      </c>
    </row>
    <row r="11" spans="1:17" x14ac:dyDescent="0.3">
      <c r="A11" s="90"/>
      <c r="B11" s="74" t="s">
        <v>919</v>
      </c>
      <c r="C11" s="74" t="str" cm="1">
        <f t="array" ref="C11">UPPER(INDEX(_xlfn.TEXTSPLIT($F11, "-"), 3))</f>
        <v>DIS</v>
      </c>
      <c r="D11" s="74" t="s">
        <v>969</v>
      </c>
      <c r="E11" s="74" t="s">
        <v>24</v>
      </c>
      <c r="F11" s="74" t="s">
        <v>938</v>
      </c>
      <c r="G11" s="74" t="s">
        <v>111</v>
      </c>
      <c r="H11" s="74" t="s">
        <v>1084</v>
      </c>
      <c r="I11" s="74" t="s">
        <v>1083</v>
      </c>
      <c r="J11" s="74" t="s">
        <v>102</v>
      </c>
      <c r="K11" s="74" t="str">
        <f t="shared" si="0"/>
        <v>p-dis-cmsap-lb-fe</v>
      </c>
      <c r="L11" s="74" t="s">
        <v>236</v>
      </c>
      <c r="M11" s="74" t="s">
        <v>238</v>
      </c>
      <c r="N11" s="74" t="s">
        <v>346</v>
      </c>
      <c r="O11" s="74" t="s">
        <v>108</v>
      </c>
      <c r="P11" s="74" t="s">
        <v>983</v>
      </c>
      <c r="Q11" s="84" t="str">
        <f t="shared" si="1"/>
        <v>p-dis-cmsap-lb-bp</v>
      </c>
    </row>
    <row r="12" spans="1:17" x14ac:dyDescent="0.3">
      <c r="A12" s="90"/>
      <c r="B12" s="82" t="s">
        <v>23</v>
      </c>
      <c r="C12" s="82" t="str" cm="1">
        <f t="array" ref="C12">UPPER(INDEX(_xlfn.TEXTSPLIT($F12, "-"), 3))</f>
        <v>DIS</v>
      </c>
      <c r="D12" s="82" t="s">
        <v>969</v>
      </c>
      <c r="E12" s="82" t="s">
        <v>24</v>
      </c>
      <c r="F12" s="82" t="s">
        <v>939</v>
      </c>
      <c r="G12" s="82" t="s">
        <v>111</v>
      </c>
      <c r="H12" s="82" t="s">
        <v>1084</v>
      </c>
      <c r="I12" s="82" t="s">
        <v>1083</v>
      </c>
      <c r="J12" s="82" t="s">
        <v>102</v>
      </c>
      <c r="K12" s="82" t="str">
        <f t="shared" si="0"/>
        <v>p-dis-cmsweb-lb-fe</v>
      </c>
      <c r="L12" s="82" t="s">
        <v>236</v>
      </c>
      <c r="M12" s="82" t="s">
        <v>237</v>
      </c>
      <c r="N12" s="82" t="s">
        <v>352</v>
      </c>
      <c r="O12" s="82" t="s">
        <v>108</v>
      </c>
      <c r="P12" s="82" t="s">
        <v>984</v>
      </c>
      <c r="Q12" s="83" t="str">
        <f t="shared" si="1"/>
        <v>p-dis-cmsweb-lb-bp</v>
      </c>
    </row>
    <row r="13" spans="1:17" x14ac:dyDescent="0.3">
      <c r="A13" s="90"/>
      <c r="B13" s="74" t="s">
        <v>919</v>
      </c>
      <c r="C13" s="74" t="str" cm="1">
        <f t="array" ref="C13">UPPER(INDEX(_xlfn.TEXTSPLIT($F13, "-"), 3))</f>
        <v>DIS</v>
      </c>
      <c r="D13" s="74" t="s">
        <v>969</v>
      </c>
      <c r="E13" s="74" t="s">
        <v>24</v>
      </c>
      <c r="F13" s="74" t="s">
        <v>940</v>
      </c>
      <c r="G13" s="74" t="s">
        <v>111</v>
      </c>
      <c r="H13" s="74" t="s">
        <v>1084</v>
      </c>
      <c r="I13" s="74" t="s">
        <v>1083</v>
      </c>
      <c r="J13" s="74" t="s">
        <v>102</v>
      </c>
      <c r="K13" s="74" t="str">
        <f t="shared" si="0"/>
        <v>p-dis-cmbsap-lb-fe</v>
      </c>
      <c r="L13" s="74" t="s">
        <v>236</v>
      </c>
      <c r="M13" s="74" t="s">
        <v>238</v>
      </c>
      <c r="N13" s="74" t="s">
        <v>346</v>
      </c>
      <c r="O13" s="74" t="s">
        <v>108</v>
      </c>
      <c r="P13" s="74" t="s">
        <v>985</v>
      </c>
      <c r="Q13" s="84" t="str">
        <f t="shared" si="1"/>
        <v>p-dis-cmbsap-lb-bp</v>
      </c>
    </row>
    <row r="14" spans="1:17" x14ac:dyDescent="0.3">
      <c r="A14" s="90"/>
      <c r="B14" s="82" t="s">
        <v>23</v>
      </c>
      <c r="C14" s="82" t="str" cm="1">
        <f t="array" ref="C14">UPPER(INDEX(_xlfn.TEXTSPLIT($F14, "-"), 3))</f>
        <v>DTG</v>
      </c>
      <c r="D14" s="82" t="s">
        <v>970</v>
      </c>
      <c r="E14" s="82" t="s">
        <v>24</v>
      </c>
      <c r="F14" s="82" t="s">
        <v>941</v>
      </c>
      <c r="G14" s="82" t="s">
        <v>111</v>
      </c>
      <c r="H14" s="82" t="s">
        <v>1084</v>
      </c>
      <c r="I14" s="82" t="s">
        <v>1083</v>
      </c>
      <c r="J14" s="82" t="s">
        <v>102</v>
      </c>
      <c r="K14" s="82" t="str">
        <f t="shared" si="0"/>
        <v>p-dtg-ingap-lb-fe</v>
      </c>
      <c r="L14" s="82" t="s">
        <v>236</v>
      </c>
      <c r="M14" s="82" t="s">
        <v>238</v>
      </c>
      <c r="N14" s="82" t="s">
        <v>1013</v>
      </c>
      <c r="O14" s="82" t="s">
        <v>108</v>
      </c>
      <c r="P14" s="82" t="s">
        <v>986</v>
      </c>
      <c r="Q14" s="83" t="str">
        <f t="shared" si="1"/>
        <v>p-dtg-ingap-lb-bp</v>
      </c>
    </row>
    <row r="15" spans="1:17" x14ac:dyDescent="0.3">
      <c r="A15" s="90"/>
      <c r="B15" s="74" t="s">
        <v>919</v>
      </c>
      <c r="C15" s="74" t="str" cm="1">
        <f t="array" ref="C15">UPPER(INDEX(_xlfn.TEXTSPLIT($F15, "-"), 3))</f>
        <v>DTG</v>
      </c>
      <c r="D15" s="74" t="s">
        <v>970</v>
      </c>
      <c r="E15" s="74" t="s">
        <v>24</v>
      </c>
      <c r="F15" s="74" t="s">
        <v>942</v>
      </c>
      <c r="G15" s="74" t="s">
        <v>111</v>
      </c>
      <c r="H15" s="74" t="s">
        <v>1084</v>
      </c>
      <c r="I15" s="74" t="s">
        <v>1083</v>
      </c>
      <c r="J15" s="74" t="s">
        <v>102</v>
      </c>
      <c r="K15" s="74" t="str">
        <f t="shared" si="0"/>
        <v>p-dtg-ap-lb-fe</v>
      </c>
      <c r="L15" s="74" t="s">
        <v>236</v>
      </c>
      <c r="M15" s="74" t="s">
        <v>238</v>
      </c>
      <c r="N15" s="74" t="s">
        <v>1013</v>
      </c>
      <c r="O15" s="74" t="s">
        <v>108</v>
      </c>
      <c r="P15" s="74" t="s">
        <v>987</v>
      </c>
      <c r="Q15" s="84" t="str">
        <f t="shared" si="1"/>
        <v>p-dtg-ap-lb-bp</v>
      </c>
    </row>
    <row r="16" spans="1:17" x14ac:dyDescent="0.3">
      <c r="A16" s="90"/>
      <c r="B16" s="82" t="s">
        <v>23</v>
      </c>
      <c r="C16" s="82" t="str" cm="1">
        <f t="array" ref="C16">UPPER(INDEX(_xlfn.TEXTSPLIT($F16, "-"), 3))</f>
        <v>DTG</v>
      </c>
      <c r="D16" s="82" t="s">
        <v>970</v>
      </c>
      <c r="E16" s="82" t="s">
        <v>24</v>
      </c>
      <c r="F16" s="82" t="s">
        <v>943</v>
      </c>
      <c r="G16" s="82" t="s">
        <v>111</v>
      </c>
      <c r="H16" s="82" t="s">
        <v>1084</v>
      </c>
      <c r="I16" s="82" t="s">
        <v>1083</v>
      </c>
      <c r="J16" s="82" t="s">
        <v>102</v>
      </c>
      <c r="K16" s="82" t="str">
        <f t="shared" si="0"/>
        <v>p-dtg-extgeoap-lb-fe</v>
      </c>
      <c r="L16" s="82" t="s">
        <v>236</v>
      </c>
      <c r="M16" s="82" t="s">
        <v>238</v>
      </c>
      <c r="N16" s="82" t="s">
        <v>1013</v>
      </c>
      <c r="O16" s="82" t="s">
        <v>108</v>
      </c>
      <c r="P16" s="82" t="s">
        <v>988</v>
      </c>
      <c r="Q16" s="83" t="str">
        <f t="shared" si="1"/>
        <v>p-dtg-extgeoap-lb-bp</v>
      </c>
    </row>
    <row r="17" spans="1:17" x14ac:dyDescent="0.3">
      <c r="A17" s="90"/>
      <c r="B17" s="74" t="s">
        <v>919</v>
      </c>
      <c r="C17" s="74" t="str" cm="1">
        <f t="array" ref="C17">UPPER(INDEX(_xlfn.TEXTSPLIT($F17, "-"), 3))</f>
        <v>DTG</v>
      </c>
      <c r="D17" s="74" t="s">
        <v>970</v>
      </c>
      <c r="E17" s="74" t="s">
        <v>24</v>
      </c>
      <c r="F17" s="74" t="s">
        <v>944</v>
      </c>
      <c r="G17" s="74" t="s">
        <v>111</v>
      </c>
      <c r="H17" s="74" t="s">
        <v>1084</v>
      </c>
      <c r="I17" s="74" t="s">
        <v>1083</v>
      </c>
      <c r="J17" s="74" t="s">
        <v>102</v>
      </c>
      <c r="K17" s="74" t="str">
        <f t="shared" si="0"/>
        <v>p-dtg-geoap-lb-fe</v>
      </c>
      <c r="L17" s="74" t="s">
        <v>236</v>
      </c>
      <c r="M17" s="74" t="s">
        <v>238</v>
      </c>
      <c r="N17" s="74" t="s">
        <v>1013</v>
      </c>
      <c r="O17" s="74" t="s">
        <v>108</v>
      </c>
      <c r="P17" s="74" t="s">
        <v>989</v>
      </c>
      <c r="Q17" s="84" t="str">
        <f t="shared" si="1"/>
        <v>p-dtg-geoap-lb-bp</v>
      </c>
    </row>
    <row r="18" spans="1:17" x14ac:dyDescent="0.3">
      <c r="A18" s="90"/>
      <c r="B18" s="82" t="s">
        <v>23</v>
      </c>
      <c r="C18" s="82" t="str" cm="1">
        <f t="array" ref="C18">UPPER(INDEX(_xlfn.TEXTSPLIT($F18, "-"), 3))</f>
        <v>DTG</v>
      </c>
      <c r="D18" s="82" t="s">
        <v>970</v>
      </c>
      <c r="E18" s="82" t="s">
        <v>24</v>
      </c>
      <c r="F18" s="82" t="s">
        <v>1067</v>
      </c>
      <c r="G18" s="82" t="s">
        <v>111</v>
      </c>
      <c r="H18" s="82" t="s">
        <v>1084</v>
      </c>
      <c r="I18" s="82" t="s">
        <v>1083</v>
      </c>
      <c r="J18" s="82" t="s">
        <v>102</v>
      </c>
      <c r="K18" s="82" t="str">
        <f t="shared" si="0"/>
        <v>p-dtg-mq-lb01-fe</v>
      </c>
      <c r="L18" s="82" t="s">
        <v>236</v>
      </c>
      <c r="M18" s="82" t="s">
        <v>237</v>
      </c>
      <c r="N18" s="82" t="s">
        <v>1014</v>
      </c>
      <c r="O18" s="82" t="s">
        <v>108</v>
      </c>
      <c r="P18" s="82" t="s">
        <v>990</v>
      </c>
      <c r="Q18" s="83" t="str">
        <f t="shared" si="1"/>
        <v>p-dtg-mq-lb01-bp</v>
      </c>
    </row>
    <row r="19" spans="1:17" x14ac:dyDescent="0.3">
      <c r="A19" s="90"/>
      <c r="B19" s="74" t="s">
        <v>23</v>
      </c>
      <c r="C19" s="74" t="str" cm="1">
        <f t="array" ref="C19">UPPER(INDEX(_xlfn.TEXTSPLIT($F19, "-"), 3))</f>
        <v>DTG</v>
      </c>
      <c r="D19" s="74" t="s">
        <v>970</v>
      </c>
      <c r="E19" s="74" t="s">
        <v>24</v>
      </c>
      <c r="F19" s="74" t="s">
        <v>1068</v>
      </c>
      <c r="G19" s="74" t="s">
        <v>111</v>
      </c>
      <c r="H19" s="74" t="s">
        <v>1084</v>
      </c>
      <c r="I19" s="74" t="s">
        <v>1083</v>
      </c>
      <c r="J19" s="74" t="s">
        <v>102</v>
      </c>
      <c r="K19" s="74" t="str">
        <f t="shared" ref="K19:K20" si="2">SUBSTITUTE(F19, "hazr-", "")&amp;"-fe"</f>
        <v>p-dtg-mq-lb02-fe</v>
      </c>
      <c r="L19" s="74" t="s">
        <v>236</v>
      </c>
      <c r="M19" s="74" t="s">
        <v>237</v>
      </c>
      <c r="N19" s="74" t="s">
        <v>1014</v>
      </c>
      <c r="O19" s="74" t="s">
        <v>108</v>
      </c>
      <c r="P19" s="74" t="s">
        <v>1070</v>
      </c>
      <c r="Q19" s="84" t="str">
        <f t="shared" ref="Q19:Q20" si="3">SUBSTITUTE(F19, "hazr-", "")&amp;"-bp"</f>
        <v>p-dtg-mq-lb02-bp</v>
      </c>
    </row>
    <row r="20" spans="1:17" x14ac:dyDescent="0.3">
      <c r="A20" s="90"/>
      <c r="B20" s="82" t="s">
        <v>23</v>
      </c>
      <c r="C20" s="82" t="str" cm="1">
        <f t="array" ref="C20">UPPER(INDEX(_xlfn.TEXTSPLIT($F20, "-"), 3))</f>
        <v>DTG</v>
      </c>
      <c r="D20" s="82" t="s">
        <v>970</v>
      </c>
      <c r="E20" s="82" t="s">
        <v>24</v>
      </c>
      <c r="F20" s="82" t="s">
        <v>1069</v>
      </c>
      <c r="G20" s="82" t="s">
        <v>111</v>
      </c>
      <c r="H20" s="82" t="s">
        <v>1084</v>
      </c>
      <c r="I20" s="82" t="s">
        <v>1083</v>
      </c>
      <c r="J20" s="82" t="s">
        <v>102</v>
      </c>
      <c r="K20" s="82" t="str">
        <f t="shared" si="2"/>
        <v>p-dtg-mq-lb03-fe</v>
      </c>
      <c r="L20" s="82" t="s">
        <v>236</v>
      </c>
      <c r="M20" s="82" t="s">
        <v>237</v>
      </c>
      <c r="N20" s="82" t="s">
        <v>1014</v>
      </c>
      <c r="O20" s="82" t="s">
        <v>108</v>
      </c>
      <c r="P20" s="82" t="s">
        <v>1071</v>
      </c>
      <c r="Q20" s="83" t="str">
        <f t="shared" si="3"/>
        <v>p-dtg-mq-lb03-bp</v>
      </c>
    </row>
    <row r="21" spans="1:17" x14ac:dyDescent="0.3">
      <c r="A21" s="90"/>
      <c r="B21" s="74" t="s">
        <v>919</v>
      </c>
      <c r="C21" s="74" t="str" cm="1">
        <f t="array" ref="C21">UPPER(INDEX(_xlfn.TEXTSPLIT($F21, "-"), 3))</f>
        <v>DTG</v>
      </c>
      <c r="D21" s="74" t="s">
        <v>970</v>
      </c>
      <c r="E21" s="74" t="s">
        <v>24</v>
      </c>
      <c r="F21" s="74" t="s">
        <v>945</v>
      </c>
      <c r="G21" s="74" t="s">
        <v>111</v>
      </c>
      <c r="H21" s="74" t="s">
        <v>1084</v>
      </c>
      <c r="I21" s="74" t="s">
        <v>1083</v>
      </c>
      <c r="J21" s="74" t="s">
        <v>102</v>
      </c>
      <c r="K21" s="74" t="str">
        <f t="shared" si="0"/>
        <v>p-dtg-admweb-lb-fe</v>
      </c>
      <c r="L21" s="74" t="s">
        <v>236</v>
      </c>
      <c r="M21" s="74" t="s">
        <v>238</v>
      </c>
      <c r="N21" s="74" t="s">
        <v>1013</v>
      </c>
      <c r="O21" s="74" t="s">
        <v>108</v>
      </c>
      <c r="P21" s="74" t="s">
        <v>991</v>
      </c>
      <c r="Q21" s="84" t="str">
        <f t="shared" si="1"/>
        <v>p-dtg-admweb-lb-bp</v>
      </c>
    </row>
    <row r="22" spans="1:17" x14ac:dyDescent="0.3">
      <c r="A22" s="90"/>
      <c r="B22" s="82" t="s">
        <v>23</v>
      </c>
      <c r="C22" s="82" t="str" cm="1">
        <f t="array" ref="C22">UPPER(INDEX(_xlfn.TEXTSPLIT($F22, "-"), 3))</f>
        <v>DTG</v>
      </c>
      <c r="D22" s="82" t="s">
        <v>970</v>
      </c>
      <c r="E22" s="82" t="s">
        <v>24</v>
      </c>
      <c r="F22" s="82" t="s">
        <v>946</v>
      </c>
      <c r="G22" s="82" t="s">
        <v>111</v>
      </c>
      <c r="H22" s="82" t="s">
        <v>1084</v>
      </c>
      <c r="I22" s="82" t="s">
        <v>1083</v>
      </c>
      <c r="J22" s="82" t="s">
        <v>102</v>
      </c>
      <c r="K22" s="82" t="str">
        <f t="shared" si="0"/>
        <v>p-dtg-admap-lb-fe</v>
      </c>
      <c r="L22" s="82" t="s">
        <v>236</v>
      </c>
      <c r="M22" s="82" t="s">
        <v>238</v>
      </c>
      <c r="N22" s="82" t="s">
        <v>1013</v>
      </c>
      <c r="O22" s="82" t="s">
        <v>108</v>
      </c>
      <c r="P22" s="82" t="s">
        <v>992</v>
      </c>
      <c r="Q22" s="83" t="str">
        <f t="shared" si="1"/>
        <v>p-dtg-admap-lb-bp</v>
      </c>
    </row>
    <row r="23" spans="1:17" x14ac:dyDescent="0.3">
      <c r="A23" s="90"/>
      <c r="B23" s="74" t="s">
        <v>919</v>
      </c>
      <c r="C23" s="74" t="str" cm="1">
        <f t="array" ref="C23">UPPER(INDEX(_xlfn.TEXTSPLIT($F23, "-"), 3))</f>
        <v>DTG</v>
      </c>
      <c r="D23" s="74" t="s">
        <v>970</v>
      </c>
      <c r="E23" s="74" t="s">
        <v>24</v>
      </c>
      <c r="F23" s="74" t="s">
        <v>947</v>
      </c>
      <c r="G23" s="74" t="s">
        <v>111</v>
      </c>
      <c r="H23" s="74" t="s">
        <v>1084</v>
      </c>
      <c r="I23" s="74" t="s">
        <v>1083</v>
      </c>
      <c r="J23" s="74" t="s">
        <v>102</v>
      </c>
      <c r="K23" s="74" t="str">
        <f t="shared" si="0"/>
        <v>p-dtg-web-lb-fe</v>
      </c>
      <c r="L23" s="74" t="s">
        <v>236</v>
      </c>
      <c r="M23" s="74" t="s">
        <v>237</v>
      </c>
      <c r="N23" s="74" t="s">
        <v>1014</v>
      </c>
      <c r="O23" s="74" t="s">
        <v>108</v>
      </c>
      <c r="P23" s="74" t="s">
        <v>993</v>
      </c>
      <c r="Q23" s="84" t="str">
        <f t="shared" si="1"/>
        <v>p-dtg-web-lb-bp</v>
      </c>
    </row>
    <row r="24" spans="1:17" x14ac:dyDescent="0.3">
      <c r="A24" s="90"/>
      <c r="B24" s="82" t="s">
        <v>23</v>
      </c>
      <c r="C24" s="82" t="str" cm="1">
        <f t="array" ref="C24">UPPER(INDEX(_xlfn.TEXTSPLIT($F24, "-"), 3))</f>
        <v>DTG</v>
      </c>
      <c r="D24" s="82" t="s">
        <v>970</v>
      </c>
      <c r="E24" s="82" t="s">
        <v>24</v>
      </c>
      <c r="F24" s="82" t="s">
        <v>948</v>
      </c>
      <c r="G24" s="82" t="s">
        <v>111</v>
      </c>
      <c r="H24" s="82" t="s">
        <v>1084</v>
      </c>
      <c r="I24" s="82" t="s">
        <v>1083</v>
      </c>
      <c r="J24" s="82" t="s">
        <v>102</v>
      </c>
      <c r="K24" s="82" t="str">
        <f t="shared" si="0"/>
        <v>p-dtg-cdmlap-lb-fe</v>
      </c>
      <c r="L24" s="82" t="s">
        <v>236</v>
      </c>
      <c r="M24" s="82" t="s">
        <v>238</v>
      </c>
      <c r="N24" s="82" t="s">
        <v>1013</v>
      </c>
      <c r="O24" s="82" t="s">
        <v>108</v>
      </c>
      <c r="P24" s="82" t="s">
        <v>994</v>
      </c>
      <c r="Q24" s="83" t="str">
        <f t="shared" si="1"/>
        <v>p-dtg-cdmlap-lb-bp</v>
      </c>
    </row>
    <row r="25" spans="1:17" x14ac:dyDescent="0.3">
      <c r="A25" s="90"/>
      <c r="B25" s="74" t="s">
        <v>919</v>
      </c>
      <c r="C25" s="74" t="str" cm="1">
        <f t="array" ref="C25">UPPER(INDEX(_xlfn.TEXTSPLIT($F25, "-"), 3))</f>
        <v>DTG</v>
      </c>
      <c r="D25" s="74" t="s">
        <v>970</v>
      </c>
      <c r="E25" s="74" t="s">
        <v>24</v>
      </c>
      <c r="F25" s="74" t="s">
        <v>949</v>
      </c>
      <c r="G25" s="74" t="s">
        <v>111</v>
      </c>
      <c r="H25" s="74" t="s">
        <v>1084</v>
      </c>
      <c r="I25" s="74" t="s">
        <v>1083</v>
      </c>
      <c r="J25" s="74" t="s">
        <v>102</v>
      </c>
      <c r="K25" s="74" t="str">
        <f t="shared" si="0"/>
        <v>p-dtg-cdstap-lb-fe</v>
      </c>
      <c r="L25" s="74" t="s">
        <v>236</v>
      </c>
      <c r="M25" s="74" t="s">
        <v>238</v>
      </c>
      <c r="N25" s="74" t="s">
        <v>1013</v>
      </c>
      <c r="O25" s="74" t="s">
        <v>108</v>
      </c>
      <c r="P25" s="74" t="s">
        <v>995</v>
      </c>
      <c r="Q25" s="84" t="str">
        <f t="shared" si="1"/>
        <v>p-dtg-cdstap-lb-bp</v>
      </c>
    </row>
    <row r="26" spans="1:17" x14ac:dyDescent="0.3">
      <c r="A26" s="90"/>
      <c r="B26" s="82" t="s">
        <v>23</v>
      </c>
      <c r="C26" s="82" t="str" cm="1">
        <f t="array" ref="C26">UPPER(INDEX(_xlfn.TEXTSPLIT($F26, "-"), 3))</f>
        <v>DTG</v>
      </c>
      <c r="D26" s="82" t="s">
        <v>970</v>
      </c>
      <c r="E26" s="82" t="s">
        <v>24</v>
      </c>
      <c r="F26" s="82" t="s">
        <v>950</v>
      </c>
      <c r="G26" s="82" t="s">
        <v>111</v>
      </c>
      <c r="H26" s="82" t="s">
        <v>1084</v>
      </c>
      <c r="I26" s="82" t="s">
        <v>1083</v>
      </c>
      <c r="J26" s="82" t="s">
        <v>102</v>
      </c>
      <c r="K26" s="82" t="str">
        <f t="shared" si="0"/>
        <v>p-dtg-cdsvadm-lb-fe</v>
      </c>
      <c r="L26" s="82" t="s">
        <v>236</v>
      </c>
      <c r="M26" s="82" t="s">
        <v>238</v>
      </c>
      <c r="N26" s="82" t="s">
        <v>1013</v>
      </c>
      <c r="O26" s="82" t="s">
        <v>108</v>
      </c>
      <c r="P26" s="82" t="s">
        <v>996</v>
      </c>
      <c r="Q26" s="83" t="str">
        <f t="shared" si="1"/>
        <v>p-dtg-cdsvadm-lb-bp</v>
      </c>
    </row>
    <row r="27" spans="1:17" x14ac:dyDescent="0.3">
      <c r="A27" s="90"/>
      <c r="B27" s="74" t="s">
        <v>919</v>
      </c>
      <c r="C27" s="74" t="str" cm="1">
        <f t="array" ref="C27">UPPER(INDEX(_xlfn.TEXTSPLIT($F27, "-"), 3))</f>
        <v>DTG</v>
      </c>
      <c r="D27" s="74" t="s">
        <v>970</v>
      </c>
      <c r="E27" s="74" t="s">
        <v>24</v>
      </c>
      <c r="F27" s="74" t="s">
        <v>951</v>
      </c>
      <c r="G27" s="74" t="s">
        <v>111</v>
      </c>
      <c r="H27" s="74" t="s">
        <v>1084</v>
      </c>
      <c r="I27" s="74" t="s">
        <v>1083</v>
      </c>
      <c r="J27" s="74" t="s">
        <v>102</v>
      </c>
      <c r="K27" s="74" t="str">
        <f t="shared" si="0"/>
        <v>p-dtg-diosap-lb-fe</v>
      </c>
      <c r="L27" s="74" t="s">
        <v>236</v>
      </c>
      <c r="M27" s="74" t="s">
        <v>238</v>
      </c>
      <c r="N27" s="74" t="s">
        <v>1013</v>
      </c>
      <c r="O27" s="74" t="s">
        <v>108</v>
      </c>
      <c r="P27" s="74" t="s">
        <v>997</v>
      </c>
      <c r="Q27" s="84" t="str">
        <f t="shared" si="1"/>
        <v>p-dtg-diosap-lb-bp</v>
      </c>
    </row>
    <row r="28" spans="1:17" x14ac:dyDescent="0.3">
      <c r="A28" s="90"/>
      <c r="B28" s="82" t="s">
        <v>23</v>
      </c>
      <c r="C28" s="82" t="str" cm="1">
        <f t="array" ref="C28">UPPER(INDEX(_xlfn.TEXTSPLIT($F28, "-"), 3))</f>
        <v>DTG</v>
      </c>
      <c r="D28" s="82" t="s">
        <v>970</v>
      </c>
      <c r="E28" s="82" t="s">
        <v>24</v>
      </c>
      <c r="F28" s="82" t="s">
        <v>952</v>
      </c>
      <c r="G28" s="82" t="s">
        <v>111</v>
      </c>
      <c r="H28" s="82" t="s">
        <v>1084</v>
      </c>
      <c r="I28" s="82" t="s">
        <v>1083</v>
      </c>
      <c r="J28" s="82" t="s">
        <v>102</v>
      </c>
      <c r="K28" s="82" t="str">
        <f t="shared" si="0"/>
        <v>p-dtg-diosweb-lb-fe</v>
      </c>
      <c r="L28" s="82" t="s">
        <v>236</v>
      </c>
      <c r="M28" s="82" t="s">
        <v>238</v>
      </c>
      <c r="N28" s="82" t="s">
        <v>1013</v>
      </c>
      <c r="O28" s="82" t="s">
        <v>108</v>
      </c>
      <c r="P28" s="82" t="s">
        <v>998</v>
      </c>
      <c r="Q28" s="83" t="str">
        <f t="shared" si="1"/>
        <v>p-dtg-diosweb-lb-bp</v>
      </c>
    </row>
    <row r="29" spans="1:17" x14ac:dyDescent="0.3">
      <c r="A29" s="90"/>
      <c r="B29" s="74" t="s">
        <v>919</v>
      </c>
      <c r="C29" s="74" t="str" cm="1">
        <f t="array" ref="C29">UPPER(INDEX(_xlfn.TEXTSPLIT($F29, "-"), 3))</f>
        <v>DTG</v>
      </c>
      <c r="D29" s="74" t="s">
        <v>970</v>
      </c>
      <c r="E29" s="74" t="s">
        <v>24</v>
      </c>
      <c r="F29" s="74" t="s">
        <v>953</v>
      </c>
      <c r="G29" s="74" t="s">
        <v>111</v>
      </c>
      <c r="H29" s="74" t="s">
        <v>1084</v>
      </c>
      <c r="I29" s="74" t="s">
        <v>1083</v>
      </c>
      <c r="J29" s="74" t="s">
        <v>102</v>
      </c>
      <c r="K29" s="74" t="str">
        <f t="shared" si="0"/>
        <v>p-dtg-dprweb-lb-fe</v>
      </c>
      <c r="L29" s="74" t="s">
        <v>236</v>
      </c>
      <c r="M29" s="74" t="s">
        <v>237</v>
      </c>
      <c r="N29" s="74" t="s">
        <v>1014</v>
      </c>
      <c r="O29" s="74" t="s">
        <v>108</v>
      </c>
      <c r="P29" s="74" t="s">
        <v>999</v>
      </c>
      <c r="Q29" s="84" t="str">
        <f t="shared" si="1"/>
        <v>p-dtg-dprweb-lb-bp</v>
      </c>
    </row>
    <row r="30" spans="1:17" x14ac:dyDescent="0.3">
      <c r="A30" s="90"/>
      <c r="B30" s="82" t="s">
        <v>23</v>
      </c>
      <c r="C30" s="82" t="str" cm="1">
        <f t="array" ref="C30">UPPER(INDEX(_xlfn.TEXTSPLIT($F30, "-"), 3))</f>
        <v>DTG</v>
      </c>
      <c r="D30" s="82" t="s">
        <v>970</v>
      </c>
      <c r="E30" s="82" t="s">
        <v>24</v>
      </c>
      <c r="F30" s="82" t="s">
        <v>954</v>
      </c>
      <c r="G30" s="82" t="s">
        <v>111</v>
      </c>
      <c r="H30" s="82" t="s">
        <v>1084</v>
      </c>
      <c r="I30" s="82" t="s">
        <v>1083</v>
      </c>
      <c r="J30" s="82" t="s">
        <v>102</v>
      </c>
      <c r="K30" s="82" t="str">
        <f t="shared" si="0"/>
        <v>p-dtg-dprap-lb-fe</v>
      </c>
      <c r="L30" s="82" t="s">
        <v>236</v>
      </c>
      <c r="M30" s="82" t="s">
        <v>238</v>
      </c>
      <c r="N30" s="82" t="s">
        <v>1013</v>
      </c>
      <c r="O30" s="82" t="s">
        <v>108</v>
      </c>
      <c r="P30" s="82" t="s">
        <v>1000</v>
      </c>
      <c r="Q30" s="83" t="str">
        <f t="shared" si="1"/>
        <v>p-dtg-dprap-lb-bp</v>
      </c>
    </row>
    <row r="31" spans="1:17" x14ac:dyDescent="0.3">
      <c r="A31" s="90"/>
      <c r="B31" s="74" t="s">
        <v>919</v>
      </c>
      <c r="C31" s="74" t="str" cm="1">
        <f t="array" ref="C31">UPPER(INDEX(_xlfn.TEXTSPLIT($F31, "-"), 3))</f>
        <v>BDP</v>
      </c>
      <c r="D31" s="74" t="s">
        <v>971</v>
      </c>
      <c r="E31" s="74" t="s">
        <v>24</v>
      </c>
      <c r="F31" s="74" t="s">
        <v>955</v>
      </c>
      <c r="G31" s="74" t="s">
        <v>111</v>
      </c>
      <c r="H31" s="74" t="s">
        <v>1084</v>
      </c>
      <c r="I31" s="74" t="s">
        <v>1083</v>
      </c>
      <c r="J31" s="74" t="s">
        <v>102</v>
      </c>
      <c r="K31" s="74" t="str">
        <f t="shared" si="0"/>
        <v>p-bdp-cxmadm-lb-fe</v>
      </c>
      <c r="L31" s="74" t="s">
        <v>236</v>
      </c>
      <c r="M31" s="74" t="s">
        <v>238</v>
      </c>
      <c r="N31" s="74" t="s">
        <v>1015</v>
      </c>
      <c r="O31" s="74" t="s">
        <v>108</v>
      </c>
      <c r="P31" s="74" t="s">
        <v>1001</v>
      </c>
      <c r="Q31" s="84" t="str">
        <f t="shared" si="1"/>
        <v>p-bdp-cxmadm-lb-bp</v>
      </c>
    </row>
    <row r="32" spans="1:17" x14ac:dyDescent="0.3">
      <c r="A32" s="90"/>
      <c r="B32" s="82" t="s">
        <v>23</v>
      </c>
      <c r="C32" s="82" t="str" cm="1">
        <f t="array" ref="C32">UPPER(INDEX(_xlfn.TEXTSPLIT($F32, "-"), 3))</f>
        <v>BDP</v>
      </c>
      <c r="D32" s="82" t="s">
        <v>971</v>
      </c>
      <c r="E32" s="82" t="s">
        <v>24</v>
      </c>
      <c r="F32" s="82" t="s">
        <v>956</v>
      </c>
      <c r="G32" s="82" t="s">
        <v>111</v>
      </c>
      <c r="H32" s="82" t="s">
        <v>1084</v>
      </c>
      <c r="I32" s="82" t="s">
        <v>1083</v>
      </c>
      <c r="J32" s="82" t="s">
        <v>102</v>
      </c>
      <c r="K32" s="82" t="str">
        <f t="shared" ref="K32:K42" si="4">SUBSTITUTE(F32, "hazr-", "")&amp;"-fe"</f>
        <v>p-bdp-slap-lb-fe</v>
      </c>
      <c r="L32" s="82" t="s">
        <v>236</v>
      </c>
      <c r="M32" s="82" t="s">
        <v>238</v>
      </c>
      <c r="N32" s="82" t="s">
        <v>1015</v>
      </c>
      <c r="O32" s="82" t="s">
        <v>108</v>
      </c>
      <c r="P32" s="82" t="s">
        <v>1002</v>
      </c>
      <c r="Q32" s="83" t="str">
        <f t="shared" si="1"/>
        <v>p-bdp-slap-lb-bp</v>
      </c>
    </row>
    <row r="33" spans="1:17" x14ac:dyDescent="0.3">
      <c r="A33" s="90"/>
      <c r="B33" s="74" t="s">
        <v>919</v>
      </c>
      <c r="C33" s="74" t="str" cm="1">
        <f t="array" ref="C33">UPPER(INDEX(_xlfn.TEXTSPLIT($F33, "-"), 3))</f>
        <v>IF</v>
      </c>
      <c r="D33" s="74" t="s">
        <v>972</v>
      </c>
      <c r="E33" s="74" t="s">
        <v>24</v>
      </c>
      <c r="F33" s="74" t="s">
        <v>957</v>
      </c>
      <c r="G33" s="74" t="s">
        <v>111</v>
      </c>
      <c r="H33" s="74" t="s">
        <v>1084</v>
      </c>
      <c r="I33" s="74" t="s">
        <v>1083</v>
      </c>
      <c r="J33" s="74" t="s">
        <v>102</v>
      </c>
      <c r="K33" s="74" t="str">
        <f t="shared" si="4"/>
        <v>p-if-auth-lb-fe</v>
      </c>
      <c r="L33" s="74" t="s">
        <v>236</v>
      </c>
      <c r="M33" s="74" t="s">
        <v>238</v>
      </c>
      <c r="N33" s="74" t="s">
        <v>1016</v>
      </c>
      <c r="O33" s="74" t="s">
        <v>108</v>
      </c>
      <c r="P33" s="74" t="s">
        <v>1003</v>
      </c>
      <c r="Q33" s="84" t="str">
        <f t="shared" si="1"/>
        <v>p-if-auth-lb-bp</v>
      </c>
    </row>
    <row r="34" spans="1:17" x14ac:dyDescent="0.3">
      <c r="A34" s="90"/>
      <c r="B34" s="74" t="s">
        <v>919</v>
      </c>
      <c r="C34" s="74" t="str" cm="1">
        <f t="array" ref="C34">UPPER(INDEX(_xlfn.TEXTSPLIT($F34, "-"), 3))</f>
        <v>CS</v>
      </c>
      <c r="D34" s="74" t="s">
        <v>973</v>
      </c>
      <c r="E34" s="74" t="s">
        <v>24</v>
      </c>
      <c r="F34" s="74" t="s">
        <v>958</v>
      </c>
      <c r="G34" s="74" t="s">
        <v>111</v>
      </c>
      <c r="H34" s="74" t="s">
        <v>1084</v>
      </c>
      <c r="I34" s="74" t="s">
        <v>1083</v>
      </c>
      <c r="J34" s="74" t="s">
        <v>102</v>
      </c>
      <c r="K34" s="74" t="str">
        <f t="shared" si="4"/>
        <v>p-cs-chtap-lb-fe</v>
      </c>
      <c r="L34" s="74" t="s">
        <v>236</v>
      </c>
      <c r="M34" s="74" t="s">
        <v>238</v>
      </c>
      <c r="N34" s="74" t="s">
        <v>1017</v>
      </c>
      <c r="O34" s="74" t="s">
        <v>108</v>
      </c>
      <c r="P34" s="74" t="s">
        <v>1004</v>
      </c>
      <c r="Q34" s="84" t="str">
        <f t="shared" si="1"/>
        <v>p-cs-chtap-lb-bp</v>
      </c>
    </row>
    <row r="35" spans="1:17" x14ac:dyDescent="0.3">
      <c r="A35" s="90"/>
      <c r="B35" s="82" t="s">
        <v>23</v>
      </c>
      <c r="C35" s="82" t="str" cm="1">
        <f t="array" ref="C35">UPPER(INDEX(_xlfn.TEXTSPLIT($F35, "-"), 3))</f>
        <v>CS</v>
      </c>
      <c r="D35" s="82" t="s">
        <v>973</v>
      </c>
      <c r="E35" s="82" t="s">
        <v>24</v>
      </c>
      <c r="F35" s="82" t="s">
        <v>959</v>
      </c>
      <c r="G35" s="82" t="s">
        <v>111</v>
      </c>
      <c r="H35" s="82" t="s">
        <v>1084</v>
      </c>
      <c r="I35" s="82" t="s">
        <v>1083</v>
      </c>
      <c r="J35" s="82" t="s">
        <v>102</v>
      </c>
      <c r="K35" s="82" t="str">
        <f t="shared" si="4"/>
        <v>p-cs-chtweb-lb-fe</v>
      </c>
      <c r="L35" s="82" t="s">
        <v>236</v>
      </c>
      <c r="M35" s="82" t="s">
        <v>237</v>
      </c>
      <c r="N35" s="82" t="s">
        <v>1018</v>
      </c>
      <c r="O35" s="82" t="s">
        <v>108</v>
      </c>
      <c r="P35" s="82" t="s">
        <v>1005</v>
      </c>
      <c r="Q35" s="83" t="str">
        <f t="shared" si="1"/>
        <v>p-cs-chtweb-lb-bp</v>
      </c>
    </row>
    <row r="36" spans="1:17" x14ac:dyDescent="0.3">
      <c r="A36" s="90"/>
      <c r="B36" s="74" t="s">
        <v>919</v>
      </c>
      <c r="C36" s="74" t="str" cm="1">
        <f t="array" ref="C36">UPPER(INDEX(_xlfn.TEXTSPLIT($F36, "-"), 3))</f>
        <v>CS</v>
      </c>
      <c r="D36" s="74" t="s">
        <v>973</v>
      </c>
      <c r="E36" s="74" t="s">
        <v>24</v>
      </c>
      <c r="F36" s="74" t="s">
        <v>960</v>
      </c>
      <c r="G36" s="74" t="s">
        <v>111</v>
      </c>
      <c r="H36" s="74" t="s">
        <v>1084</v>
      </c>
      <c r="I36" s="74" t="s">
        <v>1083</v>
      </c>
      <c r="J36" s="74" t="s">
        <v>102</v>
      </c>
      <c r="K36" s="74" t="str">
        <f t="shared" si="4"/>
        <v>p-cs-chtintweb-lb-fe</v>
      </c>
      <c r="L36" s="74" t="s">
        <v>236</v>
      </c>
      <c r="M36" s="74" t="s">
        <v>238</v>
      </c>
      <c r="N36" s="74" t="s">
        <v>1017</v>
      </c>
      <c r="O36" s="74" t="s">
        <v>108</v>
      </c>
      <c r="P36" s="74" t="s">
        <v>1006</v>
      </c>
      <c r="Q36" s="84" t="str">
        <f t="shared" si="1"/>
        <v>p-cs-chtintweb-lb-bp</v>
      </c>
    </row>
    <row r="37" spans="1:17" x14ac:dyDescent="0.3">
      <c r="A37" s="90"/>
      <c r="B37" s="82" t="s">
        <v>23</v>
      </c>
      <c r="C37" s="82" t="str" cm="1">
        <f t="array" ref="C37">UPPER(INDEX(_xlfn.TEXTSPLIT($F37, "-"), 3))</f>
        <v>DOIP</v>
      </c>
      <c r="D37" s="82" t="s">
        <v>974</v>
      </c>
      <c r="E37" s="82" t="s">
        <v>24</v>
      </c>
      <c r="F37" s="82" t="s">
        <v>961</v>
      </c>
      <c r="G37" s="82" t="s">
        <v>111</v>
      </c>
      <c r="H37" s="82" t="s">
        <v>1084</v>
      </c>
      <c r="I37" s="82" t="s">
        <v>1083</v>
      </c>
      <c r="J37" s="82" t="s">
        <v>102</v>
      </c>
      <c r="K37" s="82" t="str">
        <f t="shared" si="4"/>
        <v>p-doip-web-lb-fe</v>
      </c>
      <c r="L37" s="82" t="s">
        <v>236</v>
      </c>
      <c r="M37" s="82" t="s">
        <v>238</v>
      </c>
      <c r="N37" s="82" t="s">
        <v>1019</v>
      </c>
      <c r="O37" s="82" t="s">
        <v>108</v>
      </c>
      <c r="P37" s="82" t="s">
        <v>1007</v>
      </c>
      <c r="Q37" s="83" t="str">
        <f t="shared" si="1"/>
        <v>p-doip-web-lb-bp</v>
      </c>
    </row>
    <row r="38" spans="1:17" x14ac:dyDescent="0.3">
      <c r="A38" s="90"/>
      <c r="B38" s="74" t="s">
        <v>919</v>
      </c>
      <c r="C38" s="74" t="str" cm="1">
        <f t="array" ref="C38">UPPER(INDEX(_xlfn.TEXTSPLIT($F38, "-"), 3))</f>
        <v>DOIP</v>
      </c>
      <c r="D38" s="74" t="s">
        <v>974</v>
      </c>
      <c r="E38" s="74" t="s">
        <v>24</v>
      </c>
      <c r="F38" s="74" t="s">
        <v>962</v>
      </c>
      <c r="G38" s="74" t="s">
        <v>111</v>
      </c>
      <c r="H38" s="74" t="s">
        <v>1084</v>
      </c>
      <c r="I38" s="74" t="s">
        <v>1083</v>
      </c>
      <c r="J38" s="74" t="s">
        <v>102</v>
      </c>
      <c r="K38" s="74" t="str">
        <f t="shared" si="4"/>
        <v>p-doip-ap-lb-fe</v>
      </c>
      <c r="L38" s="74" t="s">
        <v>236</v>
      </c>
      <c r="M38" s="74" t="s">
        <v>238</v>
      </c>
      <c r="N38" s="74" t="s">
        <v>1019</v>
      </c>
      <c r="O38" s="74" t="s">
        <v>108</v>
      </c>
      <c r="P38" s="74" t="s">
        <v>1008</v>
      </c>
      <c r="Q38" s="84" t="str">
        <f t="shared" si="1"/>
        <v>p-doip-ap-lb-bp</v>
      </c>
    </row>
    <row r="39" spans="1:17" x14ac:dyDescent="0.3">
      <c r="A39" s="90"/>
      <c r="B39" s="82" t="s">
        <v>23</v>
      </c>
      <c r="C39" s="82" t="str" cm="1">
        <f t="array" ref="C39">UPPER(INDEX(_xlfn.TEXTSPLIT($F39, "-"), 3))</f>
        <v>DOIP</v>
      </c>
      <c r="D39" s="82" t="s">
        <v>974</v>
      </c>
      <c r="E39" s="82" t="s">
        <v>24</v>
      </c>
      <c r="F39" s="82" t="s">
        <v>963</v>
      </c>
      <c r="G39" s="82" t="s">
        <v>111</v>
      </c>
      <c r="H39" s="82" t="s">
        <v>1084</v>
      </c>
      <c r="I39" s="82" t="s">
        <v>1083</v>
      </c>
      <c r="J39" s="82" t="s">
        <v>102</v>
      </c>
      <c r="K39" s="82" t="str">
        <f t="shared" si="4"/>
        <v>p-doip-adm-lb-fe</v>
      </c>
      <c r="L39" s="82" t="s">
        <v>236</v>
      </c>
      <c r="M39" s="82" t="s">
        <v>238</v>
      </c>
      <c r="N39" s="82" t="s">
        <v>1019</v>
      </c>
      <c r="O39" s="82" t="s">
        <v>108</v>
      </c>
      <c r="P39" s="82" t="s">
        <v>1009</v>
      </c>
      <c r="Q39" s="83" t="str">
        <f t="shared" si="1"/>
        <v>p-doip-adm-lb-bp</v>
      </c>
    </row>
    <row r="40" spans="1:17" x14ac:dyDescent="0.3">
      <c r="A40" s="90"/>
      <c r="B40" s="74" t="s">
        <v>919</v>
      </c>
      <c r="C40" s="74" t="str" cm="1">
        <f t="array" ref="C40">UPPER(INDEX(_xlfn.TEXTSPLIT($F40, "-"), 3))</f>
        <v>BDP</v>
      </c>
      <c r="D40" s="74" t="s">
        <v>971</v>
      </c>
      <c r="E40" s="74" t="s">
        <v>24</v>
      </c>
      <c r="F40" s="74" t="s">
        <v>964</v>
      </c>
      <c r="G40" s="74" t="s">
        <v>111</v>
      </c>
      <c r="H40" s="74" t="s">
        <v>1084</v>
      </c>
      <c r="I40" s="74" t="s">
        <v>1083</v>
      </c>
      <c r="J40" s="74" t="s">
        <v>102</v>
      </c>
      <c r="K40" s="74" t="str">
        <f t="shared" si="4"/>
        <v>p-bdp-crkweb-lb-fe</v>
      </c>
      <c r="L40" s="74" t="s">
        <v>236</v>
      </c>
      <c r="M40" s="74" t="s">
        <v>237</v>
      </c>
      <c r="N40" s="74" t="s">
        <v>1020</v>
      </c>
      <c r="O40" s="74" t="s">
        <v>108</v>
      </c>
      <c r="P40" s="74" t="s">
        <v>1010</v>
      </c>
      <c r="Q40" s="84" t="str">
        <f t="shared" si="1"/>
        <v>p-bdp-crkweb-lb-bp</v>
      </c>
    </row>
    <row r="41" spans="1:17" x14ac:dyDescent="0.3">
      <c r="A41" s="90"/>
      <c r="B41" s="82" t="s">
        <v>23</v>
      </c>
      <c r="C41" s="82" t="str" cm="1">
        <f t="array" ref="C41">UPPER(INDEX(_xlfn.TEXTSPLIT($F41, "-"), 3))</f>
        <v>BDP</v>
      </c>
      <c r="D41" s="82" t="s">
        <v>971</v>
      </c>
      <c r="E41" s="82" t="s">
        <v>24</v>
      </c>
      <c r="F41" s="82" t="s">
        <v>965</v>
      </c>
      <c r="G41" s="82" t="s">
        <v>111</v>
      </c>
      <c r="H41" s="82" t="s">
        <v>1084</v>
      </c>
      <c r="I41" s="82" t="s">
        <v>1083</v>
      </c>
      <c r="J41" s="82" t="s">
        <v>102</v>
      </c>
      <c r="K41" s="82" t="str">
        <f t="shared" si="4"/>
        <v>p-bdp-crkap-lb-fe</v>
      </c>
      <c r="L41" s="82" t="s">
        <v>236</v>
      </c>
      <c r="M41" s="82" t="s">
        <v>238</v>
      </c>
      <c r="N41" s="82" t="s">
        <v>1015</v>
      </c>
      <c r="O41" s="82" t="s">
        <v>108</v>
      </c>
      <c r="P41" s="82" t="s">
        <v>1011</v>
      </c>
      <c r="Q41" s="83" t="str">
        <f t="shared" si="1"/>
        <v>p-bdp-crkap-lb-bp</v>
      </c>
    </row>
    <row r="42" spans="1:17" x14ac:dyDescent="0.3">
      <c r="A42" s="90"/>
      <c r="B42" s="74" t="s">
        <v>919</v>
      </c>
      <c r="C42" s="74" t="str" cm="1">
        <f t="array" ref="C42">UPPER(INDEX(_xlfn.TEXTSPLIT($F42, "-"), 3))</f>
        <v>BDP</v>
      </c>
      <c r="D42" s="74" t="s">
        <v>971</v>
      </c>
      <c r="E42" s="74" t="s">
        <v>24</v>
      </c>
      <c r="F42" s="74" t="s">
        <v>966</v>
      </c>
      <c r="G42" s="74" t="s">
        <v>111</v>
      </c>
      <c r="H42" s="74" t="s">
        <v>1084</v>
      </c>
      <c r="I42" s="74" t="s">
        <v>1083</v>
      </c>
      <c r="J42" s="74" t="s">
        <v>102</v>
      </c>
      <c r="K42" s="74" t="str">
        <f t="shared" si="4"/>
        <v>p-bdp-crkml-lb-fe</v>
      </c>
      <c r="L42" s="74" t="s">
        <v>236</v>
      </c>
      <c r="M42" s="74" t="s">
        <v>238</v>
      </c>
      <c r="N42" s="74" t="s">
        <v>1015</v>
      </c>
      <c r="O42" s="74" t="s">
        <v>108</v>
      </c>
      <c r="P42" s="74" t="s">
        <v>1012</v>
      </c>
      <c r="Q42" s="84" t="str">
        <f t="shared" si="1"/>
        <v>p-bdp-crkml-lb-bp</v>
      </c>
    </row>
    <row r="43" spans="1:17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DC6D-4CAC-4686-B15B-DE2A4B4502D8}">
  <sheetPr>
    <tabColor theme="4"/>
  </sheetPr>
  <dimension ref="A1:K62"/>
  <sheetViews>
    <sheetView workbookViewId="0">
      <selection activeCell="C3" sqref="C3"/>
    </sheetView>
  </sheetViews>
  <sheetFormatPr defaultRowHeight="16.5" x14ac:dyDescent="0.3"/>
  <cols>
    <col min="1" max="1" width="2.375" customWidth="1"/>
    <col min="4" max="4" width="12.375" bestFit="1" customWidth="1"/>
    <col min="5" max="5" width="19.5" bestFit="1" customWidth="1"/>
    <col min="6" max="6" width="23" style="103" bestFit="1" customWidth="1"/>
    <col min="9" max="9" width="12.375" bestFit="1" customWidth="1"/>
    <col min="10" max="10" width="15.625" bestFit="1" customWidth="1"/>
    <col min="11" max="11" width="10.625" bestFit="1" customWidth="1"/>
  </cols>
  <sheetData>
    <row r="1" spans="1:11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112</v>
      </c>
      <c r="G1" s="72" t="s">
        <v>52</v>
      </c>
      <c r="H1" s="72" t="s">
        <v>113</v>
      </c>
      <c r="I1" s="77" t="s">
        <v>114</v>
      </c>
      <c r="J1" s="91" t="s">
        <v>115</v>
      </c>
      <c r="K1" s="91" t="s">
        <v>116</v>
      </c>
    </row>
    <row r="2" spans="1:11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969</v>
      </c>
      <c r="E2" s="82" t="s">
        <v>967</v>
      </c>
      <c r="F2" s="51" t="str">
        <f t="shared" ref="F2:F50" si="0">SUBSTITUTE(E2, "hazr-", "")&amp;"-pb"&amp;H2</f>
        <v>p-dis-ap-lb-pb8080</v>
      </c>
      <c r="G2" s="82" t="s">
        <v>57</v>
      </c>
      <c r="H2" s="82">
        <v>8080</v>
      </c>
      <c r="I2" s="82"/>
      <c r="J2" s="82">
        <v>5</v>
      </c>
      <c r="K2" s="82">
        <v>2</v>
      </c>
    </row>
    <row r="3" spans="1:11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969</v>
      </c>
      <c r="E3" s="74" t="s">
        <v>1021</v>
      </c>
      <c r="F3" s="50" t="str">
        <f t="shared" si="0"/>
        <v>p-dis-adm-lb-pb443</v>
      </c>
      <c r="G3" s="74" t="s">
        <v>57</v>
      </c>
      <c r="H3" s="74">
        <v>443</v>
      </c>
      <c r="I3" s="74"/>
      <c r="J3" s="74">
        <v>5</v>
      </c>
      <c r="K3" s="74">
        <v>2</v>
      </c>
    </row>
    <row r="4" spans="1:11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969</v>
      </c>
      <c r="E4" s="82" t="s">
        <v>1022</v>
      </c>
      <c r="F4" s="51" t="str">
        <f t="shared" si="0"/>
        <v>p-dis-bbiweb-lb-pb443</v>
      </c>
      <c r="G4" s="82" t="s">
        <v>57</v>
      </c>
      <c r="H4" s="82">
        <v>443</v>
      </c>
      <c r="I4" s="82"/>
      <c r="J4" s="82">
        <v>5</v>
      </c>
      <c r="K4" s="82">
        <v>2</v>
      </c>
    </row>
    <row r="5" spans="1:11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969</v>
      </c>
      <c r="E5" s="74" t="s">
        <v>933</v>
      </c>
      <c r="F5" s="50" t="str">
        <f t="shared" si="0"/>
        <v>p-dis-bbicltap-lb-pb20000</v>
      </c>
      <c r="G5" s="74" t="s">
        <v>57</v>
      </c>
      <c r="H5" s="74">
        <v>20000</v>
      </c>
      <c r="I5" s="74"/>
      <c r="J5" s="74">
        <v>5</v>
      </c>
      <c r="K5" s="74">
        <v>2</v>
      </c>
    </row>
    <row r="6" spans="1:11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969</v>
      </c>
      <c r="E6" s="74" t="s">
        <v>933</v>
      </c>
      <c r="F6" s="50" t="str">
        <f t="shared" si="0"/>
        <v>p-dis-bbicltap-lb-pb21000</v>
      </c>
      <c r="G6" s="74" t="s">
        <v>57</v>
      </c>
      <c r="H6" s="74">
        <v>21000</v>
      </c>
      <c r="I6" s="74"/>
      <c r="J6" s="74">
        <v>5</v>
      </c>
      <c r="K6" s="74">
        <v>2</v>
      </c>
    </row>
    <row r="7" spans="1:11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969</v>
      </c>
      <c r="E7" s="74" t="s">
        <v>933</v>
      </c>
      <c r="F7" s="50" t="str">
        <f t="shared" si="0"/>
        <v>p-dis-bbicltap-lb-pb22000</v>
      </c>
      <c r="G7" s="74" t="s">
        <v>57</v>
      </c>
      <c r="H7" s="74">
        <v>22000</v>
      </c>
      <c r="I7" s="74"/>
      <c r="J7" s="74">
        <v>5</v>
      </c>
      <c r="K7" s="74">
        <v>2</v>
      </c>
    </row>
    <row r="8" spans="1:11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969</v>
      </c>
      <c r="E8" s="82" t="s">
        <v>1023</v>
      </c>
      <c r="F8" s="51" t="str">
        <f t="shared" si="0"/>
        <v>p-dis-bbimsgap-lb-pb20030</v>
      </c>
      <c r="G8" s="82" t="s">
        <v>57</v>
      </c>
      <c r="H8" s="82">
        <v>20030</v>
      </c>
      <c r="I8" s="82"/>
      <c r="J8" s="82">
        <v>5</v>
      </c>
      <c r="K8" s="82">
        <v>2</v>
      </c>
    </row>
    <row r="9" spans="1:11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969</v>
      </c>
      <c r="E9" s="82" t="s">
        <v>1085</v>
      </c>
      <c r="F9" s="51" t="str">
        <f t="shared" si="0"/>
        <v>p-dis-drvcltap-lb-pb8081</v>
      </c>
      <c r="G9" s="82" t="s">
        <v>57</v>
      </c>
      <c r="H9" s="82">
        <v>8081</v>
      </c>
      <c r="I9" s="82"/>
      <c r="J9" s="82">
        <v>5</v>
      </c>
      <c r="K9" s="82">
        <v>2</v>
      </c>
    </row>
    <row r="10" spans="1:11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969</v>
      </c>
      <c r="E10" s="82" t="s">
        <v>1024</v>
      </c>
      <c r="F10" s="51" t="str">
        <f t="shared" si="0"/>
        <v>p-dis-drvmsgap-lb-pb8080</v>
      </c>
      <c r="G10" s="82" t="s">
        <v>57</v>
      </c>
      <c r="H10" s="82">
        <v>8080</v>
      </c>
      <c r="I10" s="82"/>
      <c r="J10" s="82">
        <v>5</v>
      </c>
      <c r="K10" s="82">
        <v>2</v>
      </c>
    </row>
    <row r="11" spans="1:11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969</v>
      </c>
      <c r="E11" s="74" t="s">
        <v>936</v>
      </c>
      <c r="F11" s="50" t="str">
        <f t="shared" si="0"/>
        <v>p-dis-web-lb-pb80</v>
      </c>
      <c r="G11" s="74" t="s">
        <v>57</v>
      </c>
      <c r="H11" s="74">
        <v>80</v>
      </c>
      <c r="I11" s="74"/>
      <c r="J11" s="74">
        <v>5</v>
      </c>
      <c r="K11" s="74">
        <v>2</v>
      </c>
    </row>
    <row r="12" spans="1:11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969</v>
      </c>
      <c r="E12" s="74" t="s">
        <v>936</v>
      </c>
      <c r="F12" s="50" t="str">
        <f t="shared" si="0"/>
        <v>p-dis-web-lb-pb443</v>
      </c>
      <c r="G12" s="74" t="s">
        <v>57</v>
      </c>
      <c r="H12" s="74">
        <v>443</v>
      </c>
      <c r="I12" s="74"/>
      <c r="J12" s="74">
        <v>5</v>
      </c>
      <c r="K12" s="74">
        <v>2</v>
      </c>
    </row>
    <row r="13" spans="1:11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969</v>
      </c>
      <c r="E13" s="82" t="s">
        <v>1034</v>
      </c>
      <c r="F13" s="51" t="str">
        <f t="shared" si="0"/>
        <v>p-dis-cmsadm-lb-pb443</v>
      </c>
      <c r="G13" s="82" t="s">
        <v>57</v>
      </c>
      <c r="H13" s="82">
        <v>443</v>
      </c>
      <c r="I13" s="82"/>
      <c r="J13" s="82">
        <v>5</v>
      </c>
      <c r="K13" s="82">
        <v>2</v>
      </c>
    </row>
    <row r="14" spans="1:11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969</v>
      </c>
      <c r="E14" s="74" t="s">
        <v>938</v>
      </c>
      <c r="F14" s="50" t="str">
        <f t="shared" si="0"/>
        <v>p-dis-cmsap-lb-pb4001</v>
      </c>
      <c r="G14" s="74" t="s">
        <v>57</v>
      </c>
      <c r="H14" s="74">
        <v>4001</v>
      </c>
      <c r="I14" s="74"/>
      <c r="J14" s="74">
        <v>5</v>
      </c>
      <c r="K14" s="74">
        <v>2</v>
      </c>
    </row>
    <row r="15" spans="1:11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969</v>
      </c>
      <c r="E15" s="82" t="s">
        <v>1025</v>
      </c>
      <c r="F15" s="51" t="str">
        <f t="shared" si="0"/>
        <v>p-dis-cmsweb-lb-pb80</v>
      </c>
      <c r="G15" s="82" t="s">
        <v>57</v>
      </c>
      <c r="H15" s="82">
        <v>80</v>
      </c>
      <c r="I15" s="82"/>
      <c r="J15" s="82">
        <v>5</v>
      </c>
      <c r="K15" s="82">
        <v>2</v>
      </c>
    </row>
    <row r="16" spans="1:11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969</v>
      </c>
      <c r="E16" s="82" t="s">
        <v>1025</v>
      </c>
      <c r="F16" s="51" t="str">
        <f t="shared" ref="F16" si="1">SUBSTITUTE(E16, "hazr-", "")&amp;"-pb"&amp;H16</f>
        <v>p-dis-cmsweb-lb-pb443</v>
      </c>
      <c r="G16" s="82" t="s">
        <v>57</v>
      </c>
      <c r="H16" s="82">
        <v>443</v>
      </c>
      <c r="I16" s="82"/>
      <c r="J16" s="82">
        <v>5</v>
      </c>
      <c r="K16" s="82">
        <v>2</v>
      </c>
    </row>
    <row r="17" spans="1:11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969</v>
      </c>
      <c r="E17" s="74" t="s">
        <v>940</v>
      </c>
      <c r="F17" s="50" t="str">
        <f t="shared" si="0"/>
        <v>p-dis-cmbsap-lb-pb8080</v>
      </c>
      <c r="G17" s="74" t="s">
        <v>57</v>
      </c>
      <c r="H17" s="74">
        <v>8080</v>
      </c>
      <c r="I17" s="74"/>
      <c r="J17" s="74">
        <v>5</v>
      </c>
      <c r="K17" s="74">
        <v>2</v>
      </c>
    </row>
    <row r="18" spans="1:11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970</v>
      </c>
      <c r="E18" s="82" t="s">
        <v>1026</v>
      </c>
      <c r="F18" s="51" t="str">
        <f t="shared" si="0"/>
        <v>p-dtg-ingap-lb-pb8081</v>
      </c>
      <c r="G18" s="82" t="s">
        <v>57</v>
      </c>
      <c r="H18" s="82">
        <v>8081</v>
      </c>
      <c r="I18" s="82"/>
      <c r="J18" s="82">
        <v>5</v>
      </c>
      <c r="K18" s="82">
        <v>2</v>
      </c>
    </row>
    <row r="19" spans="1:11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970</v>
      </c>
      <c r="E19" s="74" t="s">
        <v>942</v>
      </c>
      <c r="F19" s="50" t="str">
        <f t="shared" si="0"/>
        <v>p-dtg-ap-lb-pb8080</v>
      </c>
      <c r="G19" s="74" t="s">
        <v>57</v>
      </c>
      <c r="H19" s="74">
        <v>8080</v>
      </c>
      <c r="I19" s="74"/>
      <c r="J19" s="74">
        <v>5</v>
      </c>
      <c r="K19" s="74">
        <v>2</v>
      </c>
    </row>
    <row r="20" spans="1:11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970</v>
      </c>
      <c r="E20" s="74" t="s">
        <v>942</v>
      </c>
      <c r="F20" s="50" t="str">
        <f t="shared" ref="F20" si="2">SUBSTITUTE(E20, "hazr-", "")&amp;"-pb"&amp;H20</f>
        <v>p-dtg-ap-lb-pb8087</v>
      </c>
      <c r="G20" s="74" t="s">
        <v>57</v>
      </c>
      <c r="H20" s="74">
        <v>8087</v>
      </c>
      <c r="I20" s="74"/>
      <c r="J20" s="74">
        <v>5</v>
      </c>
      <c r="K20" s="74">
        <v>2</v>
      </c>
    </row>
    <row r="21" spans="1:11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970</v>
      </c>
      <c r="E21" s="82" t="s">
        <v>1027</v>
      </c>
      <c r="F21" s="51" t="str">
        <f t="shared" si="0"/>
        <v>p-dtg-extgeoap-lb-pb3660</v>
      </c>
      <c r="G21" s="82" t="s">
        <v>57</v>
      </c>
      <c r="H21" s="82">
        <v>3660</v>
      </c>
      <c r="I21" s="82"/>
      <c r="J21" s="82">
        <v>5</v>
      </c>
      <c r="K21" s="82">
        <v>2</v>
      </c>
    </row>
    <row r="22" spans="1:11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970</v>
      </c>
      <c r="E22" s="82" t="s">
        <v>1027</v>
      </c>
      <c r="F22" s="51" t="str">
        <f t="shared" ref="F22" si="3">SUBSTITUTE(E22, "hazr-", "")&amp;"-pb"&amp;H22</f>
        <v>p-dtg-extgeoap-lb-pb3661</v>
      </c>
      <c r="G22" s="82" t="s">
        <v>57</v>
      </c>
      <c r="H22" s="82">
        <v>3661</v>
      </c>
      <c r="I22" s="82"/>
      <c r="J22" s="82">
        <v>5</v>
      </c>
      <c r="K22" s="82">
        <v>2</v>
      </c>
    </row>
    <row r="23" spans="1:11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970</v>
      </c>
      <c r="E23" s="74" t="s">
        <v>944</v>
      </c>
      <c r="F23" s="50" t="str">
        <f t="shared" si="0"/>
        <v>p-dtg-geoap-lb-pb8089</v>
      </c>
      <c r="G23" s="74" t="s">
        <v>57</v>
      </c>
      <c r="H23" s="74">
        <v>8089</v>
      </c>
      <c r="I23" s="74"/>
      <c r="J23" s="74">
        <v>5</v>
      </c>
      <c r="K23" s="74">
        <v>2</v>
      </c>
    </row>
    <row r="24" spans="1:11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970</v>
      </c>
      <c r="E24" s="74" t="s">
        <v>944</v>
      </c>
      <c r="F24" s="50" t="str">
        <f t="shared" ref="F24" si="4">SUBSTITUTE(E24, "hazr-", "")&amp;"-pb"&amp;H24</f>
        <v>p-dtg-geoap-lb-pb9089</v>
      </c>
      <c r="G24" s="74" t="s">
        <v>57</v>
      </c>
      <c r="H24" s="74">
        <v>9089</v>
      </c>
      <c r="I24" s="74"/>
      <c r="J24" s="74">
        <v>5</v>
      </c>
      <c r="K24" s="74">
        <v>2</v>
      </c>
    </row>
    <row r="25" spans="1:11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970</v>
      </c>
      <c r="E25" s="82" t="s">
        <v>1067</v>
      </c>
      <c r="F25" s="51" t="str">
        <f t="shared" si="0"/>
        <v>p-dtg-mq-lb01-pb1883</v>
      </c>
      <c r="G25" s="82" t="s">
        <v>57</v>
      </c>
      <c r="H25" s="82">
        <v>1883</v>
      </c>
      <c r="I25" s="82"/>
      <c r="J25" s="82">
        <v>5</v>
      </c>
      <c r="K25" s="82">
        <v>2</v>
      </c>
    </row>
    <row r="26" spans="1:11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970</v>
      </c>
      <c r="E26" s="82" t="s">
        <v>1067</v>
      </c>
      <c r="F26" s="51" t="str">
        <f t="shared" ref="F26:F27" si="5">SUBSTITUTE(E26, "hazr-", "")&amp;"-pb"&amp;H26</f>
        <v>p-dtg-mq-lb01-pb1884</v>
      </c>
      <c r="G26" s="82" t="s">
        <v>57</v>
      </c>
      <c r="H26" s="82">
        <v>1884</v>
      </c>
      <c r="I26" s="82"/>
      <c r="J26" s="82">
        <v>5</v>
      </c>
      <c r="K26" s="82">
        <v>2</v>
      </c>
    </row>
    <row r="27" spans="1:11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970</v>
      </c>
      <c r="E27" s="74" t="s">
        <v>1073</v>
      </c>
      <c r="F27" s="50" t="str">
        <f t="shared" si="5"/>
        <v>p-dtg-mq-lb02-pb1883</v>
      </c>
      <c r="G27" s="74" t="s">
        <v>57</v>
      </c>
      <c r="H27" s="74">
        <v>1883</v>
      </c>
      <c r="I27" s="74"/>
      <c r="J27" s="74">
        <v>5</v>
      </c>
      <c r="K27" s="74">
        <v>2</v>
      </c>
    </row>
    <row r="28" spans="1:11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970</v>
      </c>
      <c r="E28" s="74" t="s">
        <v>1073</v>
      </c>
      <c r="F28" s="50" t="str">
        <f t="shared" ref="F28:F30" si="6">SUBSTITUTE(E28, "hazr-", "")&amp;"-pb"&amp;H28</f>
        <v>p-dtg-mq-lb02-pb1884</v>
      </c>
      <c r="G28" s="74" t="s">
        <v>57</v>
      </c>
      <c r="H28" s="74">
        <v>1884</v>
      </c>
      <c r="I28" s="74"/>
      <c r="J28" s="74">
        <v>5</v>
      </c>
      <c r="K28" s="74">
        <v>2</v>
      </c>
    </row>
    <row r="29" spans="1:11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970</v>
      </c>
      <c r="E29" s="82" t="s">
        <v>1072</v>
      </c>
      <c r="F29" s="51" t="str">
        <f t="shared" si="6"/>
        <v>p-dtg-mq-lb03-pb1883</v>
      </c>
      <c r="G29" s="82" t="s">
        <v>57</v>
      </c>
      <c r="H29" s="82">
        <v>1883</v>
      </c>
      <c r="I29" s="82"/>
      <c r="J29" s="82">
        <v>5</v>
      </c>
      <c r="K29" s="82">
        <v>2</v>
      </c>
    </row>
    <row r="30" spans="1:11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970</v>
      </c>
      <c r="E30" s="82" t="s">
        <v>1072</v>
      </c>
      <c r="F30" s="51" t="str">
        <f t="shared" si="6"/>
        <v>p-dtg-mq-lb03-pb1884</v>
      </c>
      <c r="G30" s="82" t="s">
        <v>57</v>
      </c>
      <c r="H30" s="82">
        <v>1884</v>
      </c>
      <c r="I30" s="82"/>
      <c r="J30" s="82">
        <v>5</v>
      </c>
      <c r="K30" s="82">
        <v>2</v>
      </c>
    </row>
    <row r="31" spans="1:11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970</v>
      </c>
      <c r="E31" s="74" t="s">
        <v>945</v>
      </c>
      <c r="F31" s="50" t="str">
        <f t="shared" si="0"/>
        <v>p-dtg-admweb-lb-pb8088</v>
      </c>
      <c r="G31" s="74" t="s">
        <v>57</v>
      </c>
      <c r="H31" s="74">
        <v>8088</v>
      </c>
      <c r="I31" s="74"/>
      <c r="J31" s="74">
        <v>5</v>
      </c>
      <c r="K31" s="74">
        <v>2</v>
      </c>
    </row>
    <row r="32" spans="1:11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970</v>
      </c>
      <c r="E32" s="82" t="s">
        <v>1028</v>
      </c>
      <c r="F32" s="51" t="str">
        <f t="shared" si="0"/>
        <v>p-dtg-admap-lb-pb8085</v>
      </c>
      <c r="G32" s="82" t="s">
        <v>57</v>
      </c>
      <c r="H32" s="82">
        <v>8085</v>
      </c>
      <c r="I32" s="82"/>
      <c r="J32" s="82">
        <v>5</v>
      </c>
      <c r="K32" s="82">
        <v>2</v>
      </c>
    </row>
    <row r="33" spans="1:11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970</v>
      </c>
      <c r="E33" s="82" t="s">
        <v>1028</v>
      </c>
      <c r="F33" s="51" t="str">
        <f t="shared" ref="F33" si="7">SUBSTITUTE(E33, "hazr-", "")&amp;"-pb"&amp;H33</f>
        <v>p-dtg-admap-lb-pb8087</v>
      </c>
      <c r="G33" s="82" t="s">
        <v>57</v>
      </c>
      <c r="H33" s="82">
        <v>8087</v>
      </c>
      <c r="I33" s="82"/>
      <c r="J33" s="82">
        <v>5</v>
      </c>
      <c r="K33" s="82">
        <v>2</v>
      </c>
    </row>
    <row r="34" spans="1:11" x14ac:dyDescent="0.3">
      <c r="A34" s="90"/>
      <c r="B34" s="74" t="s">
        <v>23</v>
      </c>
      <c r="C34" s="74" t="str" cm="1">
        <f t="array" ref="C34">UPPER(INDEX(_xlfn.TEXTSPLIT($D34, "-"), 3))</f>
        <v>DTG</v>
      </c>
      <c r="D34" s="74" t="s">
        <v>970</v>
      </c>
      <c r="E34" s="74" t="s">
        <v>947</v>
      </c>
      <c r="F34" s="50" t="str">
        <f t="shared" si="0"/>
        <v>p-dtg-web-lb-pb8080</v>
      </c>
      <c r="G34" s="74" t="s">
        <v>57</v>
      </c>
      <c r="H34" s="74">
        <v>8080</v>
      </c>
      <c r="I34" s="74"/>
      <c r="J34" s="74">
        <v>5</v>
      </c>
      <c r="K34" s="74">
        <v>2</v>
      </c>
    </row>
    <row r="35" spans="1:11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970</v>
      </c>
      <c r="E35" s="74" t="s">
        <v>947</v>
      </c>
      <c r="F35" s="50" t="str">
        <f t="shared" ref="F35" si="8">SUBSTITUTE(E35, "hazr-", "")&amp;"-pb"&amp;H35</f>
        <v>p-dtg-web-lb-pb8081</v>
      </c>
      <c r="G35" s="74" t="s">
        <v>57</v>
      </c>
      <c r="H35" s="74">
        <v>8081</v>
      </c>
      <c r="I35" s="74"/>
      <c r="J35" s="74">
        <v>5</v>
      </c>
      <c r="K35" s="74">
        <v>2</v>
      </c>
    </row>
    <row r="36" spans="1:11" x14ac:dyDescent="0.3">
      <c r="A36" s="90"/>
      <c r="B36" s="82" t="s">
        <v>23</v>
      </c>
      <c r="C36" s="82" t="str" cm="1">
        <f t="array" ref="C36">UPPER(INDEX(_xlfn.TEXTSPLIT($D36, "-"), 3))</f>
        <v>DTG</v>
      </c>
      <c r="D36" s="82" t="s">
        <v>970</v>
      </c>
      <c r="E36" s="82" t="s">
        <v>1029</v>
      </c>
      <c r="F36" s="51" t="str">
        <f t="shared" si="0"/>
        <v>p-dtg-cdmlap-lb-pb3000</v>
      </c>
      <c r="G36" s="82" t="s">
        <v>57</v>
      </c>
      <c r="H36" s="82">
        <v>3000</v>
      </c>
      <c r="I36" s="82"/>
      <c r="J36" s="82">
        <v>5</v>
      </c>
      <c r="K36" s="82">
        <v>2</v>
      </c>
    </row>
    <row r="37" spans="1:11" x14ac:dyDescent="0.3">
      <c r="A37" s="90"/>
      <c r="B37" s="74" t="s">
        <v>23</v>
      </c>
      <c r="C37" s="74" t="str" cm="1">
        <f t="array" ref="C37">UPPER(INDEX(_xlfn.TEXTSPLIT($D37, "-"), 3))</f>
        <v>DTG</v>
      </c>
      <c r="D37" s="74" t="s">
        <v>970</v>
      </c>
      <c r="E37" s="74" t="s">
        <v>949</v>
      </c>
      <c r="F37" s="50" t="str">
        <f t="shared" si="0"/>
        <v>p-dtg-cdstap-lb-pb9305</v>
      </c>
      <c r="G37" s="74" t="s">
        <v>57</v>
      </c>
      <c r="H37" s="74">
        <v>9305</v>
      </c>
      <c r="I37" s="74"/>
      <c r="J37" s="74">
        <v>5</v>
      </c>
      <c r="K37" s="74">
        <v>2</v>
      </c>
    </row>
    <row r="38" spans="1:11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970</v>
      </c>
      <c r="E38" s="74" t="s">
        <v>949</v>
      </c>
      <c r="F38" s="50" t="str">
        <f t="shared" ref="F38" si="9">SUBSTITUTE(E38, "hazr-", "")&amp;"-pb"&amp;H38</f>
        <v>p-dtg-cdstap-lb-pb9306</v>
      </c>
      <c r="G38" s="74" t="s">
        <v>57</v>
      </c>
      <c r="H38" s="74">
        <v>9306</v>
      </c>
      <c r="I38" s="74"/>
      <c r="J38" s="74">
        <v>5</v>
      </c>
      <c r="K38" s="74">
        <v>2</v>
      </c>
    </row>
    <row r="39" spans="1:11" x14ac:dyDescent="0.3">
      <c r="A39" s="90"/>
      <c r="B39" s="82" t="s">
        <v>23</v>
      </c>
      <c r="C39" s="82" t="str" cm="1">
        <f t="array" ref="C39">UPPER(INDEX(_xlfn.TEXTSPLIT($D39, "-"), 3))</f>
        <v>DTG</v>
      </c>
      <c r="D39" s="82" t="s">
        <v>970</v>
      </c>
      <c r="E39" s="82" t="s">
        <v>1030</v>
      </c>
      <c r="F39" s="51" t="str">
        <f t="shared" si="0"/>
        <v>p-dtg-cdsvadm-lb-pb9100</v>
      </c>
      <c r="G39" s="82" t="s">
        <v>57</v>
      </c>
      <c r="H39" s="82">
        <v>9100</v>
      </c>
      <c r="I39" s="82"/>
      <c r="J39" s="82">
        <v>5</v>
      </c>
      <c r="K39" s="82">
        <v>2</v>
      </c>
    </row>
    <row r="40" spans="1:11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970</v>
      </c>
      <c r="E40" s="82" t="s">
        <v>1030</v>
      </c>
      <c r="F40" s="51" t="str">
        <f t="shared" ref="F40:F43" si="10">SUBSTITUTE(E40, "hazr-", "")&amp;"-pb"&amp;H40</f>
        <v>p-dtg-cdsvadm-lb-pb9300</v>
      </c>
      <c r="G40" s="82" t="s">
        <v>57</v>
      </c>
      <c r="H40" s="82">
        <v>9300</v>
      </c>
      <c r="I40" s="82"/>
      <c r="J40" s="82">
        <v>5</v>
      </c>
      <c r="K40" s="82">
        <v>2</v>
      </c>
    </row>
    <row r="41" spans="1:11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970</v>
      </c>
      <c r="E41" s="82" t="s">
        <v>1030</v>
      </c>
      <c r="F41" s="51" t="str">
        <f t="shared" si="10"/>
        <v>p-dtg-cdsvadm-lb-pb9105</v>
      </c>
      <c r="G41" s="82" t="s">
        <v>57</v>
      </c>
      <c r="H41" s="82">
        <v>9105</v>
      </c>
      <c r="I41" s="82"/>
      <c r="J41" s="82">
        <v>5</v>
      </c>
      <c r="K41" s="82">
        <v>2</v>
      </c>
    </row>
    <row r="42" spans="1:11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970</v>
      </c>
      <c r="E42" s="82" t="s">
        <v>1030</v>
      </c>
      <c r="F42" s="51" t="str">
        <f t="shared" si="10"/>
        <v>p-dtg-cdsvadm-lb-pb9003</v>
      </c>
      <c r="G42" s="82" t="s">
        <v>57</v>
      </c>
      <c r="H42" s="82">
        <v>9003</v>
      </c>
      <c r="I42" s="82"/>
      <c r="J42" s="82">
        <v>5</v>
      </c>
      <c r="K42" s="82">
        <v>2</v>
      </c>
    </row>
    <row r="43" spans="1:11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970</v>
      </c>
      <c r="E43" s="82" t="s">
        <v>1030</v>
      </c>
      <c r="F43" s="51" t="str">
        <f t="shared" si="10"/>
        <v>p-dtg-cdsvadm-lb-pb8088</v>
      </c>
      <c r="G43" s="82" t="s">
        <v>57</v>
      </c>
      <c r="H43" s="82">
        <v>8088</v>
      </c>
      <c r="I43" s="82"/>
      <c r="J43" s="82">
        <v>5</v>
      </c>
      <c r="K43" s="82">
        <v>2</v>
      </c>
    </row>
    <row r="44" spans="1:11" x14ac:dyDescent="0.3">
      <c r="A44" s="90"/>
      <c r="B44" s="74" t="s">
        <v>23</v>
      </c>
      <c r="C44" s="74" t="str" cm="1">
        <f t="array" ref="C44">UPPER(INDEX(_xlfn.TEXTSPLIT($D44, "-"), 3))</f>
        <v>DTG</v>
      </c>
      <c r="D44" s="74" t="s">
        <v>970</v>
      </c>
      <c r="E44" s="74" t="s">
        <v>951</v>
      </c>
      <c r="F44" s="50" t="str">
        <f t="shared" si="0"/>
        <v>p-dtg-diosap-lb-pb8080</v>
      </c>
      <c r="G44" s="74" t="s">
        <v>57</v>
      </c>
      <c r="H44" s="74">
        <v>8080</v>
      </c>
      <c r="I44" s="74"/>
      <c r="J44" s="74">
        <v>5</v>
      </c>
      <c r="K44" s="74">
        <v>2</v>
      </c>
    </row>
    <row r="45" spans="1:11" x14ac:dyDescent="0.3">
      <c r="A45" s="90"/>
      <c r="B45" s="82" t="s">
        <v>23</v>
      </c>
      <c r="C45" s="82" t="str" cm="1">
        <f t="array" ref="C45">UPPER(INDEX(_xlfn.TEXTSPLIT($D45, "-"), 3))</f>
        <v>DTG</v>
      </c>
      <c r="D45" s="82" t="s">
        <v>970</v>
      </c>
      <c r="E45" s="82" t="s">
        <v>1031</v>
      </c>
      <c r="F45" s="51" t="str">
        <f t="shared" si="0"/>
        <v>p-dtg-diosweb-lb-pb443</v>
      </c>
      <c r="G45" s="82" t="s">
        <v>57</v>
      </c>
      <c r="H45" s="82">
        <v>443</v>
      </c>
      <c r="I45" s="82"/>
      <c r="J45" s="82">
        <v>5</v>
      </c>
      <c r="K45" s="82">
        <v>2</v>
      </c>
    </row>
    <row r="46" spans="1:11" x14ac:dyDescent="0.3">
      <c r="A46" s="90"/>
      <c r="B46" s="74" t="s">
        <v>23</v>
      </c>
      <c r="C46" s="74" t="str" cm="1">
        <f t="array" ref="C46">UPPER(INDEX(_xlfn.TEXTSPLIT($D46, "-"), 3))</f>
        <v>DTG</v>
      </c>
      <c r="D46" s="74" t="s">
        <v>970</v>
      </c>
      <c r="E46" s="74" t="s">
        <v>953</v>
      </c>
      <c r="F46" s="50" t="str">
        <f t="shared" si="0"/>
        <v>p-dtg-dprweb-lb-pb443</v>
      </c>
      <c r="G46" s="74" t="s">
        <v>57</v>
      </c>
      <c r="H46" s="74">
        <v>443</v>
      </c>
      <c r="I46" s="74"/>
      <c r="J46" s="74">
        <v>5</v>
      </c>
      <c r="K46" s="74">
        <v>2</v>
      </c>
    </row>
    <row r="47" spans="1:11" x14ac:dyDescent="0.3">
      <c r="A47" s="90"/>
      <c r="B47" s="82" t="s">
        <v>23</v>
      </c>
      <c r="C47" s="82" t="str" cm="1">
        <f t="array" ref="C47">UPPER(INDEX(_xlfn.TEXTSPLIT($D47, "-"), 3))</f>
        <v>DTG</v>
      </c>
      <c r="D47" s="82" t="s">
        <v>970</v>
      </c>
      <c r="E47" s="82" t="s">
        <v>1032</v>
      </c>
      <c r="F47" s="51" t="str">
        <f t="shared" si="0"/>
        <v>p-dtg-dprap-lb-pb8082</v>
      </c>
      <c r="G47" s="82" t="s">
        <v>57</v>
      </c>
      <c r="H47" s="82">
        <v>8082</v>
      </c>
      <c r="I47" s="82"/>
      <c r="J47" s="82">
        <v>5</v>
      </c>
      <c r="K47" s="82">
        <v>2</v>
      </c>
    </row>
    <row r="48" spans="1:11" x14ac:dyDescent="0.3">
      <c r="A48" s="90"/>
      <c r="B48" s="74" t="s">
        <v>23</v>
      </c>
      <c r="C48" s="74" t="str" cm="1">
        <f t="array" ref="C48">UPPER(INDEX(_xlfn.TEXTSPLIT($D48, "-"), 3))</f>
        <v>BDP</v>
      </c>
      <c r="D48" s="74" t="s">
        <v>971</v>
      </c>
      <c r="E48" s="74" t="s">
        <v>955</v>
      </c>
      <c r="F48" s="50" t="str">
        <f t="shared" si="0"/>
        <v>p-bdp-cxmadm-lb-pb443</v>
      </c>
      <c r="G48" s="74" t="s">
        <v>57</v>
      </c>
      <c r="H48" s="74">
        <v>443</v>
      </c>
      <c r="I48" s="74"/>
      <c r="J48" s="74">
        <v>5</v>
      </c>
      <c r="K48" s="74">
        <v>2</v>
      </c>
    </row>
    <row r="49" spans="1:11" x14ac:dyDescent="0.3">
      <c r="A49" s="90"/>
      <c r="B49" s="82" t="s">
        <v>23</v>
      </c>
      <c r="C49" s="82" t="str" cm="1">
        <f t="array" ref="C49">UPPER(INDEX(_xlfn.TEXTSPLIT($D49, "-"), 3))</f>
        <v>BDP</v>
      </c>
      <c r="D49" s="82" t="s">
        <v>971</v>
      </c>
      <c r="E49" s="82" t="s">
        <v>1033</v>
      </c>
      <c r="F49" s="51" t="str">
        <f t="shared" si="0"/>
        <v>p-bdp-slap-lb-pb443</v>
      </c>
      <c r="G49" s="82" t="s">
        <v>57</v>
      </c>
      <c r="H49" s="82">
        <v>443</v>
      </c>
      <c r="I49" s="82"/>
      <c r="J49" s="82">
        <v>5</v>
      </c>
      <c r="K49" s="82">
        <v>2</v>
      </c>
    </row>
    <row r="50" spans="1:11" x14ac:dyDescent="0.3">
      <c r="A50" s="90"/>
      <c r="B50" s="74" t="s">
        <v>23</v>
      </c>
      <c r="C50" s="74" t="str" cm="1">
        <f t="array" ref="C50">UPPER(INDEX(_xlfn.TEXTSPLIT($D50, "-"), 3))</f>
        <v>IF</v>
      </c>
      <c r="D50" s="74" t="s">
        <v>972</v>
      </c>
      <c r="E50" s="74" t="s">
        <v>957</v>
      </c>
      <c r="F50" s="50" t="str">
        <f t="shared" si="0"/>
        <v>p-if-auth-lb-pb8088</v>
      </c>
      <c r="G50" s="74" t="s">
        <v>57</v>
      </c>
      <c r="H50" s="74">
        <v>8088</v>
      </c>
      <c r="I50" s="74"/>
      <c r="J50" s="74">
        <v>5</v>
      </c>
      <c r="K50" s="74">
        <v>2</v>
      </c>
    </row>
    <row r="51" spans="1:11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972</v>
      </c>
      <c r="E51" s="74" t="s">
        <v>957</v>
      </c>
      <c r="F51" s="50" t="str">
        <f t="shared" ref="F51:F52" si="11">SUBSTITUTE(E51, "hazr-", "")&amp;"-pb"&amp;H51</f>
        <v>p-if-auth-lb-pb9003</v>
      </c>
      <c r="G51" s="74" t="s">
        <v>57</v>
      </c>
      <c r="H51" s="74">
        <v>9003</v>
      </c>
      <c r="I51" s="74"/>
      <c r="J51" s="74">
        <v>5</v>
      </c>
      <c r="K51" s="74">
        <v>2</v>
      </c>
    </row>
    <row r="52" spans="1:11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972</v>
      </c>
      <c r="E52" s="74" t="s">
        <v>957</v>
      </c>
      <c r="F52" s="50" t="str">
        <f t="shared" si="11"/>
        <v>p-if-auth-lb-pb9005</v>
      </c>
      <c r="G52" s="74" t="s">
        <v>57</v>
      </c>
      <c r="H52" s="74">
        <v>9005</v>
      </c>
      <c r="I52" s="74"/>
      <c r="J52" s="74">
        <v>5</v>
      </c>
      <c r="K52" s="74">
        <v>2</v>
      </c>
    </row>
    <row r="53" spans="1:11" x14ac:dyDescent="0.3">
      <c r="B53" s="102" t="s">
        <v>1036</v>
      </c>
      <c r="C53" s="102"/>
      <c r="D53" s="102" t="s">
        <v>973</v>
      </c>
      <c r="E53" s="102" t="s">
        <v>958</v>
      </c>
      <c r="F53" s="104" t="str">
        <f t="shared" ref="F53:F62" si="12">SUBSTITUTE(E53, "hazr-", "")&amp;"-pb"&amp;H53</f>
        <v>p-cs-chtap-lb-pb?</v>
      </c>
      <c r="G53" s="102" t="s">
        <v>57</v>
      </c>
      <c r="H53" s="102" t="s">
        <v>1035</v>
      </c>
      <c r="I53" s="102"/>
      <c r="J53" s="102">
        <v>5</v>
      </c>
      <c r="K53" s="102">
        <v>2</v>
      </c>
    </row>
    <row r="54" spans="1:11" x14ac:dyDescent="0.3">
      <c r="B54" s="102" t="s">
        <v>1036</v>
      </c>
      <c r="C54" s="102"/>
      <c r="D54" s="102" t="s">
        <v>973</v>
      </c>
      <c r="E54" s="102" t="s">
        <v>1037</v>
      </c>
      <c r="F54" s="104" t="str">
        <f t="shared" si="12"/>
        <v>p-cs-chtweb-lb-pb?</v>
      </c>
      <c r="G54" s="102" t="s">
        <v>57</v>
      </c>
      <c r="H54" s="102" t="s">
        <v>1035</v>
      </c>
      <c r="I54" s="102"/>
      <c r="J54" s="102">
        <v>5</v>
      </c>
      <c r="K54" s="102">
        <v>2</v>
      </c>
    </row>
    <row r="55" spans="1:11" x14ac:dyDescent="0.3">
      <c r="B55" s="102" t="s">
        <v>1036</v>
      </c>
      <c r="C55" s="102"/>
      <c r="D55" s="102" t="s">
        <v>973</v>
      </c>
      <c r="E55" s="102" t="s">
        <v>960</v>
      </c>
      <c r="F55" s="104" t="str">
        <f t="shared" si="12"/>
        <v>p-cs-chtintweb-lb-pb?</v>
      </c>
      <c r="G55" s="102" t="s">
        <v>57</v>
      </c>
      <c r="H55" s="102" t="s">
        <v>1035</v>
      </c>
      <c r="I55" s="102"/>
      <c r="J55" s="102">
        <v>5</v>
      </c>
      <c r="K55" s="102">
        <v>2</v>
      </c>
    </row>
    <row r="56" spans="1:11" x14ac:dyDescent="0.3">
      <c r="B56" s="102" t="s">
        <v>1036</v>
      </c>
      <c r="C56" s="102"/>
      <c r="D56" s="102" t="s">
        <v>974</v>
      </c>
      <c r="E56" s="102" t="s">
        <v>1038</v>
      </c>
      <c r="F56" s="104" t="str">
        <f t="shared" si="12"/>
        <v>p-doip-web-lb-pb?</v>
      </c>
      <c r="G56" s="102" t="s">
        <v>57</v>
      </c>
      <c r="H56" s="102" t="s">
        <v>1035</v>
      </c>
      <c r="I56" s="102"/>
      <c r="J56" s="102">
        <v>5</v>
      </c>
      <c r="K56" s="102">
        <v>2</v>
      </c>
    </row>
    <row r="57" spans="1:11" x14ac:dyDescent="0.3">
      <c r="B57" s="102" t="s">
        <v>1036</v>
      </c>
      <c r="C57" s="102"/>
      <c r="D57" s="102" t="s">
        <v>974</v>
      </c>
      <c r="E57" s="102" t="s">
        <v>962</v>
      </c>
      <c r="F57" s="104" t="str">
        <f t="shared" si="12"/>
        <v>p-doip-ap-lb-pb?</v>
      </c>
      <c r="G57" s="102" t="s">
        <v>57</v>
      </c>
      <c r="H57" s="102" t="s">
        <v>1035</v>
      </c>
      <c r="I57" s="102"/>
      <c r="J57" s="102">
        <v>5</v>
      </c>
      <c r="K57" s="102">
        <v>2</v>
      </c>
    </row>
    <row r="58" spans="1:11" x14ac:dyDescent="0.3">
      <c r="B58" s="102" t="s">
        <v>1036</v>
      </c>
      <c r="C58" s="102"/>
      <c r="D58" s="102" t="s">
        <v>974</v>
      </c>
      <c r="E58" s="102" t="s">
        <v>1039</v>
      </c>
      <c r="F58" s="104" t="str">
        <f t="shared" si="12"/>
        <v>p-doip-adm-lb-pb?</v>
      </c>
      <c r="G58" s="102" t="s">
        <v>57</v>
      </c>
      <c r="H58" s="102" t="s">
        <v>1035</v>
      </c>
      <c r="I58" s="102"/>
      <c r="J58" s="102">
        <v>5</v>
      </c>
      <c r="K58" s="102">
        <v>2</v>
      </c>
    </row>
    <row r="59" spans="1:11" x14ac:dyDescent="0.3">
      <c r="A59" s="90"/>
      <c r="B59" s="74" t="s">
        <v>23</v>
      </c>
      <c r="C59" s="74" t="str" cm="1">
        <f t="array" ref="C59">UPPER(INDEX(_xlfn.TEXTSPLIT($D59, "-"), 3))</f>
        <v>BDP</v>
      </c>
      <c r="D59" s="74" t="s">
        <v>971</v>
      </c>
      <c r="E59" s="74" t="s">
        <v>964</v>
      </c>
      <c r="F59" s="50" t="str">
        <f t="shared" si="12"/>
        <v>p-bdp-crkweb-lb-pb443</v>
      </c>
      <c r="G59" s="74" t="s">
        <v>57</v>
      </c>
      <c r="H59" s="74">
        <v>443</v>
      </c>
      <c r="I59" s="74"/>
      <c r="J59" s="74">
        <v>5</v>
      </c>
      <c r="K59" s="74">
        <v>2</v>
      </c>
    </row>
    <row r="60" spans="1:11" x14ac:dyDescent="0.3">
      <c r="A60" s="90"/>
      <c r="B60" s="74" t="s">
        <v>23</v>
      </c>
      <c r="C60" s="74" t="str" cm="1">
        <f t="array" ref="C60">UPPER(INDEX(_xlfn.TEXTSPLIT($D60, "-"), 3))</f>
        <v>BDP</v>
      </c>
      <c r="D60" s="74" t="s">
        <v>971</v>
      </c>
      <c r="E60" s="74" t="s">
        <v>964</v>
      </c>
      <c r="F60" s="50" t="str">
        <f t="shared" ref="F60" si="13">SUBSTITUTE(E60, "hazr-", "")&amp;"-pb"&amp;H60</f>
        <v>p-bdp-crkweb-lb-pb8080</v>
      </c>
      <c r="G60" s="74" t="s">
        <v>57</v>
      </c>
      <c r="H60" s="74">
        <v>8080</v>
      </c>
      <c r="I60" s="74"/>
      <c r="J60" s="74"/>
      <c r="K60" s="74"/>
    </row>
    <row r="61" spans="1:11" x14ac:dyDescent="0.3">
      <c r="A61" s="90"/>
      <c r="B61" s="82" t="s">
        <v>23</v>
      </c>
      <c r="C61" s="82" t="str" cm="1">
        <f t="array" ref="C61">UPPER(INDEX(_xlfn.TEXTSPLIT($D61, "-"), 3))</f>
        <v>BDP</v>
      </c>
      <c r="D61" s="82" t="s">
        <v>971</v>
      </c>
      <c r="E61" s="82" t="s">
        <v>965</v>
      </c>
      <c r="F61" s="51" t="str">
        <f t="shared" si="12"/>
        <v>p-bdp-crkap-lb-pb8085</v>
      </c>
      <c r="G61" s="82" t="s">
        <v>57</v>
      </c>
      <c r="H61" s="82">
        <v>8085</v>
      </c>
      <c r="I61" s="82"/>
      <c r="J61" s="82">
        <v>5</v>
      </c>
      <c r="K61" s="82">
        <v>2</v>
      </c>
    </row>
    <row r="62" spans="1:11" x14ac:dyDescent="0.3">
      <c r="A62" s="90"/>
      <c r="B62" s="74" t="s">
        <v>23</v>
      </c>
      <c r="C62" s="74" t="str" cm="1">
        <f t="array" ref="C62">UPPER(INDEX(_xlfn.TEXTSPLIT($D62, "-"), 3))</f>
        <v>BDP</v>
      </c>
      <c r="D62" s="74" t="s">
        <v>971</v>
      </c>
      <c r="E62" s="74" t="s">
        <v>966</v>
      </c>
      <c r="F62" s="50" t="str">
        <f t="shared" si="12"/>
        <v>p-bdp-crkml-lb-pb8082</v>
      </c>
      <c r="G62" s="74" t="s">
        <v>57</v>
      </c>
      <c r="H62" s="74">
        <v>8082</v>
      </c>
      <c r="I62" s="74"/>
      <c r="J62" s="74">
        <v>5</v>
      </c>
      <c r="K62" s="74">
        <v>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862D-08E7-4593-9A34-4D2B508CF25B}">
  <sheetPr>
    <tabColor theme="4"/>
  </sheetPr>
  <dimension ref="A1:S62"/>
  <sheetViews>
    <sheetView topLeftCell="A37" workbookViewId="0">
      <selection activeCell="B1" sqref="B1"/>
    </sheetView>
  </sheetViews>
  <sheetFormatPr defaultRowHeight="16.5" x14ac:dyDescent="0.3"/>
  <cols>
    <col min="1" max="1" width="3.375" customWidth="1"/>
    <col min="4" max="4" width="12.375" bestFit="1" customWidth="1"/>
    <col min="5" max="5" width="19.5" bestFit="1" customWidth="1"/>
    <col min="6" max="6" width="24" bestFit="1" customWidth="1"/>
    <col min="7" max="7" width="16.625" bestFit="1" customWidth="1"/>
    <col min="10" max="10" width="13.375" bestFit="1" customWidth="1"/>
    <col min="11" max="11" width="19.5" bestFit="1" customWidth="1"/>
    <col min="13" max="13" width="23" bestFit="1" customWidth="1"/>
    <col min="14" max="14" width="14" bestFit="1" customWidth="1"/>
    <col min="16" max="16" width="15.375" bestFit="1" customWidth="1"/>
    <col min="17" max="17" width="15.125" bestFit="1" customWidth="1"/>
    <col min="18" max="18" width="14.625" bestFit="1" customWidth="1"/>
    <col min="19" max="19" width="15" bestFit="1" customWidth="1"/>
    <col min="20" max="20" width="22" customWidth="1"/>
    <col min="21" max="21" width="13.875" customWidth="1"/>
  </cols>
  <sheetData>
    <row r="1" spans="1:19" x14ac:dyDescent="0.3">
      <c r="B1" s="76" t="s">
        <v>0</v>
      </c>
      <c r="C1" s="76" t="s">
        <v>1</v>
      </c>
      <c r="D1" s="76" t="s">
        <v>100</v>
      </c>
      <c r="E1" s="76" t="s">
        <v>99</v>
      </c>
      <c r="F1" s="76" t="s">
        <v>117</v>
      </c>
      <c r="G1" s="76" t="s">
        <v>104</v>
      </c>
      <c r="H1" s="77" t="s">
        <v>52</v>
      </c>
      <c r="I1" s="77" t="s">
        <v>118</v>
      </c>
      <c r="J1" s="91" t="s">
        <v>127</v>
      </c>
      <c r="K1" s="76" t="s">
        <v>110</v>
      </c>
      <c r="L1" s="77" t="s">
        <v>119</v>
      </c>
      <c r="M1" s="91" t="s">
        <v>112</v>
      </c>
      <c r="N1" s="77" t="s">
        <v>235</v>
      </c>
      <c r="O1" s="72" t="s">
        <v>234</v>
      </c>
      <c r="P1" s="91" t="s">
        <v>121</v>
      </c>
      <c r="Q1" s="77" t="s">
        <v>122</v>
      </c>
      <c r="R1" s="91" t="s">
        <v>126</v>
      </c>
      <c r="S1" s="91" t="s">
        <v>120</v>
      </c>
    </row>
    <row r="2" spans="1:19" x14ac:dyDescent="0.3">
      <c r="A2" s="90"/>
      <c r="B2" s="82" t="s">
        <v>23</v>
      </c>
      <c r="C2" s="82" t="str" cm="1">
        <f t="array" ref="C2">UPPER(INDEX(_xlfn.TEXTSPLIT($D2, "-"), 3))</f>
        <v>DIS</v>
      </c>
      <c r="D2" s="82" t="s">
        <v>969</v>
      </c>
      <c r="E2" s="82" t="s">
        <v>967</v>
      </c>
      <c r="F2" s="82" t="str">
        <f t="shared" ref="F2:F18" si="0">SUBSTITUTE(E2, "hazr-", "")&amp;"-rule"&amp;O2</f>
        <v>p-dis-ap-lb-rule8080</v>
      </c>
      <c r="G2" s="82" t="str">
        <f t="shared" ref="G2:G35" si="1">SUBSTITUTE(E2, "hazr-", "")&amp;"-fe"</f>
        <v>p-dis-ap-lb-fe</v>
      </c>
      <c r="H2" s="82" t="s">
        <v>57</v>
      </c>
      <c r="I2" s="82">
        <v>8080</v>
      </c>
      <c r="J2" s="82" t="b">
        <v>0</v>
      </c>
      <c r="K2" s="82" t="str">
        <f t="shared" ref="K2:K35" si="2">SUBSTITUTE(E2, "hazr-", "")&amp;"-bp"</f>
        <v>p-dis-ap-lb-bp</v>
      </c>
      <c r="L2" s="82">
        <v>8080</v>
      </c>
      <c r="M2" s="82" t="str">
        <f t="shared" ref="M2:M18" si="3">SUBSTITUTE(E2, "hazr-", "")&amp;"-pb"&amp;IF(O2="", "", O2)</f>
        <v>p-dis-ap-lb-pb8080</v>
      </c>
      <c r="N2" s="82" t="s">
        <v>57</v>
      </c>
      <c r="O2" s="82">
        <v>8080</v>
      </c>
      <c r="P2" s="82">
        <v>4</v>
      </c>
      <c r="Q2" s="82" t="s">
        <v>123</v>
      </c>
      <c r="R2" s="82" t="b">
        <v>1</v>
      </c>
      <c r="S2" s="82" t="b">
        <v>0</v>
      </c>
    </row>
    <row r="3" spans="1:19" x14ac:dyDescent="0.3">
      <c r="A3" s="90"/>
      <c r="B3" s="74" t="s">
        <v>23</v>
      </c>
      <c r="C3" s="74" t="str" cm="1">
        <f t="array" ref="C3">UPPER(INDEX(_xlfn.TEXTSPLIT($D3, "-"), 3))</f>
        <v>DIS</v>
      </c>
      <c r="D3" s="74" t="s">
        <v>969</v>
      </c>
      <c r="E3" s="74" t="s">
        <v>1021</v>
      </c>
      <c r="F3" s="74" t="str">
        <f t="shared" si="0"/>
        <v>p-dis-adm-lb-rule443</v>
      </c>
      <c r="G3" s="74" t="str">
        <f t="shared" si="1"/>
        <v>p-dis-adm-lb-fe</v>
      </c>
      <c r="H3" s="74" t="s">
        <v>57</v>
      </c>
      <c r="I3" s="74">
        <v>443</v>
      </c>
      <c r="J3" s="74" t="b">
        <v>0</v>
      </c>
      <c r="K3" s="74" t="str">
        <f t="shared" si="2"/>
        <v>p-dis-adm-lb-bp</v>
      </c>
      <c r="L3" s="74">
        <v>443</v>
      </c>
      <c r="M3" s="74" t="str">
        <f t="shared" si="3"/>
        <v>p-dis-adm-lb-pb443</v>
      </c>
      <c r="N3" s="74" t="s">
        <v>57</v>
      </c>
      <c r="O3" s="74">
        <v>443</v>
      </c>
      <c r="P3" s="74">
        <v>4</v>
      </c>
      <c r="Q3" s="74" t="s">
        <v>123</v>
      </c>
      <c r="R3" s="74" t="b">
        <v>1</v>
      </c>
      <c r="S3" s="74" t="b">
        <v>0</v>
      </c>
    </row>
    <row r="4" spans="1:19" x14ac:dyDescent="0.3">
      <c r="A4" s="90"/>
      <c r="B4" s="82" t="s">
        <v>23</v>
      </c>
      <c r="C4" s="82" t="str" cm="1">
        <f t="array" ref="C4">UPPER(INDEX(_xlfn.TEXTSPLIT($D4, "-"), 3))</f>
        <v>DIS</v>
      </c>
      <c r="D4" s="82" t="s">
        <v>969</v>
      </c>
      <c r="E4" s="82" t="s">
        <v>1022</v>
      </c>
      <c r="F4" s="82" t="str">
        <f t="shared" si="0"/>
        <v>p-dis-bbiweb-lb-rule443</v>
      </c>
      <c r="G4" s="82" t="str">
        <f t="shared" si="1"/>
        <v>p-dis-bbiweb-lb-fe</v>
      </c>
      <c r="H4" s="82" t="s">
        <v>57</v>
      </c>
      <c r="I4" s="82">
        <v>443</v>
      </c>
      <c r="J4" s="82" t="b">
        <v>0</v>
      </c>
      <c r="K4" s="82" t="str">
        <f t="shared" si="2"/>
        <v>p-dis-bbiweb-lb-bp</v>
      </c>
      <c r="L4" s="82">
        <v>443</v>
      </c>
      <c r="M4" s="82" t="str">
        <f t="shared" si="3"/>
        <v>p-dis-bbiweb-lb-pb443</v>
      </c>
      <c r="N4" s="82" t="s">
        <v>57</v>
      </c>
      <c r="O4" s="82">
        <v>443</v>
      </c>
      <c r="P4" s="82">
        <v>4</v>
      </c>
      <c r="Q4" s="82" t="s">
        <v>123</v>
      </c>
      <c r="R4" s="82" t="b">
        <v>1</v>
      </c>
      <c r="S4" s="82" t="b">
        <v>0</v>
      </c>
    </row>
    <row r="5" spans="1:19" x14ac:dyDescent="0.3">
      <c r="A5" s="90"/>
      <c r="B5" s="74" t="s">
        <v>23</v>
      </c>
      <c r="C5" s="74" t="str" cm="1">
        <f t="array" ref="C5">UPPER(INDEX(_xlfn.TEXTSPLIT($D5, "-"), 3))</f>
        <v>DIS</v>
      </c>
      <c r="D5" s="74" t="s">
        <v>969</v>
      </c>
      <c r="E5" s="74" t="s">
        <v>933</v>
      </c>
      <c r="F5" s="74" t="str">
        <f t="shared" si="0"/>
        <v>p-dis-bbicltap-lb-rule20000</v>
      </c>
      <c r="G5" s="74" t="str">
        <f t="shared" si="1"/>
        <v>p-dis-bbicltap-lb-fe</v>
      </c>
      <c r="H5" s="74" t="s">
        <v>57</v>
      </c>
      <c r="I5" s="74">
        <v>20000</v>
      </c>
      <c r="J5" s="74" t="b">
        <v>0</v>
      </c>
      <c r="K5" s="74" t="str">
        <f t="shared" si="2"/>
        <v>p-dis-bbicltap-lb-bp</v>
      </c>
      <c r="L5" s="74">
        <v>20000</v>
      </c>
      <c r="M5" s="74" t="str">
        <f t="shared" si="3"/>
        <v>p-dis-bbicltap-lb-pb20000</v>
      </c>
      <c r="N5" s="74" t="s">
        <v>57</v>
      </c>
      <c r="O5" s="74">
        <v>20000</v>
      </c>
      <c r="P5" s="74">
        <v>4</v>
      </c>
      <c r="Q5" s="74" t="s">
        <v>123</v>
      </c>
      <c r="R5" s="74" t="b">
        <v>1</v>
      </c>
      <c r="S5" s="74" t="b">
        <v>0</v>
      </c>
    </row>
    <row r="6" spans="1:19" x14ac:dyDescent="0.3">
      <c r="A6" s="90"/>
      <c r="B6" s="74" t="s">
        <v>23</v>
      </c>
      <c r="C6" s="74" t="str" cm="1">
        <f t="array" ref="C6">UPPER(INDEX(_xlfn.TEXTSPLIT($D6, "-"), 3))</f>
        <v>DIS</v>
      </c>
      <c r="D6" s="74" t="s">
        <v>969</v>
      </c>
      <c r="E6" s="74" t="s">
        <v>933</v>
      </c>
      <c r="F6" s="74" t="str">
        <f t="shared" si="0"/>
        <v>p-dis-bbicltap-lb-rule21000</v>
      </c>
      <c r="G6" s="74" t="str">
        <f t="shared" si="1"/>
        <v>p-dis-bbicltap-lb-fe</v>
      </c>
      <c r="H6" s="74" t="s">
        <v>57</v>
      </c>
      <c r="I6" s="74">
        <v>21000</v>
      </c>
      <c r="J6" s="74" t="b">
        <v>0</v>
      </c>
      <c r="K6" s="74" t="str">
        <f t="shared" si="2"/>
        <v>p-dis-bbicltap-lb-bp</v>
      </c>
      <c r="L6" s="74">
        <v>21000</v>
      </c>
      <c r="M6" s="74" t="str">
        <f t="shared" si="3"/>
        <v>p-dis-bbicltap-lb-pb21000</v>
      </c>
      <c r="N6" s="74" t="s">
        <v>57</v>
      </c>
      <c r="O6" s="74">
        <v>21000</v>
      </c>
      <c r="P6" s="74">
        <v>4</v>
      </c>
      <c r="Q6" s="74" t="s">
        <v>123</v>
      </c>
      <c r="R6" s="74" t="b">
        <v>1</v>
      </c>
      <c r="S6" s="74" t="b">
        <v>0</v>
      </c>
    </row>
    <row r="7" spans="1:19" x14ac:dyDescent="0.3">
      <c r="A7" s="90"/>
      <c r="B7" s="74" t="s">
        <v>23</v>
      </c>
      <c r="C7" s="74" t="str" cm="1">
        <f t="array" ref="C7">UPPER(INDEX(_xlfn.TEXTSPLIT($D7, "-"), 3))</f>
        <v>DIS</v>
      </c>
      <c r="D7" s="74" t="s">
        <v>969</v>
      </c>
      <c r="E7" s="74" t="s">
        <v>933</v>
      </c>
      <c r="F7" s="74" t="str">
        <f t="shared" si="0"/>
        <v>p-dis-bbicltap-lb-rule22000</v>
      </c>
      <c r="G7" s="74" t="str">
        <f t="shared" si="1"/>
        <v>p-dis-bbicltap-lb-fe</v>
      </c>
      <c r="H7" s="74" t="s">
        <v>57</v>
      </c>
      <c r="I7" s="74">
        <v>22000</v>
      </c>
      <c r="J7" s="74" t="b">
        <v>0</v>
      </c>
      <c r="K7" s="74" t="str">
        <f t="shared" si="2"/>
        <v>p-dis-bbicltap-lb-bp</v>
      </c>
      <c r="L7" s="74">
        <v>22000</v>
      </c>
      <c r="M7" s="74" t="str">
        <f t="shared" si="3"/>
        <v>p-dis-bbicltap-lb-pb22000</v>
      </c>
      <c r="N7" s="74" t="s">
        <v>57</v>
      </c>
      <c r="O7" s="74">
        <v>22000</v>
      </c>
      <c r="P7" s="74">
        <v>4</v>
      </c>
      <c r="Q7" s="74" t="s">
        <v>123</v>
      </c>
      <c r="R7" s="74" t="b">
        <v>1</v>
      </c>
      <c r="S7" s="74" t="b">
        <v>0</v>
      </c>
    </row>
    <row r="8" spans="1:19" x14ac:dyDescent="0.3">
      <c r="A8" s="90"/>
      <c r="B8" s="82" t="s">
        <v>23</v>
      </c>
      <c r="C8" s="82" t="str" cm="1">
        <f t="array" ref="C8">UPPER(INDEX(_xlfn.TEXTSPLIT($D8, "-"), 3))</f>
        <v>DIS</v>
      </c>
      <c r="D8" s="82" t="s">
        <v>969</v>
      </c>
      <c r="E8" s="82" t="s">
        <v>1023</v>
      </c>
      <c r="F8" s="82" t="str">
        <f t="shared" si="0"/>
        <v>p-dis-bbimsgap-lb-rule20030</v>
      </c>
      <c r="G8" s="82" t="str">
        <f t="shared" si="1"/>
        <v>p-dis-bbimsgap-lb-fe</v>
      </c>
      <c r="H8" s="82" t="s">
        <v>57</v>
      </c>
      <c r="I8" s="82">
        <v>20030</v>
      </c>
      <c r="J8" s="82" t="b">
        <v>0</v>
      </c>
      <c r="K8" s="82" t="str">
        <f t="shared" si="2"/>
        <v>p-dis-bbimsgap-lb-bp</v>
      </c>
      <c r="L8" s="82">
        <v>20030</v>
      </c>
      <c r="M8" s="82" t="str">
        <f t="shared" si="3"/>
        <v>p-dis-bbimsgap-lb-pb20030</v>
      </c>
      <c r="N8" s="82" t="s">
        <v>57</v>
      </c>
      <c r="O8" s="82">
        <v>20030</v>
      </c>
      <c r="P8" s="82">
        <v>4</v>
      </c>
      <c r="Q8" s="82" t="s">
        <v>123</v>
      </c>
      <c r="R8" s="82" t="b">
        <v>1</v>
      </c>
      <c r="S8" s="82" t="b">
        <v>0</v>
      </c>
    </row>
    <row r="9" spans="1:19" x14ac:dyDescent="0.3">
      <c r="A9" s="90"/>
      <c r="B9" s="82" t="s">
        <v>23</v>
      </c>
      <c r="C9" s="82" t="str" cm="1">
        <f t="array" ref="C9">UPPER(INDEX(_xlfn.TEXTSPLIT($D9, "-"), 3))</f>
        <v>DIS</v>
      </c>
      <c r="D9" s="82" t="s">
        <v>969</v>
      </c>
      <c r="E9" s="82" t="s">
        <v>1085</v>
      </c>
      <c r="F9" s="82" t="str">
        <f t="shared" si="0"/>
        <v>p-dis-drvcltap-lb-rule8081</v>
      </c>
      <c r="G9" s="82" t="str">
        <f t="shared" si="1"/>
        <v>p-dis-drvcltap-lb-fe</v>
      </c>
      <c r="H9" s="82" t="s">
        <v>57</v>
      </c>
      <c r="I9" s="82">
        <v>8081</v>
      </c>
      <c r="J9" s="82" t="b">
        <v>0</v>
      </c>
      <c r="K9" s="82" t="str">
        <f t="shared" si="2"/>
        <v>p-dis-drvcltap-lb-bp</v>
      </c>
      <c r="L9" s="82">
        <v>8081</v>
      </c>
      <c r="M9" s="82" t="str">
        <f t="shared" si="3"/>
        <v>p-dis-drvcltap-lb-pb8081</v>
      </c>
      <c r="N9" s="82" t="s">
        <v>57</v>
      </c>
      <c r="O9" s="82">
        <v>8081</v>
      </c>
      <c r="P9" s="82">
        <v>4</v>
      </c>
      <c r="Q9" s="82" t="s">
        <v>123</v>
      </c>
      <c r="R9" s="82" t="b">
        <v>1</v>
      </c>
      <c r="S9" s="82" t="b">
        <v>0</v>
      </c>
    </row>
    <row r="10" spans="1:19" x14ac:dyDescent="0.3">
      <c r="A10" s="90"/>
      <c r="B10" s="82" t="s">
        <v>23</v>
      </c>
      <c r="C10" s="82" t="str" cm="1">
        <f t="array" ref="C10">UPPER(INDEX(_xlfn.TEXTSPLIT($D10, "-"), 3))</f>
        <v>DIS</v>
      </c>
      <c r="D10" s="82" t="s">
        <v>969</v>
      </c>
      <c r="E10" s="82" t="s">
        <v>1024</v>
      </c>
      <c r="F10" s="82" t="str">
        <f t="shared" si="0"/>
        <v>p-dis-drvmsgap-lb-rule8080</v>
      </c>
      <c r="G10" s="82" t="str">
        <f t="shared" si="1"/>
        <v>p-dis-drvmsgap-lb-fe</v>
      </c>
      <c r="H10" s="82" t="s">
        <v>57</v>
      </c>
      <c r="I10" s="82">
        <v>8080</v>
      </c>
      <c r="J10" s="82" t="b">
        <v>0</v>
      </c>
      <c r="K10" s="82" t="str">
        <f t="shared" si="2"/>
        <v>p-dis-drvmsgap-lb-bp</v>
      </c>
      <c r="L10" s="82">
        <v>8080</v>
      </c>
      <c r="M10" s="82" t="str">
        <f t="shared" si="3"/>
        <v>p-dis-drvmsgap-lb-pb8080</v>
      </c>
      <c r="N10" s="82" t="s">
        <v>57</v>
      </c>
      <c r="O10" s="82">
        <v>8080</v>
      </c>
      <c r="P10" s="82">
        <v>4</v>
      </c>
      <c r="Q10" s="82" t="s">
        <v>123</v>
      </c>
      <c r="R10" s="82" t="b">
        <v>1</v>
      </c>
      <c r="S10" s="82" t="b">
        <v>0</v>
      </c>
    </row>
    <row r="11" spans="1:19" x14ac:dyDescent="0.3">
      <c r="A11" s="90"/>
      <c r="B11" s="74" t="s">
        <v>23</v>
      </c>
      <c r="C11" s="74" t="str" cm="1">
        <f t="array" ref="C11">UPPER(INDEX(_xlfn.TEXTSPLIT($D11, "-"), 3))</f>
        <v>DIS</v>
      </c>
      <c r="D11" s="74" t="s">
        <v>969</v>
      </c>
      <c r="E11" s="74" t="s">
        <v>936</v>
      </c>
      <c r="F11" s="74" t="str">
        <f t="shared" si="0"/>
        <v>p-dis-web-lb-rule80</v>
      </c>
      <c r="G11" s="74" t="str">
        <f t="shared" si="1"/>
        <v>p-dis-web-lb-fe</v>
      </c>
      <c r="H11" s="74" t="s">
        <v>57</v>
      </c>
      <c r="I11" s="74">
        <v>80</v>
      </c>
      <c r="J11" s="74" t="b">
        <v>0</v>
      </c>
      <c r="K11" s="74" t="str">
        <f t="shared" si="2"/>
        <v>p-dis-web-lb-bp</v>
      </c>
      <c r="L11" s="74">
        <v>80</v>
      </c>
      <c r="M11" s="74" t="str">
        <f t="shared" si="3"/>
        <v>p-dis-web-lb-pb80</v>
      </c>
      <c r="N11" s="74" t="s">
        <v>57</v>
      </c>
      <c r="O11" s="74">
        <v>80</v>
      </c>
      <c r="P11" s="74">
        <v>4</v>
      </c>
      <c r="Q11" s="74" t="s">
        <v>123</v>
      </c>
      <c r="R11" s="74" t="b">
        <v>1</v>
      </c>
      <c r="S11" s="74" t="b">
        <v>0</v>
      </c>
    </row>
    <row r="12" spans="1:19" x14ac:dyDescent="0.3">
      <c r="A12" s="90"/>
      <c r="B12" s="74" t="s">
        <v>23</v>
      </c>
      <c r="C12" s="74" t="str" cm="1">
        <f t="array" ref="C12">UPPER(INDEX(_xlfn.TEXTSPLIT($D12, "-"), 3))</f>
        <v>DIS</v>
      </c>
      <c r="D12" s="74" t="s">
        <v>969</v>
      </c>
      <c r="E12" s="74" t="s">
        <v>936</v>
      </c>
      <c r="F12" s="74" t="str">
        <f t="shared" si="0"/>
        <v>p-dis-web-lb-rule443</v>
      </c>
      <c r="G12" s="74" t="str">
        <f t="shared" si="1"/>
        <v>p-dis-web-lb-fe</v>
      </c>
      <c r="H12" s="74" t="s">
        <v>57</v>
      </c>
      <c r="I12" s="74">
        <v>443</v>
      </c>
      <c r="J12" s="74" t="b">
        <v>0</v>
      </c>
      <c r="K12" s="74" t="str">
        <f t="shared" si="2"/>
        <v>p-dis-web-lb-bp</v>
      </c>
      <c r="L12" s="74">
        <v>443</v>
      </c>
      <c r="M12" s="74" t="str">
        <f t="shared" si="3"/>
        <v>p-dis-web-lb-pb443</v>
      </c>
      <c r="N12" s="74" t="s">
        <v>57</v>
      </c>
      <c r="O12" s="74">
        <v>443</v>
      </c>
      <c r="P12" s="74">
        <v>4</v>
      </c>
      <c r="Q12" s="74" t="s">
        <v>123</v>
      </c>
      <c r="R12" s="74" t="b">
        <v>1</v>
      </c>
      <c r="S12" s="74" t="b">
        <v>0</v>
      </c>
    </row>
    <row r="13" spans="1:19" x14ac:dyDescent="0.3">
      <c r="A13" s="90"/>
      <c r="B13" s="82" t="s">
        <v>23</v>
      </c>
      <c r="C13" s="82" t="str" cm="1">
        <f t="array" ref="C13">UPPER(INDEX(_xlfn.TEXTSPLIT($D13, "-"), 3))</f>
        <v>DIS</v>
      </c>
      <c r="D13" s="82" t="s">
        <v>969</v>
      </c>
      <c r="E13" s="82" t="s">
        <v>1034</v>
      </c>
      <c r="F13" s="82" t="str">
        <f t="shared" si="0"/>
        <v>p-dis-cmsadm-lb-rule443</v>
      </c>
      <c r="G13" s="82" t="str">
        <f t="shared" si="1"/>
        <v>p-dis-cmsadm-lb-fe</v>
      </c>
      <c r="H13" s="82" t="s">
        <v>57</v>
      </c>
      <c r="I13" s="82">
        <v>443</v>
      </c>
      <c r="J13" s="82" t="b">
        <v>0</v>
      </c>
      <c r="K13" s="82" t="str">
        <f t="shared" si="2"/>
        <v>p-dis-cmsadm-lb-bp</v>
      </c>
      <c r="L13" s="82">
        <v>443</v>
      </c>
      <c r="M13" s="82" t="str">
        <f t="shared" si="3"/>
        <v>p-dis-cmsadm-lb-pb443</v>
      </c>
      <c r="N13" s="82" t="s">
        <v>57</v>
      </c>
      <c r="O13" s="82">
        <v>443</v>
      </c>
      <c r="P13" s="82">
        <v>4</v>
      </c>
      <c r="Q13" s="82" t="s">
        <v>123</v>
      </c>
      <c r="R13" s="82" t="b">
        <v>1</v>
      </c>
      <c r="S13" s="82" t="b">
        <v>0</v>
      </c>
    </row>
    <row r="14" spans="1:19" x14ac:dyDescent="0.3">
      <c r="A14" s="90"/>
      <c r="B14" s="74" t="s">
        <v>23</v>
      </c>
      <c r="C14" s="74" t="str" cm="1">
        <f t="array" ref="C14">UPPER(INDEX(_xlfn.TEXTSPLIT($D14, "-"), 3))</f>
        <v>DIS</v>
      </c>
      <c r="D14" s="74" t="s">
        <v>969</v>
      </c>
      <c r="E14" s="74" t="s">
        <v>938</v>
      </c>
      <c r="F14" s="74" t="str">
        <f t="shared" si="0"/>
        <v>p-dis-cmsap-lb-rule4001</v>
      </c>
      <c r="G14" s="74" t="str">
        <f t="shared" si="1"/>
        <v>p-dis-cmsap-lb-fe</v>
      </c>
      <c r="H14" s="74" t="s">
        <v>57</v>
      </c>
      <c r="I14" s="74">
        <v>4001</v>
      </c>
      <c r="J14" s="74" t="b">
        <v>0</v>
      </c>
      <c r="K14" s="74" t="str">
        <f t="shared" si="2"/>
        <v>p-dis-cmsap-lb-bp</v>
      </c>
      <c r="L14" s="74">
        <v>4001</v>
      </c>
      <c r="M14" s="74" t="str">
        <f t="shared" si="3"/>
        <v>p-dis-cmsap-lb-pb4001</v>
      </c>
      <c r="N14" s="74" t="s">
        <v>57</v>
      </c>
      <c r="O14" s="74">
        <v>4001</v>
      </c>
      <c r="P14" s="74">
        <v>4</v>
      </c>
      <c r="Q14" s="74" t="s">
        <v>123</v>
      </c>
      <c r="R14" s="74" t="b">
        <v>1</v>
      </c>
      <c r="S14" s="74" t="b">
        <v>0</v>
      </c>
    </row>
    <row r="15" spans="1:19" x14ac:dyDescent="0.3">
      <c r="A15" s="90"/>
      <c r="B15" s="82" t="s">
        <v>23</v>
      </c>
      <c r="C15" s="82" t="str" cm="1">
        <f t="array" ref="C15">UPPER(INDEX(_xlfn.TEXTSPLIT($D15, "-"), 3))</f>
        <v>DIS</v>
      </c>
      <c r="D15" s="82" t="s">
        <v>969</v>
      </c>
      <c r="E15" s="82" t="s">
        <v>1025</v>
      </c>
      <c r="F15" s="82" t="str">
        <f t="shared" si="0"/>
        <v>p-dis-cmsweb-lb-rule80</v>
      </c>
      <c r="G15" s="82" t="str">
        <f t="shared" si="1"/>
        <v>p-dis-cmsweb-lb-fe</v>
      </c>
      <c r="H15" s="82" t="s">
        <v>57</v>
      </c>
      <c r="I15" s="82">
        <v>80</v>
      </c>
      <c r="J15" s="82" t="b">
        <v>0</v>
      </c>
      <c r="K15" s="82" t="str">
        <f t="shared" si="2"/>
        <v>p-dis-cmsweb-lb-bp</v>
      </c>
      <c r="L15" s="82">
        <v>80</v>
      </c>
      <c r="M15" s="82" t="str">
        <f t="shared" si="3"/>
        <v>p-dis-cmsweb-lb-pb80</v>
      </c>
      <c r="N15" s="82" t="s">
        <v>57</v>
      </c>
      <c r="O15" s="82">
        <v>80</v>
      </c>
      <c r="P15" s="82">
        <v>4</v>
      </c>
      <c r="Q15" s="82" t="s">
        <v>123</v>
      </c>
      <c r="R15" s="82" t="b">
        <v>1</v>
      </c>
      <c r="S15" s="82" t="b">
        <v>0</v>
      </c>
    </row>
    <row r="16" spans="1:19" x14ac:dyDescent="0.3">
      <c r="A16" s="90"/>
      <c r="B16" s="82" t="s">
        <v>23</v>
      </c>
      <c r="C16" s="82" t="str" cm="1">
        <f t="array" ref="C16">UPPER(INDEX(_xlfn.TEXTSPLIT($D16, "-"), 3))</f>
        <v>DIS</v>
      </c>
      <c r="D16" s="82" t="s">
        <v>969</v>
      </c>
      <c r="E16" s="82" t="s">
        <v>1025</v>
      </c>
      <c r="F16" s="82" t="str">
        <f t="shared" si="0"/>
        <v>p-dis-cmsweb-lb-rule443</v>
      </c>
      <c r="G16" s="82" t="str">
        <f t="shared" si="1"/>
        <v>p-dis-cmsweb-lb-fe</v>
      </c>
      <c r="H16" s="82" t="s">
        <v>57</v>
      </c>
      <c r="I16" s="82">
        <v>443</v>
      </c>
      <c r="J16" s="82" t="b">
        <v>0</v>
      </c>
      <c r="K16" s="82" t="str">
        <f t="shared" si="2"/>
        <v>p-dis-cmsweb-lb-bp</v>
      </c>
      <c r="L16" s="82">
        <v>443</v>
      </c>
      <c r="M16" s="82" t="str">
        <f t="shared" si="3"/>
        <v>p-dis-cmsweb-lb-pb443</v>
      </c>
      <c r="N16" s="82" t="s">
        <v>57</v>
      </c>
      <c r="O16" s="82">
        <v>443</v>
      </c>
      <c r="P16" s="82">
        <v>4</v>
      </c>
      <c r="Q16" s="82" t="s">
        <v>123</v>
      </c>
      <c r="R16" s="82" t="b">
        <v>1</v>
      </c>
      <c r="S16" s="82" t="b">
        <v>0</v>
      </c>
    </row>
    <row r="17" spans="1:19" x14ac:dyDescent="0.3">
      <c r="A17" s="90"/>
      <c r="B17" s="74" t="s">
        <v>23</v>
      </c>
      <c r="C17" s="74" t="str" cm="1">
        <f t="array" ref="C17">UPPER(INDEX(_xlfn.TEXTSPLIT($D17, "-"), 3))</f>
        <v>DIS</v>
      </c>
      <c r="D17" s="74" t="s">
        <v>969</v>
      </c>
      <c r="E17" s="74" t="s">
        <v>940</v>
      </c>
      <c r="F17" s="74" t="str">
        <f t="shared" si="0"/>
        <v>p-dis-cmbsap-lb-rule8080</v>
      </c>
      <c r="G17" s="74" t="str">
        <f t="shared" si="1"/>
        <v>p-dis-cmbsap-lb-fe</v>
      </c>
      <c r="H17" s="74" t="s">
        <v>57</v>
      </c>
      <c r="I17" s="74">
        <v>8080</v>
      </c>
      <c r="J17" s="74" t="b">
        <v>0</v>
      </c>
      <c r="K17" s="74" t="str">
        <f t="shared" si="2"/>
        <v>p-dis-cmbsap-lb-bp</v>
      </c>
      <c r="L17" s="74">
        <v>8080</v>
      </c>
      <c r="M17" s="74" t="str">
        <f t="shared" si="3"/>
        <v>p-dis-cmbsap-lb-pb8080</v>
      </c>
      <c r="N17" s="74" t="s">
        <v>57</v>
      </c>
      <c r="O17" s="74">
        <v>8080</v>
      </c>
      <c r="P17" s="74">
        <v>4</v>
      </c>
      <c r="Q17" s="74" t="s">
        <v>123</v>
      </c>
      <c r="R17" s="74" t="b">
        <v>1</v>
      </c>
      <c r="S17" s="74" t="b">
        <v>0</v>
      </c>
    </row>
    <row r="18" spans="1:19" x14ac:dyDescent="0.3">
      <c r="A18" s="90"/>
      <c r="B18" s="82" t="s">
        <v>23</v>
      </c>
      <c r="C18" s="82" t="str" cm="1">
        <f t="array" ref="C18">UPPER(INDEX(_xlfn.TEXTSPLIT($D18, "-"), 3))</f>
        <v>DTG</v>
      </c>
      <c r="D18" s="82" t="s">
        <v>970</v>
      </c>
      <c r="E18" s="82" t="s">
        <v>1026</v>
      </c>
      <c r="F18" s="82" t="str">
        <f t="shared" si="0"/>
        <v>p-dtg-ingap-lb-rule8081</v>
      </c>
      <c r="G18" s="82" t="str">
        <f t="shared" si="1"/>
        <v>p-dtg-ingap-lb-fe</v>
      </c>
      <c r="H18" s="82" t="s">
        <v>57</v>
      </c>
      <c r="I18" s="82">
        <v>8081</v>
      </c>
      <c r="J18" s="82" t="b">
        <v>0</v>
      </c>
      <c r="K18" s="82" t="str">
        <f t="shared" si="2"/>
        <v>p-dtg-ingap-lb-bp</v>
      </c>
      <c r="L18" s="82">
        <v>8081</v>
      </c>
      <c r="M18" s="82" t="str">
        <f t="shared" si="3"/>
        <v>p-dtg-ingap-lb-pb8081</v>
      </c>
      <c r="N18" s="82" t="s">
        <v>57</v>
      </c>
      <c r="O18" s="82">
        <v>8081</v>
      </c>
      <c r="P18" s="82">
        <v>4</v>
      </c>
      <c r="Q18" s="82" t="s">
        <v>123</v>
      </c>
      <c r="R18" s="82" t="b">
        <v>1</v>
      </c>
      <c r="S18" s="82" t="b">
        <v>0</v>
      </c>
    </row>
    <row r="19" spans="1:19" x14ac:dyDescent="0.3">
      <c r="A19" s="90"/>
      <c r="B19" s="74" t="s">
        <v>23</v>
      </c>
      <c r="C19" s="74" t="str" cm="1">
        <f t="array" ref="C19">UPPER(INDEX(_xlfn.TEXTSPLIT($D19, "-"), 3))</f>
        <v>DTG</v>
      </c>
      <c r="D19" s="74" t="s">
        <v>970</v>
      </c>
      <c r="E19" s="74" t="s">
        <v>942</v>
      </c>
      <c r="F19" s="74" t="str">
        <f t="shared" ref="F19:F32" si="4">SUBSTITUTE(E19, "hazr-", "")&amp;"-rule"&amp;O19</f>
        <v>p-dtg-ap-lb-rule8080</v>
      </c>
      <c r="G19" s="74" t="str">
        <f t="shared" si="1"/>
        <v>p-dtg-ap-lb-fe</v>
      </c>
      <c r="H19" s="74" t="s">
        <v>57</v>
      </c>
      <c r="I19" s="74">
        <v>8080</v>
      </c>
      <c r="J19" s="74" t="b">
        <v>0</v>
      </c>
      <c r="K19" s="74" t="str">
        <f t="shared" si="2"/>
        <v>p-dtg-ap-lb-bp</v>
      </c>
      <c r="L19" s="74">
        <v>8080</v>
      </c>
      <c r="M19" s="74" t="str">
        <f t="shared" ref="M19:M32" si="5">SUBSTITUTE(E19, "hazr-", "")&amp;"-pb"&amp;IF(O19="", "", O19)</f>
        <v>p-dtg-ap-lb-pb8080</v>
      </c>
      <c r="N19" s="74" t="s">
        <v>57</v>
      </c>
      <c r="O19" s="74">
        <v>8080</v>
      </c>
      <c r="P19" s="74">
        <v>4</v>
      </c>
      <c r="Q19" s="74" t="s">
        <v>123</v>
      </c>
      <c r="R19" s="74" t="b">
        <v>1</v>
      </c>
      <c r="S19" s="74" t="b">
        <v>0</v>
      </c>
    </row>
    <row r="20" spans="1:19" x14ac:dyDescent="0.3">
      <c r="A20" s="90"/>
      <c r="B20" s="74" t="s">
        <v>23</v>
      </c>
      <c r="C20" s="74" t="str" cm="1">
        <f t="array" ref="C20">UPPER(INDEX(_xlfn.TEXTSPLIT($D20, "-"), 3))</f>
        <v>DTG</v>
      </c>
      <c r="D20" s="74" t="s">
        <v>970</v>
      </c>
      <c r="E20" s="74" t="s">
        <v>942</v>
      </c>
      <c r="F20" s="74" t="str">
        <f t="shared" si="4"/>
        <v>p-dtg-ap-lb-rule8087</v>
      </c>
      <c r="G20" s="74" t="str">
        <f t="shared" si="1"/>
        <v>p-dtg-ap-lb-fe</v>
      </c>
      <c r="H20" s="74" t="s">
        <v>57</v>
      </c>
      <c r="I20" s="74">
        <v>8087</v>
      </c>
      <c r="J20" s="74" t="b">
        <v>0</v>
      </c>
      <c r="K20" s="74" t="str">
        <f t="shared" si="2"/>
        <v>p-dtg-ap-lb-bp</v>
      </c>
      <c r="L20" s="74">
        <v>8087</v>
      </c>
      <c r="M20" s="74" t="str">
        <f t="shared" si="5"/>
        <v>p-dtg-ap-lb-pb8087</v>
      </c>
      <c r="N20" s="74" t="s">
        <v>57</v>
      </c>
      <c r="O20" s="74">
        <v>8087</v>
      </c>
      <c r="P20" s="74">
        <v>4</v>
      </c>
      <c r="Q20" s="74" t="s">
        <v>123</v>
      </c>
      <c r="R20" s="74" t="b">
        <v>1</v>
      </c>
      <c r="S20" s="74" t="b">
        <v>0</v>
      </c>
    </row>
    <row r="21" spans="1:19" x14ac:dyDescent="0.3">
      <c r="A21" s="90"/>
      <c r="B21" s="82" t="s">
        <v>23</v>
      </c>
      <c r="C21" s="82" t="str" cm="1">
        <f t="array" ref="C21">UPPER(INDEX(_xlfn.TEXTSPLIT($D21, "-"), 3))</f>
        <v>DTG</v>
      </c>
      <c r="D21" s="82" t="s">
        <v>970</v>
      </c>
      <c r="E21" s="82" t="s">
        <v>1027</v>
      </c>
      <c r="F21" s="82" t="str">
        <f t="shared" si="4"/>
        <v>p-dtg-extgeoap-lb-rule3660</v>
      </c>
      <c r="G21" s="82" t="str">
        <f t="shared" si="1"/>
        <v>p-dtg-extgeoap-lb-fe</v>
      </c>
      <c r="H21" s="82" t="s">
        <v>57</v>
      </c>
      <c r="I21" s="82">
        <v>3660</v>
      </c>
      <c r="J21" s="82" t="b">
        <v>0</v>
      </c>
      <c r="K21" s="82" t="str">
        <f t="shared" si="2"/>
        <v>p-dtg-extgeoap-lb-bp</v>
      </c>
      <c r="L21" s="82">
        <v>3660</v>
      </c>
      <c r="M21" s="82" t="str">
        <f t="shared" si="5"/>
        <v>p-dtg-extgeoap-lb-pb3660</v>
      </c>
      <c r="N21" s="82" t="s">
        <v>57</v>
      </c>
      <c r="O21" s="82">
        <v>3660</v>
      </c>
      <c r="P21" s="82">
        <v>4</v>
      </c>
      <c r="Q21" s="82" t="s">
        <v>123</v>
      </c>
      <c r="R21" s="82" t="b">
        <v>1</v>
      </c>
      <c r="S21" s="82" t="b">
        <v>0</v>
      </c>
    </row>
    <row r="22" spans="1:19" x14ac:dyDescent="0.3">
      <c r="A22" s="90"/>
      <c r="B22" s="82" t="s">
        <v>23</v>
      </c>
      <c r="C22" s="82" t="str" cm="1">
        <f t="array" ref="C22">UPPER(INDEX(_xlfn.TEXTSPLIT($D22, "-"), 3))</f>
        <v>DTG</v>
      </c>
      <c r="D22" s="82" t="s">
        <v>970</v>
      </c>
      <c r="E22" s="82" t="s">
        <v>1027</v>
      </c>
      <c r="F22" s="82" t="str">
        <f t="shared" si="4"/>
        <v>p-dtg-extgeoap-lb-rule3661</v>
      </c>
      <c r="G22" s="82" t="str">
        <f t="shared" si="1"/>
        <v>p-dtg-extgeoap-lb-fe</v>
      </c>
      <c r="H22" s="82" t="s">
        <v>57</v>
      </c>
      <c r="I22" s="82">
        <v>3661</v>
      </c>
      <c r="J22" s="82" t="b">
        <v>0</v>
      </c>
      <c r="K22" s="82" t="str">
        <f t="shared" si="2"/>
        <v>p-dtg-extgeoap-lb-bp</v>
      </c>
      <c r="L22" s="82">
        <v>3661</v>
      </c>
      <c r="M22" s="82" t="str">
        <f t="shared" si="5"/>
        <v>p-dtg-extgeoap-lb-pb3661</v>
      </c>
      <c r="N22" s="82" t="s">
        <v>57</v>
      </c>
      <c r="O22" s="82">
        <v>3661</v>
      </c>
      <c r="P22" s="82">
        <v>4</v>
      </c>
      <c r="Q22" s="82" t="s">
        <v>123</v>
      </c>
      <c r="R22" s="82" t="b">
        <v>1</v>
      </c>
      <c r="S22" s="82" t="b">
        <v>0</v>
      </c>
    </row>
    <row r="23" spans="1:19" x14ac:dyDescent="0.3">
      <c r="A23" s="90"/>
      <c r="B23" s="74" t="s">
        <v>23</v>
      </c>
      <c r="C23" s="74" t="str" cm="1">
        <f t="array" ref="C23">UPPER(INDEX(_xlfn.TEXTSPLIT($D23, "-"), 3))</f>
        <v>DTG</v>
      </c>
      <c r="D23" s="74" t="s">
        <v>970</v>
      </c>
      <c r="E23" s="74" t="s">
        <v>944</v>
      </c>
      <c r="F23" s="74" t="str">
        <f t="shared" si="4"/>
        <v>p-dtg-geoap-lb-rule8089</v>
      </c>
      <c r="G23" s="74" t="str">
        <f t="shared" si="1"/>
        <v>p-dtg-geoap-lb-fe</v>
      </c>
      <c r="H23" s="74" t="s">
        <v>57</v>
      </c>
      <c r="I23" s="74">
        <v>8089</v>
      </c>
      <c r="J23" s="74" t="b">
        <v>0</v>
      </c>
      <c r="K23" s="74" t="str">
        <f t="shared" si="2"/>
        <v>p-dtg-geoap-lb-bp</v>
      </c>
      <c r="L23" s="74">
        <v>8089</v>
      </c>
      <c r="M23" s="74" t="str">
        <f t="shared" si="5"/>
        <v>p-dtg-geoap-lb-pb8089</v>
      </c>
      <c r="N23" s="74" t="s">
        <v>57</v>
      </c>
      <c r="O23" s="74">
        <v>8089</v>
      </c>
      <c r="P23" s="74">
        <v>4</v>
      </c>
      <c r="Q23" s="74" t="s">
        <v>123</v>
      </c>
      <c r="R23" s="74" t="b">
        <v>1</v>
      </c>
      <c r="S23" s="74" t="b">
        <v>0</v>
      </c>
    </row>
    <row r="24" spans="1:19" x14ac:dyDescent="0.3">
      <c r="A24" s="90"/>
      <c r="B24" s="74" t="s">
        <v>23</v>
      </c>
      <c r="C24" s="74" t="str" cm="1">
        <f t="array" ref="C24">UPPER(INDEX(_xlfn.TEXTSPLIT($D24, "-"), 3))</f>
        <v>DTG</v>
      </c>
      <c r="D24" s="74" t="s">
        <v>970</v>
      </c>
      <c r="E24" s="74" t="s">
        <v>944</v>
      </c>
      <c r="F24" s="74" t="str">
        <f t="shared" si="4"/>
        <v>p-dtg-geoap-lb-rule9089</v>
      </c>
      <c r="G24" s="74" t="str">
        <f t="shared" si="1"/>
        <v>p-dtg-geoap-lb-fe</v>
      </c>
      <c r="H24" s="74" t="s">
        <v>57</v>
      </c>
      <c r="I24" s="74">
        <v>9089</v>
      </c>
      <c r="J24" s="74" t="b">
        <v>0</v>
      </c>
      <c r="K24" s="74" t="str">
        <f t="shared" si="2"/>
        <v>p-dtg-geoap-lb-bp</v>
      </c>
      <c r="L24" s="74">
        <v>9089</v>
      </c>
      <c r="M24" s="74" t="str">
        <f t="shared" si="5"/>
        <v>p-dtg-geoap-lb-pb9089</v>
      </c>
      <c r="N24" s="74" t="s">
        <v>57</v>
      </c>
      <c r="O24" s="74">
        <v>9089</v>
      </c>
      <c r="P24" s="74">
        <v>4</v>
      </c>
      <c r="Q24" s="74" t="s">
        <v>123</v>
      </c>
      <c r="R24" s="74" t="b">
        <v>1</v>
      </c>
      <c r="S24" s="74" t="b">
        <v>0</v>
      </c>
    </row>
    <row r="25" spans="1:19" x14ac:dyDescent="0.3">
      <c r="A25" s="90"/>
      <c r="B25" s="82" t="s">
        <v>23</v>
      </c>
      <c r="C25" s="82" t="str" cm="1">
        <f t="array" ref="C25">UPPER(INDEX(_xlfn.TEXTSPLIT($D25, "-"), 3))</f>
        <v>DTG</v>
      </c>
      <c r="D25" s="82" t="s">
        <v>970</v>
      </c>
      <c r="E25" s="82" t="s">
        <v>1067</v>
      </c>
      <c r="F25" s="82" t="str">
        <f t="shared" si="4"/>
        <v>p-dtg-mq-lb01-rule1883</v>
      </c>
      <c r="G25" s="82" t="str">
        <f t="shared" si="1"/>
        <v>p-dtg-mq-lb01-fe</v>
      </c>
      <c r="H25" s="82" t="s">
        <v>57</v>
      </c>
      <c r="I25" s="82">
        <v>1883</v>
      </c>
      <c r="J25" s="82" t="b">
        <v>0</v>
      </c>
      <c r="K25" s="82" t="str">
        <f t="shared" si="2"/>
        <v>p-dtg-mq-lb01-bp</v>
      </c>
      <c r="L25" s="82">
        <v>1883</v>
      </c>
      <c r="M25" s="82" t="str">
        <f t="shared" si="5"/>
        <v>p-dtg-mq-lb01-pb1883</v>
      </c>
      <c r="N25" s="82" t="s">
        <v>57</v>
      </c>
      <c r="O25" s="82">
        <v>1883</v>
      </c>
      <c r="P25" s="82">
        <v>4</v>
      </c>
      <c r="Q25" s="82" t="s">
        <v>123</v>
      </c>
      <c r="R25" s="82" t="b">
        <v>1</v>
      </c>
      <c r="S25" s="82" t="b">
        <v>0</v>
      </c>
    </row>
    <row r="26" spans="1:19" x14ac:dyDescent="0.3">
      <c r="A26" s="90"/>
      <c r="B26" s="82" t="s">
        <v>23</v>
      </c>
      <c r="C26" s="82" t="str" cm="1">
        <f t="array" ref="C26">UPPER(INDEX(_xlfn.TEXTSPLIT($D26, "-"), 3))</f>
        <v>DTG</v>
      </c>
      <c r="D26" s="82" t="s">
        <v>970</v>
      </c>
      <c r="E26" s="82" t="s">
        <v>1067</v>
      </c>
      <c r="F26" s="82" t="str">
        <f t="shared" si="4"/>
        <v>p-dtg-mq-lb01-rule1884</v>
      </c>
      <c r="G26" s="82" t="str">
        <f t="shared" si="1"/>
        <v>p-dtg-mq-lb01-fe</v>
      </c>
      <c r="H26" s="82" t="s">
        <v>57</v>
      </c>
      <c r="I26" s="82">
        <v>1884</v>
      </c>
      <c r="J26" s="82" t="b">
        <v>0</v>
      </c>
      <c r="K26" s="82" t="str">
        <f t="shared" si="2"/>
        <v>p-dtg-mq-lb01-bp</v>
      </c>
      <c r="L26" s="82">
        <v>1884</v>
      </c>
      <c r="M26" s="82" t="str">
        <f t="shared" si="5"/>
        <v>p-dtg-mq-lb01-pb1884</v>
      </c>
      <c r="N26" s="82" t="s">
        <v>57</v>
      </c>
      <c r="O26" s="82">
        <v>1884</v>
      </c>
      <c r="P26" s="82">
        <v>4</v>
      </c>
      <c r="Q26" s="82" t="s">
        <v>123</v>
      </c>
      <c r="R26" s="82" t="b">
        <v>1</v>
      </c>
      <c r="S26" s="82" t="b">
        <v>0</v>
      </c>
    </row>
    <row r="27" spans="1:19" x14ac:dyDescent="0.3">
      <c r="A27" s="90"/>
      <c r="B27" s="74" t="s">
        <v>23</v>
      </c>
      <c r="C27" s="74" t="str" cm="1">
        <f t="array" ref="C27">UPPER(INDEX(_xlfn.TEXTSPLIT($D27, "-"), 3))</f>
        <v>DTG</v>
      </c>
      <c r="D27" s="74" t="s">
        <v>970</v>
      </c>
      <c r="E27" s="74" t="s">
        <v>1073</v>
      </c>
      <c r="F27" s="74" t="str">
        <f t="shared" ref="F27:F30" si="6">SUBSTITUTE(E27, "hazr-", "")&amp;"-rule"&amp;O27</f>
        <v>p-dtg-mq-lb02-rule1883</v>
      </c>
      <c r="G27" s="74" t="str">
        <f t="shared" ref="G27:G30" si="7">SUBSTITUTE(E27, "hazr-", "")&amp;"-fe"</f>
        <v>p-dtg-mq-lb02-fe</v>
      </c>
      <c r="H27" s="74" t="s">
        <v>57</v>
      </c>
      <c r="I27" s="74">
        <v>1883</v>
      </c>
      <c r="J27" s="74" t="b">
        <v>0</v>
      </c>
      <c r="K27" s="74" t="str">
        <f t="shared" ref="K27:K30" si="8">SUBSTITUTE(E27, "hazr-", "")&amp;"-bp"</f>
        <v>p-dtg-mq-lb02-bp</v>
      </c>
      <c r="L27" s="74">
        <v>1883</v>
      </c>
      <c r="M27" s="74" t="str">
        <f t="shared" ref="M27:M30" si="9">SUBSTITUTE(E27, "hazr-", "")&amp;"-pb"&amp;IF(O27="", "", O27)</f>
        <v>p-dtg-mq-lb02-pb1883</v>
      </c>
      <c r="N27" s="74" t="s">
        <v>57</v>
      </c>
      <c r="O27" s="74">
        <v>1883</v>
      </c>
      <c r="P27" s="74">
        <v>4</v>
      </c>
      <c r="Q27" s="74" t="s">
        <v>123</v>
      </c>
      <c r="R27" s="74" t="b">
        <v>1</v>
      </c>
      <c r="S27" s="74" t="b">
        <v>0</v>
      </c>
    </row>
    <row r="28" spans="1:19" x14ac:dyDescent="0.3">
      <c r="A28" s="90"/>
      <c r="B28" s="74" t="s">
        <v>23</v>
      </c>
      <c r="C28" s="74" t="str" cm="1">
        <f t="array" ref="C28">UPPER(INDEX(_xlfn.TEXTSPLIT($D28, "-"), 3))</f>
        <v>DTG</v>
      </c>
      <c r="D28" s="74" t="s">
        <v>970</v>
      </c>
      <c r="E28" s="74" t="s">
        <v>1073</v>
      </c>
      <c r="F28" s="74" t="str">
        <f t="shared" si="6"/>
        <v>p-dtg-mq-lb02-rule1884</v>
      </c>
      <c r="G28" s="74" t="str">
        <f t="shared" si="7"/>
        <v>p-dtg-mq-lb02-fe</v>
      </c>
      <c r="H28" s="74" t="s">
        <v>57</v>
      </c>
      <c r="I28" s="74">
        <v>1884</v>
      </c>
      <c r="J28" s="74" t="b">
        <v>0</v>
      </c>
      <c r="K28" s="74" t="str">
        <f t="shared" si="8"/>
        <v>p-dtg-mq-lb02-bp</v>
      </c>
      <c r="L28" s="74">
        <v>1884</v>
      </c>
      <c r="M28" s="74" t="str">
        <f t="shared" si="9"/>
        <v>p-dtg-mq-lb02-pb1884</v>
      </c>
      <c r="N28" s="74" t="s">
        <v>57</v>
      </c>
      <c r="O28" s="74">
        <v>1884</v>
      </c>
      <c r="P28" s="74">
        <v>4</v>
      </c>
      <c r="Q28" s="74" t="s">
        <v>123</v>
      </c>
      <c r="R28" s="74" t="b">
        <v>1</v>
      </c>
      <c r="S28" s="74" t="b">
        <v>0</v>
      </c>
    </row>
    <row r="29" spans="1:19" x14ac:dyDescent="0.3">
      <c r="A29" s="90"/>
      <c r="B29" s="82" t="s">
        <v>23</v>
      </c>
      <c r="C29" s="82" t="str" cm="1">
        <f t="array" ref="C29">UPPER(INDEX(_xlfn.TEXTSPLIT($D29, "-"), 3))</f>
        <v>DTG</v>
      </c>
      <c r="D29" s="82" t="s">
        <v>970</v>
      </c>
      <c r="E29" s="82" t="s">
        <v>1072</v>
      </c>
      <c r="F29" s="82" t="str">
        <f t="shared" si="6"/>
        <v>p-dtg-mq-lb03-rule1883</v>
      </c>
      <c r="G29" s="82" t="str">
        <f t="shared" si="7"/>
        <v>p-dtg-mq-lb03-fe</v>
      </c>
      <c r="H29" s="82" t="s">
        <v>57</v>
      </c>
      <c r="I29" s="82">
        <v>1883</v>
      </c>
      <c r="J29" s="82" t="b">
        <v>0</v>
      </c>
      <c r="K29" s="82" t="str">
        <f t="shared" si="8"/>
        <v>p-dtg-mq-lb03-bp</v>
      </c>
      <c r="L29" s="82">
        <v>1883</v>
      </c>
      <c r="M29" s="82" t="str">
        <f t="shared" si="9"/>
        <v>p-dtg-mq-lb03-pb1883</v>
      </c>
      <c r="N29" s="82" t="s">
        <v>57</v>
      </c>
      <c r="O29" s="82">
        <v>1883</v>
      </c>
      <c r="P29" s="82">
        <v>4</v>
      </c>
      <c r="Q29" s="82" t="s">
        <v>123</v>
      </c>
      <c r="R29" s="82" t="b">
        <v>1</v>
      </c>
      <c r="S29" s="82" t="b">
        <v>0</v>
      </c>
    </row>
    <row r="30" spans="1:19" x14ac:dyDescent="0.3">
      <c r="A30" s="90"/>
      <c r="B30" s="82" t="s">
        <v>23</v>
      </c>
      <c r="C30" s="82" t="str" cm="1">
        <f t="array" ref="C30">UPPER(INDEX(_xlfn.TEXTSPLIT($D30, "-"), 3))</f>
        <v>DTG</v>
      </c>
      <c r="D30" s="82" t="s">
        <v>970</v>
      </c>
      <c r="E30" s="82" t="s">
        <v>1072</v>
      </c>
      <c r="F30" s="82" t="str">
        <f t="shared" si="6"/>
        <v>p-dtg-mq-lb03-rule1884</v>
      </c>
      <c r="G30" s="82" t="str">
        <f t="shared" si="7"/>
        <v>p-dtg-mq-lb03-fe</v>
      </c>
      <c r="H30" s="82" t="s">
        <v>57</v>
      </c>
      <c r="I30" s="82">
        <v>1884</v>
      </c>
      <c r="J30" s="82" t="b">
        <v>0</v>
      </c>
      <c r="K30" s="82" t="str">
        <f t="shared" si="8"/>
        <v>p-dtg-mq-lb03-bp</v>
      </c>
      <c r="L30" s="82">
        <v>1884</v>
      </c>
      <c r="M30" s="82" t="str">
        <f t="shared" si="9"/>
        <v>p-dtg-mq-lb03-pb1884</v>
      </c>
      <c r="N30" s="82" t="s">
        <v>57</v>
      </c>
      <c r="O30" s="82">
        <v>1884</v>
      </c>
      <c r="P30" s="82">
        <v>4</v>
      </c>
      <c r="Q30" s="82" t="s">
        <v>123</v>
      </c>
      <c r="R30" s="82" t="b">
        <v>1</v>
      </c>
      <c r="S30" s="82" t="b">
        <v>0</v>
      </c>
    </row>
    <row r="31" spans="1:19" x14ac:dyDescent="0.3">
      <c r="A31" s="90"/>
      <c r="B31" s="74" t="s">
        <v>23</v>
      </c>
      <c r="C31" s="74" t="str" cm="1">
        <f t="array" ref="C31">UPPER(INDEX(_xlfn.TEXTSPLIT($D31, "-"), 3))</f>
        <v>DTG</v>
      </c>
      <c r="D31" s="74" t="s">
        <v>970</v>
      </c>
      <c r="E31" s="74" t="s">
        <v>945</v>
      </c>
      <c r="F31" s="74" t="str">
        <f t="shared" si="4"/>
        <v>p-dtg-admweb-lb-rule8088</v>
      </c>
      <c r="G31" s="74" t="str">
        <f t="shared" si="1"/>
        <v>p-dtg-admweb-lb-fe</v>
      </c>
      <c r="H31" s="74" t="s">
        <v>57</v>
      </c>
      <c r="I31" s="74">
        <v>8088</v>
      </c>
      <c r="J31" s="74" t="b">
        <v>0</v>
      </c>
      <c r="K31" s="74" t="str">
        <f t="shared" si="2"/>
        <v>p-dtg-admweb-lb-bp</v>
      </c>
      <c r="L31" s="74">
        <v>8088</v>
      </c>
      <c r="M31" s="74" t="str">
        <f t="shared" si="5"/>
        <v>p-dtg-admweb-lb-pb8088</v>
      </c>
      <c r="N31" s="74" t="s">
        <v>57</v>
      </c>
      <c r="O31" s="74">
        <v>8088</v>
      </c>
      <c r="P31" s="74">
        <v>4</v>
      </c>
      <c r="Q31" s="74" t="s">
        <v>123</v>
      </c>
      <c r="R31" s="74" t="b">
        <v>1</v>
      </c>
      <c r="S31" s="74" t="b">
        <v>0</v>
      </c>
    </row>
    <row r="32" spans="1:19" x14ac:dyDescent="0.3">
      <c r="A32" s="90"/>
      <c r="B32" s="82" t="s">
        <v>23</v>
      </c>
      <c r="C32" s="82" t="str" cm="1">
        <f t="array" ref="C32">UPPER(INDEX(_xlfn.TEXTSPLIT($D32, "-"), 3))</f>
        <v>DTG</v>
      </c>
      <c r="D32" s="82" t="s">
        <v>970</v>
      </c>
      <c r="E32" s="82" t="s">
        <v>1028</v>
      </c>
      <c r="F32" s="82" t="str">
        <f t="shared" si="4"/>
        <v>p-dtg-admap-lb-rule8085</v>
      </c>
      <c r="G32" s="82" t="str">
        <f t="shared" si="1"/>
        <v>p-dtg-admap-lb-fe</v>
      </c>
      <c r="H32" s="82" t="s">
        <v>57</v>
      </c>
      <c r="I32" s="82">
        <v>8085</v>
      </c>
      <c r="J32" s="82" t="b">
        <v>0</v>
      </c>
      <c r="K32" s="82" t="str">
        <f t="shared" si="2"/>
        <v>p-dtg-admap-lb-bp</v>
      </c>
      <c r="L32" s="82">
        <v>8085</v>
      </c>
      <c r="M32" s="82" t="str">
        <f t="shared" si="5"/>
        <v>p-dtg-admap-lb-pb8085</v>
      </c>
      <c r="N32" s="82" t="s">
        <v>57</v>
      </c>
      <c r="O32" s="82">
        <v>8085</v>
      </c>
      <c r="P32" s="82">
        <v>4</v>
      </c>
      <c r="Q32" s="82" t="s">
        <v>123</v>
      </c>
      <c r="R32" s="82" t="b">
        <v>1</v>
      </c>
      <c r="S32" s="82" t="b">
        <v>0</v>
      </c>
    </row>
    <row r="33" spans="1:19" x14ac:dyDescent="0.3">
      <c r="A33" s="90"/>
      <c r="B33" s="82" t="s">
        <v>23</v>
      </c>
      <c r="C33" s="82" t="str" cm="1">
        <f t="array" ref="C33">UPPER(INDEX(_xlfn.TEXTSPLIT($D33, "-"), 3))</f>
        <v>DTG</v>
      </c>
      <c r="D33" s="82" t="s">
        <v>970</v>
      </c>
      <c r="E33" s="82" t="s">
        <v>1028</v>
      </c>
      <c r="F33" s="82" t="str">
        <f t="shared" ref="F33:F62" si="10">SUBSTITUTE(E33, "hazr-", "")&amp;"-rule"&amp;O33</f>
        <v>p-dtg-admap-lb-rule8087</v>
      </c>
      <c r="G33" s="82" t="str">
        <f t="shared" si="1"/>
        <v>p-dtg-admap-lb-fe</v>
      </c>
      <c r="H33" s="82" t="s">
        <v>57</v>
      </c>
      <c r="I33" s="82">
        <v>8087</v>
      </c>
      <c r="J33" s="82" t="b">
        <v>0</v>
      </c>
      <c r="K33" s="82" t="str">
        <f t="shared" si="2"/>
        <v>p-dtg-admap-lb-bp</v>
      </c>
      <c r="L33" s="82">
        <v>8087</v>
      </c>
      <c r="M33" s="82" t="str">
        <f t="shared" ref="M33:M62" si="11">SUBSTITUTE(E33, "hazr-", "")&amp;"-pb"&amp;IF(O33="", "", O33)</f>
        <v>p-dtg-admap-lb-pb8087</v>
      </c>
      <c r="N33" s="82" t="s">
        <v>57</v>
      </c>
      <c r="O33" s="82">
        <v>8087</v>
      </c>
      <c r="P33" s="82">
        <v>4</v>
      </c>
      <c r="Q33" s="82" t="s">
        <v>123</v>
      </c>
      <c r="R33" s="82" t="b">
        <v>1</v>
      </c>
      <c r="S33" s="82" t="b">
        <v>0</v>
      </c>
    </row>
    <row r="34" spans="1:19" x14ac:dyDescent="0.3">
      <c r="A34" s="90"/>
      <c r="B34" s="74" t="s">
        <v>23</v>
      </c>
      <c r="C34" s="74" t="str" cm="1">
        <f t="array" ref="C34">UPPER(INDEX(_xlfn.TEXTSPLIT($D34, "-"), 3))</f>
        <v>DTG</v>
      </c>
      <c r="D34" s="74" t="s">
        <v>970</v>
      </c>
      <c r="E34" s="74" t="s">
        <v>947</v>
      </c>
      <c r="F34" s="74" t="str">
        <f t="shared" si="10"/>
        <v>p-dtg-web-lb-rule8080</v>
      </c>
      <c r="G34" s="74" t="str">
        <f t="shared" si="1"/>
        <v>p-dtg-web-lb-fe</v>
      </c>
      <c r="H34" s="74" t="s">
        <v>57</v>
      </c>
      <c r="I34" s="74">
        <v>8080</v>
      </c>
      <c r="J34" s="74" t="b">
        <v>0</v>
      </c>
      <c r="K34" s="74" t="str">
        <f t="shared" si="2"/>
        <v>p-dtg-web-lb-bp</v>
      </c>
      <c r="L34" s="74">
        <v>8080</v>
      </c>
      <c r="M34" s="74" t="str">
        <f t="shared" si="11"/>
        <v>p-dtg-web-lb-pb8080</v>
      </c>
      <c r="N34" s="74" t="s">
        <v>57</v>
      </c>
      <c r="O34" s="74">
        <v>8080</v>
      </c>
      <c r="P34" s="74">
        <v>4</v>
      </c>
      <c r="Q34" s="74" t="s">
        <v>123</v>
      </c>
      <c r="R34" s="74" t="b">
        <v>1</v>
      </c>
      <c r="S34" s="74" t="b">
        <v>0</v>
      </c>
    </row>
    <row r="35" spans="1:19" x14ac:dyDescent="0.3">
      <c r="A35" s="90"/>
      <c r="B35" s="74" t="s">
        <v>23</v>
      </c>
      <c r="C35" s="74" t="str" cm="1">
        <f t="array" ref="C35">UPPER(INDEX(_xlfn.TEXTSPLIT($D35, "-"), 3))</f>
        <v>DTG</v>
      </c>
      <c r="D35" s="74" t="s">
        <v>970</v>
      </c>
      <c r="E35" s="74" t="s">
        <v>947</v>
      </c>
      <c r="F35" s="74" t="str">
        <f t="shared" si="10"/>
        <v>p-dtg-web-lb-rule8081</v>
      </c>
      <c r="G35" s="74" t="str">
        <f t="shared" si="1"/>
        <v>p-dtg-web-lb-fe</v>
      </c>
      <c r="H35" s="74" t="s">
        <v>57</v>
      </c>
      <c r="I35" s="74">
        <v>8081</v>
      </c>
      <c r="J35" s="74" t="b">
        <v>0</v>
      </c>
      <c r="K35" s="74" t="str">
        <f t="shared" si="2"/>
        <v>p-dtg-web-lb-bp</v>
      </c>
      <c r="L35" s="74">
        <v>8081</v>
      </c>
      <c r="M35" s="74" t="str">
        <f t="shared" si="11"/>
        <v>p-dtg-web-lb-pb8081</v>
      </c>
      <c r="N35" s="74" t="s">
        <v>57</v>
      </c>
      <c r="O35" s="74">
        <v>8081</v>
      </c>
      <c r="P35" s="74">
        <v>4</v>
      </c>
      <c r="Q35" s="74" t="s">
        <v>123</v>
      </c>
      <c r="R35" s="74" t="b">
        <v>1</v>
      </c>
      <c r="S35" s="74" t="b">
        <v>0</v>
      </c>
    </row>
    <row r="36" spans="1:19" x14ac:dyDescent="0.3">
      <c r="A36" s="90"/>
      <c r="B36" s="82" t="s">
        <v>23</v>
      </c>
      <c r="C36" s="82" t="str" cm="1">
        <f t="array" ref="C36">UPPER(INDEX(_xlfn.TEXTSPLIT($D36, "-"), 3))</f>
        <v>DTG</v>
      </c>
      <c r="D36" s="82" t="s">
        <v>970</v>
      </c>
      <c r="E36" s="82" t="s">
        <v>1029</v>
      </c>
      <c r="F36" s="82" t="str">
        <f t="shared" si="10"/>
        <v>p-dtg-cdmlap-lb-rule3000</v>
      </c>
      <c r="G36" s="82" t="str">
        <f t="shared" ref="G36:G62" si="12">SUBSTITUTE(E36, "hazr-", "")&amp;"-fe"</f>
        <v>p-dtg-cdmlap-lb-fe</v>
      </c>
      <c r="H36" s="82" t="s">
        <v>57</v>
      </c>
      <c r="I36" s="82">
        <v>3000</v>
      </c>
      <c r="J36" s="82" t="b">
        <v>0</v>
      </c>
      <c r="K36" s="82" t="str">
        <f t="shared" ref="K36:K62" si="13">SUBSTITUTE(E36, "hazr-", "")&amp;"-bp"</f>
        <v>p-dtg-cdmlap-lb-bp</v>
      </c>
      <c r="L36" s="82">
        <v>3000</v>
      </c>
      <c r="M36" s="82" t="str">
        <f t="shared" si="11"/>
        <v>p-dtg-cdmlap-lb-pb3000</v>
      </c>
      <c r="N36" s="82" t="s">
        <v>57</v>
      </c>
      <c r="O36" s="82">
        <v>3000</v>
      </c>
      <c r="P36" s="82">
        <v>4</v>
      </c>
      <c r="Q36" s="82" t="s">
        <v>123</v>
      </c>
      <c r="R36" s="82" t="b">
        <v>1</v>
      </c>
      <c r="S36" s="82" t="b">
        <v>0</v>
      </c>
    </row>
    <row r="37" spans="1:19" x14ac:dyDescent="0.3">
      <c r="A37" s="90"/>
      <c r="B37" s="74" t="s">
        <v>23</v>
      </c>
      <c r="C37" s="74" t="str" cm="1">
        <f t="array" ref="C37">UPPER(INDEX(_xlfn.TEXTSPLIT($D37, "-"), 3))</f>
        <v>DTG</v>
      </c>
      <c r="D37" s="74" t="s">
        <v>970</v>
      </c>
      <c r="E37" s="74" t="s">
        <v>949</v>
      </c>
      <c r="F37" s="74" t="str">
        <f t="shared" si="10"/>
        <v>p-dtg-cdstap-lb-rule9305</v>
      </c>
      <c r="G37" s="74" t="str">
        <f t="shared" si="12"/>
        <v>p-dtg-cdstap-lb-fe</v>
      </c>
      <c r="H37" s="74" t="s">
        <v>57</v>
      </c>
      <c r="I37" s="74">
        <v>9305</v>
      </c>
      <c r="J37" s="74" t="b">
        <v>0</v>
      </c>
      <c r="K37" s="74" t="str">
        <f t="shared" si="13"/>
        <v>p-dtg-cdstap-lb-bp</v>
      </c>
      <c r="L37" s="74">
        <v>9305</v>
      </c>
      <c r="M37" s="74" t="str">
        <f t="shared" si="11"/>
        <v>p-dtg-cdstap-lb-pb9305</v>
      </c>
      <c r="N37" s="74" t="s">
        <v>57</v>
      </c>
      <c r="O37" s="74">
        <v>9305</v>
      </c>
      <c r="P37" s="74">
        <v>4</v>
      </c>
      <c r="Q37" s="74" t="s">
        <v>123</v>
      </c>
      <c r="R37" s="74" t="b">
        <v>1</v>
      </c>
      <c r="S37" s="74" t="b">
        <v>0</v>
      </c>
    </row>
    <row r="38" spans="1:19" x14ac:dyDescent="0.3">
      <c r="A38" s="90"/>
      <c r="B38" s="74" t="s">
        <v>23</v>
      </c>
      <c r="C38" s="74" t="str" cm="1">
        <f t="array" ref="C38">UPPER(INDEX(_xlfn.TEXTSPLIT($D38, "-"), 3))</f>
        <v>DTG</v>
      </c>
      <c r="D38" s="74" t="s">
        <v>970</v>
      </c>
      <c r="E38" s="74" t="s">
        <v>949</v>
      </c>
      <c r="F38" s="74" t="str">
        <f t="shared" si="10"/>
        <v>p-dtg-cdstap-lb-rule9306</v>
      </c>
      <c r="G38" s="74" t="str">
        <f t="shared" si="12"/>
        <v>p-dtg-cdstap-lb-fe</v>
      </c>
      <c r="H38" s="74" t="s">
        <v>57</v>
      </c>
      <c r="I38" s="74">
        <v>9306</v>
      </c>
      <c r="J38" s="74" t="b">
        <v>0</v>
      </c>
      <c r="K38" s="74" t="str">
        <f t="shared" si="13"/>
        <v>p-dtg-cdstap-lb-bp</v>
      </c>
      <c r="L38" s="74">
        <v>9306</v>
      </c>
      <c r="M38" s="74" t="str">
        <f t="shared" si="11"/>
        <v>p-dtg-cdstap-lb-pb9306</v>
      </c>
      <c r="N38" s="74" t="s">
        <v>57</v>
      </c>
      <c r="O38" s="74">
        <v>9306</v>
      </c>
      <c r="P38" s="74">
        <v>4</v>
      </c>
      <c r="Q38" s="74" t="s">
        <v>123</v>
      </c>
      <c r="R38" s="74" t="b">
        <v>1</v>
      </c>
      <c r="S38" s="74" t="b">
        <v>0</v>
      </c>
    </row>
    <row r="39" spans="1:19" x14ac:dyDescent="0.3">
      <c r="A39" s="90"/>
      <c r="B39" s="82" t="s">
        <v>23</v>
      </c>
      <c r="C39" s="82" t="str" cm="1">
        <f t="array" ref="C39">UPPER(INDEX(_xlfn.TEXTSPLIT($D39, "-"), 3))</f>
        <v>DTG</v>
      </c>
      <c r="D39" s="82" t="s">
        <v>970</v>
      </c>
      <c r="E39" s="82" t="s">
        <v>1030</v>
      </c>
      <c r="F39" s="82" t="str">
        <f t="shared" si="10"/>
        <v>p-dtg-cdsvadm-lb-rule9100</v>
      </c>
      <c r="G39" s="82" t="str">
        <f t="shared" si="12"/>
        <v>p-dtg-cdsvadm-lb-fe</v>
      </c>
      <c r="H39" s="82" t="s">
        <v>57</v>
      </c>
      <c r="I39" s="82">
        <v>9100</v>
      </c>
      <c r="J39" s="82" t="b">
        <v>0</v>
      </c>
      <c r="K39" s="82" t="str">
        <f t="shared" si="13"/>
        <v>p-dtg-cdsvadm-lb-bp</v>
      </c>
      <c r="L39" s="82">
        <v>9100</v>
      </c>
      <c r="M39" s="82" t="str">
        <f t="shared" si="11"/>
        <v>p-dtg-cdsvadm-lb-pb9100</v>
      </c>
      <c r="N39" s="82" t="s">
        <v>57</v>
      </c>
      <c r="O39" s="82">
        <v>9100</v>
      </c>
      <c r="P39" s="82">
        <v>4</v>
      </c>
      <c r="Q39" s="82" t="s">
        <v>123</v>
      </c>
      <c r="R39" s="82" t="b">
        <v>1</v>
      </c>
      <c r="S39" s="82" t="b">
        <v>0</v>
      </c>
    </row>
    <row r="40" spans="1:19" x14ac:dyDescent="0.3">
      <c r="A40" s="90"/>
      <c r="B40" s="82" t="s">
        <v>23</v>
      </c>
      <c r="C40" s="82" t="str" cm="1">
        <f t="array" ref="C40">UPPER(INDEX(_xlfn.TEXTSPLIT($D40, "-"), 3))</f>
        <v>DTG</v>
      </c>
      <c r="D40" s="82" t="s">
        <v>970</v>
      </c>
      <c r="E40" s="82" t="s">
        <v>1030</v>
      </c>
      <c r="F40" s="82" t="str">
        <f t="shared" si="10"/>
        <v>p-dtg-cdsvadm-lb-rule9300</v>
      </c>
      <c r="G40" s="82" t="str">
        <f t="shared" si="12"/>
        <v>p-dtg-cdsvadm-lb-fe</v>
      </c>
      <c r="H40" s="82" t="s">
        <v>57</v>
      </c>
      <c r="I40" s="82">
        <v>9300</v>
      </c>
      <c r="J40" s="82" t="b">
        <v>0</v>
      </c>
      <c r="K40" s="82" t="str">
        <f t="shared" si="13"/>
        <v>p-dtg-cdsvadm-lb-bp</v>
      </c>
      <c r="L40" s="82">
        <v>9300</v>
      </c>
      <c r="M40" s="82" t="str">
        <f t="shared" si="11"/>
        <v>p-dtg-cdsvadm-lb-pb9300</v>
      </c>
      <c r="N40" s="82" t="s">
        <v>57</v>
      </c>
      <c r="O40" s="82">
        <v>9300</v>
      </c>
      <c r="P40" s="82">
        <v>4</v>
      </c>
      <c r="Q40" s="82" t="s">
        <v>123</v>
      </c>
      <c r="R40" s="82" t="b">
        <v>1</v>
      </c>
      <c r="S40" s="82" t="b">
        <v>0</v>
      </c>
    </row>
    <row r="41" spans="1:19" x14ac:dyDescent="0.3">
      <c r="A41" s="90"/>
      <c r="B41" s="82" t="s">
        <v>23</v>
      </c>
      <c r="C41" s="82" t="str" cm="1">
        <f t="array" ref="C41">UPPER(INDEX(_xlfn.TEXTSPLIT($D41, "-"), 3))</f>
        <v>DTG</v>
      </c>
      <c r="D41" s="82" t="s">
        <v>970</v>
      </c>
      <c r="E41" s="82" t="s">
        <v>1030</v>
      </c>
      <c r="F41" s="82" t="str">
        <f t="shared" si="10"/>
        <v>p-dtg-cdsvadm-lb-rule9105</v>
      </c>
      <c r="G41" s="82" t="str">
        <f t="shared" si="12"/>
        <v>p-dtg-cdsvadm-lb-fe</v>
      </c>
      <c r="H41" s="82" t="s">
        <v>57</v>
      </c>
      <c r="I41" s="82">
        <v>9105</v>
      </c>
      <c r="J41" s="82" t="b">
        <v>0</v>
      </c>
      <c r="K41" s="82" t="str">
        <f t="shared" si="13"/>
        <v>p-dtg-cdsvadm-lb-bp</v>
      </c>
      <c r="L41" s="82">
        <v>9105</v>
      </c>
      <c r="M41" s="82" t="str">
        <f t="shared" si="11"/>
        <v>p-dtg-cdsvadm-lb-pb9105</v>
      </c>
      <c r="N41" s="82" t="s">
        <v>57</v>
      </c>
      <c r="O41" s="82">
        <v>9105</v>
      </c>
      <c r="P41" s="82">
        <v>4</v>
      </c>
      <c r="Q41" s="82" t="s">
        <v>123</v>
      </c>
      <c r="R41" s="82" t="b">
        <v>1</v>
      </c>
      <c r="S41" s="82" t="b">
        <v>0</v>
      </c>
    </row>
    <row r="42" spans="1:19" x14ac:dyDescent="0.3">
      <c r="A42" s="90"/>
      <c r="B42" s="82" t="s">
        <v>23</v>
      </c>
      <c r="C42" s="82" t="str" cm="1">
        <f t="array" ref="C42">UPPER(INDEX(_xlfn.TEXTSPLIT($D42, "-"), 3))</f>
        <v>DTG</v>
      </c>
      <c r="D42" s="82" t="s">
        <v>970</v>
      </c>
      <c r="E42" s="82" t="s">
        <v>1030</v>
      </c>
      <c r="F42" s="82" t="str">
        <f t="shared" si="10"/>
        <v>p-dtg-cdsvadm-lb-rule9003</v>
      </c>
      <c r="G42" s="82" t="str">
        <f t="shared" si="12"/>
        <v>p-dtg-cdsvadm-lb-fe</v>
      </c>
      <c r="H42" s="82" t="s">
        <v>57</v>
      </c>
      <c r="I42" s="82">
        <v>9003</v>
      </c>
      <c r="J42" s="82" t="b">
        <v>0</v>
      </c>
      <c r="K42" s="82" t="str">
        <f t="shared" si="13"/>
        <v>p-dtg-cdsvadm-lb-bp</v>
      </c>
      <c r="L42" s="82">
        <v>9003</v>
      </c>
      <c r="M42" s="82" t="str">
        <f t="shared" si="11"/>
        <v>p-dtg-cdsvadm-lb-pb9003</v>
      </c>
      <c r="N42" s="82" t="s">
        <v>57</v>
      </c>
      <c r="O42" s="82">
        <v>9003</v>
      </c>
      <c r="P42" s="82">
        <v>4</v>
      </c>
      <c r="Q42" s="82" t="s">
        <v>123</v>
      </c>
      <c r="R42" s="82" t="b">
        <v>1</v>
      </c>
      <c r="S42" s="82" t="b">
        <v>0</v>
      </c>
    </row>
    <row r="43" spans="1:19" x14ac:dyDescent="0.3">
      <c r="A43" s="90"/>
      <c r="B43" s="82" t="s">
        <v>23</v>
      </c>
      <c r="C43" s="82" t="str" cm="1">
        <f t="array" ref="C43">UPPER(INDEX(_xlfn.TEXTSPLIT($D43, "-"), 3))</f>
        <v>DTG</v>
      </c>
      <c r="D43" s="82" t="s">
        <v>970</v>
      </c>
      <c r="E43" s="82" t="s">
        <v>1030</v>
      </c>
      <c r="F43" s="82" t="str">
        <f t="shared" si="10"/>
        <v>p-dtg-cdsvadm-lb-rule8088</v>
      </c>
      <c r="G43" s="82" t="str">
        <f t="shared" si="12"/>
        <v>p-dtg-cdsvadm-lb-fe</v>
      </c>
      <c r="H43" s="82" t="s">
        <v>57</v>
      </c>
      <c r="I43" s="82">
        <v>8088</v>
      </c>
      <c r="J43" s="82" t="b">
        <v>0</v>
      </c>
      <c r="K43" s="82" t="str">
        <f t="shared" si="13"/>
        <v>p-dtg-cdsvadm-lb-bp</v>
      </c>
      <c r="L43" s="82">
        <v>8088</v>
      </c>
      <c r="M43" s="82" t="str">
        <f t="shared" si="11"/>
        <v>p-dtg-cdsvadm-lb-pb8088</v>
      </c>
      <c r="N43" s="82" t="s">
        <v>57</v>
      </c>
      <c r="O43" s="82">
        <v>8088</v>
      </c>
      <c r="P43" s="82">
        <v>4</v>
      </c>
      <c r="Q43" s="82" t="s">
        <v>123</v>
      </c>
      <c r="R43" s="82" t="b">
        <v>1</v>
      </c>
      <c r="S43" s="82" t="b">
        <v>0</v>
      </c>
    </row>
    <row r="44" spans="1:19" x14ac:dyDescent="0.3">
      <c r="A44" s="90"/>
      <c r="B44" s="74" t="s">
        <v>23</v>
      </c>
      <c r="C44" s="74" t="str" cm="1">
        <f t="array" ref="C44">UPPER(INDEX(_xlfn.TEXTSPLIT($D44, "-"), 3))</f>
        <v>DTG</v>
      </c>
      <c r="D44" s="74" t="s">
        <v>970</v>
      </c>
      <c r="E44" s="74" t="s">
        <v>951</v>
      </c>
      <c r="F44" s="74" t="str">
        <f t="shared" si="10"/>
        <v>p-dtg-diosap-lb-rule8080</v>
      </c>
      <c r="G44" s="74" t="str">
        <f t="shared" si="12"/>
        <v>p-dtg-diosap-lb-fe</v>
      </c>
      <c r="H44" s="74" t="s">
        <v>57</v>
      </c>
      <c r="I44" s="74">
        <v>8080</v>
      </c>
      <c r="J44" s="74" t="b">
        <v>0</v>
      </c>
      <c r="K44" s="74" t="str">
        <f t="shared" si="13"/>
        <v>p-dtg-diosap-lb-bp</v>
      </c>
      <c r="L44" s="74">
        <v>8080</v>
      </c>
      <c r="M44" s="74" t="str">
        <f t="shared" si="11"/>
        <v>p-dtg-diosap-lb-pb8080</v>
      </c>
      <c r="N44" s="74" t="s">
        <v>57</v>
      </c>
      <c r="O44" s="74">
        <v>8080</v>
      </c>
      <c r="P44" s="74">
        <v>4</v>
      </c>
      <c r="Q44" s="74" t="s">
        <v>123</v>
      </c>
      <c r="R44" s="74" t="b">
        <v>1</v>
      </c>
      <c r="S44" s="74" t="b">
        <v>0</v>
      </c>
    </row>
    <row r="45" spans="1:19" x14ac:dyDescent="0.3">
      <c r="A45" s="90"/>
      <c r="B45" s="82" t="s">
        <v>23</v>
      </c>
      <c r="C45" s="82" t="str" cm="1">
        <f t="array" ref="C45">UPPER(INDEX(_xlfn.TEXTSPLIT($D45, "-"), 3))</f>
        <v>DTG</v>
      </c>
      <c r="D45" s="82" t="s">
        <v>970</v>
      </c>
      <c r="E45" s="82" t="s">
        <v>1031</v>
      </c>
      <c r="F45" s="82" t="str">
        <f t="shared" si="10"/>
        <v>p-dtg-diosweb-lb-rule443</v>
      </c>
      <c r="G45" s="82" t="str">
        <f t="shared" si="12"/>
        <v>p-dtg-diosweb-lb-fe</v>
      </c>
      <c r="H45" s="82" t="s">
        <v>57</v>
      </c>
      <c r="I45" s="82">
        <v>443</v>
      </c>
      <c r="J45" s="82" t="b">
        <v>0</v>
      </c>
      <c r="K45" s="82" t="str">
        <f t="shared" si="13"/>
        <v>p-dtg-diosweb-lb-bp</v>
      </c>
      <c r="L45" s="82">
        <v>443</v>
      </c>
      <c r="M45" s="82" t="str">
        <f t="shared" si="11"/>
        <v>p-dtg-diosweb-lb-pb443</v>
      </c>
      <c r="N45" s="82" t="s">
        <v>57</v>
      </c>
      <c r="O45" s="82">
        <v>443</v>
      </c>
      <c r="P45" s="82">
        <v>4</v>
      </c>
      <c r="Q45" s="82" t="s">
        <v>123</v>
      </c>
      <c r="R45" s="82" t="b">
        <v>1</v>
      </c>
      <c r="S45" s="82" t="b">
        <v>0</v>
      </c>
    </row>
    <row r="46" spans="1:19" x14ac:dyDescent="0.3">
      <c r="A46" s="90"/>
      <c r="B46" s="74" t="s">
        <v>23</v>
      </c>
      <c r="C46" s="74" t="str" cm="1">
        <f t="array" ref="C46">UPPER(INDEX(_xlfn.TEXTSPLIT($D46, "-"), 3))</f>
        <v>DTG</v>
      </c>
      <c r="D46" s="74" t="s">
        <v>970</v>
      </c>
      <c r="E46" s="74" t="s">
        <v>953</v>
      </c>
      <c r="F46" s="74" t="str">
        <f t="shared" si="10"/>
        <v>p-dtg-dprweb-lb-rule443</v>
      </c>
      <c r="G46" s="74" t="str">
        <f t="shared" si="12"/>
        <v>p-dtg-dprweb-lb-fe</v>
      </c>
      <c r="H46" s="74" t="s">
        <v>57</v>
      </c>
      <c r="I46" s="74">
        <v>443</v>
      </c>
      <c r="J46" s="74" t="b">
        <v>0</v>
      </c>
      <c r="K46" s="74" t="str">
        <f t="shared" si="13"/>
        <v>p-dtg-dprweb-lb-bp</v>
      </c>
      <c r="L46" s="74">
        <v>443</v>
      </c>
      <c r="M46" s="74" t="str">
        <f t="shared" si="11"/>
        <v>p-dtg-dprweb-lb-pb443</v>
      </c>
      <c r="N46" s="74" t="s">
        <v>57</v>
      </c>
      <c r="O46" s="74">
        <v>443</v>
      </c>
      <c r="P46" s="74">
        <v>4</v>
      </c>
      <c r="Q46" s="74" t="s">
        <v>123</v>
      </c>
      <c r="R46" s="74" t="b">
        <v>1</v>
      </c>
      <c r="S46" s="74" t="b">
        <v>0</v>
      </c>
    </row>
    <row r="47" spans="1:19" x14ac:dyDescent="0.3">
      <c r="A47" s="90"/>
      <c r="B47" s="82" t="s">
        <v>23</v>
      </c>
      <c r="C47" s="82" t="str" cm="1">
        <f t="array" ref="C47">UPPER(INDEX(_xlfn.TEXTSPLIT($D47, "-"), 3))</f>
        <v>DTG</v>
      </c>
      <c r="D47" s="82" t="s">
        <v>970</v>
      </c>
      <c r="E47" s="82" t="s">
        <v>1032</v>
      </c>
      <c r="F47" s="82" t="str">
        <f t="shared" si="10"/>
        <v>p-dtg-dprap-lb-rule8082</v>
      </c>
      <c r="G47" s="82" t="str">
        <f t="shared" si="12"/>
        <v>p-dtg-dprap-lb-fe</v>
      </c>
      <c r="H47" s="82" t="s">
        <v>57</v>
      </c>
      <c r="I47" s="82">
        <v>8082</v>
      </c>
      <c r="J47" s="82" t="b">
        <v>0</v>
      </c>
      <c r="K47" s="82" t="str">
        <f t="shared" si="13"/>
        <v>p-dtg-dprap-lb-bp</v>
      </c>
      <c r="L47" s="82">
        <v>8082</v>
      </c>
      <c r="M47" s="82" t="str">
        <f t="shared" si="11"/>
        <v>p-dtg-dprap-lb-pb8082</v>
      </c>
      <c r="N47" s="82" t="s">
        <v>57</v>
      </c>
      <c r="O47" s="82">
        <v>8082</v>
      </c>
      <c r="P47" s="82">
        <v>4</v>
      </c>
      <c r="Q47" s="82" t="s">
        <v>123</v>
      </c>
      <c r="R47" s="82" t="b">
        <v>1</v>
      </c>
      <c r="S47" s="82" t="b">
        <v>0</v>
      </c>
    </row>
    <row r="48" spans="1:19" x14ac:dyDescent="0.3">
      <c r="A48" s="90"/>
      <c r="B48" s="74" t="s">
        <v>23</v>
      </c>
      <c r="C48" s="74" t="str" cm="1">
        <f t="array" ref="C48">UPPER(INDEX(_xlfn.TEXTSPLIT($D48, "-"), 3))</f>
        <v>BDP</v>
      </c>
      <c r="D48" s="74" t="s">
        <v>971</v>
      </c>
      <c r="E48" s="74" t="s">
        <v>955</v>
      </c>
      <c r="F48" s="74" t="str">
        <f t="shared" si="10"/>
        <v>p-bdp-cxmadm-lb-rule443</v>
      </c>
      <c r="G48" s="74" t="str">
        <f t="shared" si="12"/>
        <v>p-bdp-cxmadm-lb-fe</v>
      </c>
      <c r="H48" s="74" t="s">
        <v>57</v>
      </c>
      <c r="I48" s="74">
        <v>443</v>
      </c>
      <c r="J48" s="74" t="b">
        <v>0</v>
      </c>
      <c r="K48" s="74" t="str">
        <f t="shared" si="13"/>
        <v>p-bdp-cxmadm-lb-bp</v>
      </c>
      <c r="L48" s="74">
        <v>443</v>
      </c>
      <c r="M48" s="74" t="str">
        <f t="shared" si="11"/>
        <v>p-bdp-cxmadm-lb-pb443</v>
      </c>
      <c r="N48" s="74" t="s">
        <v>57</v>
      </c>
      <c r="O48" s="74">
        <v>443</v>
      </c>
      <c r="P48" s="74">
        <v>4</v>
      </c>
      <c r="Q48" s="74" t="s">
        <v>123</v>
      </c>
      <c r="R48" s="74" t="b">
        <v>1</v>
      </c>
      <c r="S48" s="74" t="b">
        <v>0</v>
      </c>
    </row>
    <row r="49" spans="1:19" x14ac:dyDescent="0.3">
      <c r="A49" s="90"/>
      <c r="B49" s="82" t="s">
        <v>23</v>
      </c>
      <c r="C49" s="82" t="str" cm="1">
        <f t="array" ref="C49">UPPER(INDEX(_xlfn.TEXTSPLIT($D49, "-"), 3))</f>
        <v>BDP</v>
      </c>
      <c r="D49" s="82" t="s">
        <v>971</v>
      </c>
      <c r="E49" s="82" t="s">
        <v>1033</v>
      </c>
      <c r="F49" s="82" t="str">
        <f t="shared" si="10"/>
        <v>p-bdp-slap-lb-rule443</v>
      </c>
      <c r="G49" s="82" t="str">
        <f t="shared" si="12"/>
        <v>p-bdp-slap-lb-fe</v>
      </c>
      <c r="H49" s="82" t="s">
        <v>57</v>
      </c>
      <c r="I49" s="82">
        <v>443</v>
      </c>
      <c r="J49" s="82" t="b">
        <v>0</v>
      </c>
      <c r="K49" s="82" t="str">
        <f t="shared" si="13"/>
        <v>p-bdp-slap-lb-bp</v>
      </c>
      <c r="L49" s="82">
        <v>443</v>
      </c>
      <c r="M49" s="82" t="str">
        <f t="shared" si="11"/>
        <v>p-bdp-slap-lb-pb443</v>
      </c>
      <c r="N49" s="82" t="s">
        <v>57</v>
      </c>
      <c r="O49" s="82">
        <v>443</v>
      </c>
      <c r="P49" s="82">
        <v>4</v>
      </c>
      <c r="Q49" s="82" t="s">
        <v>123</v>
      </c>
      <c r="R49" s="82" t="b">
        <v>1</v>
      </c>
      <c r="S49" s="82" t="b">
        <v>0</v>
      </c>
    </row>
    <row r="50" spans="1:19" x14ac:dyDescent="0.3">
      <c r="A50" s="90"/>
      <c r="B50" s="74" t="s">
        <v>23</v>
      </c>
      <c r="C50" s="74" t="str" cm="1">
        <f t="array" ref="C50">UPPER(INDEX(_xlfn.TEXTSPLIT($D50, "-"), 3))</f>
        <v>IF</v>
      </c>
      <c r="D50" s="74" t="s">
        <v>972</v>
      </c>
      <c r="E50" s="74" t="s">
        <v>957</v>
      </c>
      <c r="F50" s="74" t="str">
        <f t="shared" si="10"/>
        <v>p-if-auth-lb-rule8088</v>
      </c>
      <c r="G50" s="74" t="str">
        <f t="shared" si="12"/>
        <v>p-if-auth-lb-fe</v>
      </c>
      <c r="H50" s="74" t="s">
        <v>57</v>
      </c>
      <c r="I50" s="74">
        <v>8088</v>
      </c>
      <c r="J50" s="74" t="b">
        <v>0</v>
      </c>
      <c r="K50" s="74" t="str">
        <f t="shared" si="13"/>
        <v>p-if-auth-lb-bp</v>
      </c>
      <c r="L50" s="74">
        <v>8088</v>
      </c>
      <c r="M50" s="74" t="str">
        <f t="shared" si="11"/>
        <v>p-if-auth-lb-pb8088</v>
      </c>
      <c r="N50" s="74" t="s">
        <v>57</v>
      </c>
      <c r="O50" s="74">
        <v>8088</v>
      </c>
      <c r="P50" s="74">
        <v>4</v>
      </c>
      <c r="Q50" s="74" t="s">
        <v>123</v>
      </c>
      <c r="R50" s="74" t="b">
        <v>1</v>
      </c>
      <c r="S50" s="74" t="b">
        <v>0</v>
      </c>
    </row>
    <row r="51" spans="1:19" x14ac:dyDescent="0.3">
      <c r="A51" s="90"/>
      <c r="B51" s="74" t="s">
        <v>23</v>
      </c>
      <c r="C51" s="74" t="str" cm="1">
        <f t="array" ref="C51">UPPER(INDEX(_xlfn.TEXTSPLIT($D51, "-"), 3))</f>
        <v>IF</v>
      </c>
      <c r="D51" s="74" t="s">
        <v>972</v>
      </c>
      <c r="E51" s="74" t="s">
        <v>957</v>
      </c>
      <c r="F51" s="74" t="str">
        <f t="shared" si="10"/>
        <v>p-if-auth-lb-rule9003</v>
      </c>
      <c r="G51" s="74" t="str">
        <f t="shared" si="12"/>
        <v>p-if-auth-lb-fe</v>
      </c>
      <c r="H51" s="74" t="s">
        <v>57</v>
      </c>
      <c r="I51" s="74">
        <v>9003</v>
      </c>
      <c r="J51" s="74" t="b">
        <v>0</v>
      </c>
      <c r="K51" s="74" t="str">
        <f t="shared" si="13"/>
        <v>p-if-auth-lb-bp</v>
      </c>
      <c r="L51" s="74">
        <v>9003</v>
      </c>
      <c r="M51" s="74" t="str">
        <f t="shared" si="11"/>
        <v>p-if-auth-lb-pb9003</v>
      </c>
      <c r="N51" s="74" t="s">
        <v>57</v>
      </c>
      <c r="O51" s="74">
        <v>9003</v>
      </c>
      <c r="P51" s="74">
        <v>4</v>
      </c>
      <c r="Q51" s="74" t="s">
        <v>123</v>
      </c>
      <c r="R51" s="74" t="b">
        <v>1</v>
      </c>
      <c r="S51" s="74" t="b">
        <v>0</v>
      </c>
    </row>
    <row r="52" spans="1:19" x14ac:dyDescent="0.3">
      <c r="A52" s="90"/>
      <c r="B52" s="74" t="s">
        <v>23</v>
      </c>
      <c r="C52" s="74" t="str" cm="1">
        <f t="array" ref="C52">UPPER(INDEX(_xlfn.TEXTSPLIT($D52, "-"), 3))</f>
        <v>IF</v>
      </c>
      <c r="D52" s="74" t="s">
        <v>972</v>
      </c>
      <c r="E52" s="74" t="s">
        <v>957</v>
      </c>
      <c r="F52" s="74" t="str">
        <f t="shared" si="10"/>
        <v>p-if-auth-lb-rule9005</v>
      </c>
      <c r="G52" s="74" t="str">
        <f t="shared" si="12"/>
        <v>p-if-auth-lb-fe</v>
      </c>
      <c r="H52" s="74" t="s">
        <v>57</v>
      </c>
      <c r="I52" s="74">
        <v>9005</v>
      </c>
      <c r="J52" s="74" t="b">
        <v>0</v>
      </c>
      <c r="K52" s="74" t="str">
        <f t="shared" si="13"/>
        <v>p-if-auth-lb-bp</v>
      </c>
      <c r="L52" s="74">
        <v>9005</v>
      </c>
      <c r="M52" s="74" t="str">
        <f t="shared" si="11"/>
        <v>p-if-auth-lb-pb9005</v>
      </c>
      <c r="N52" s="74" t="s">
        <v>57</v>
      </c>
      <c r="O52" s="74">
        <v>9005</v>
      </c>
      <c r="P52" s="74">
        <v>4</v>
      </c>
      <c r="Q52" s="74" t="s">
        <v>123</v>
      </c>
      <c r="R52" s="74" t="b">
        <v>1</v>
      </c>
      <c r="S52" s="74" t="b">
        <v>0</v>
      </c>
    </row>
    <row r="53" spans="1:19" x14ac:dyDescent="0.3">
      <c r="B53" s="102" t="s">
        <v>1036</v>
      </c>
      <c r="C53" s="102"/>
      <c r="D53" s="102" t="s">
        <v>973</v>
      </c>
      <c r="E53" s="102" t="s">
        <v>958</v>
      </c>
      <c r="F53" s="102" t="str">
        <f t="shared" si="10"/>
        <v>p-cs-chtap-lb-rule?</v>
      </c>
      <c r="G53" s="102" t="str">
        <f t="shared" si="12"/>
        <v>p-cs-chtap-lb-fe</v>
      </c>
      <c r="H53" s="102" t="s">
        <v>57</v>
      </c>
      <c r="I53" s="102" t="s">
        <v>1035</v>
      </c>
      <c r="J53" s="102" t="b">
        <v>0</v>
      </c>
      <c r="K53" s="102" t="str">
        <f t="shared" si="13"/>
        <v>p-cs-chtap-lb-bp</v>
      </c>
      <c r="L53" s="102" t="s">
        <v>1035</v>
      </c>
      <c r="M53" s="102" t="str">
        <f t="shared" si="11"/>
        <v>p-cs-chtap-lb-pb?</v>
      </c>
      <c r="N53" s="102" t="s">
        <v>57</v>
      </c>
      <c r="O53" s="102" t="s">
        <v>1035</v>
      </c>
      <c r="P53" s="102">
        <v>4</v>
      </c>
      <c r="Q53" s="102" t="s">
        <v>123</v>
      </c>
      <c r="R53" s="102" t="b">
        <v>1</v>
      </c>
      <c r="S53" s="102" t="b">
        <v>0</v>
      </c>
    </row>
    <row r="54" spans="1:19" x14ac:dyDescent="0.3">
      <c r="B54" s="102" t="s">
        <v>1036</v>
      </c>
      <c r="C54" s="102"/>
      <c r="D54" s="102" t="s">
        <v>973</v>
      </c>
      <c r="E54" s="102" t="s">
        <v>1037</v>
      </c>
      <c r="F54" s="102" t="str">
        <f t="shared" si="10"/>
        <v>p-cs-chtweb-lb-rule?</v>
      </c>
      <c r="G54" s="102" t="str">
        <f t="shared" si="12"/>
        <v>p-cs-chtweb-lb-fe</v>
      </c>
      <c r="H54" s="102" t="s">
        <v>57</v>
      </c>
      <c r="I54" s="102" t="s">
        <v>1035</v>
      </c>
      <c r="J54" s="102" t="b">
        <v>0</v>
      </c>
      <c r="K54" s="102" t="str">
        <f t="shared" si="13"/>
        <v>p-cs-chtweb-lb-bp</v>
      </c>
      <c r="L54" s="102" t="s">
        <v>1035</v>
      </c>
      <c r="M54" s="102" t="str">
        <f t="shared" si="11"/>
        <v>p-cs-chtweb-lb-pb?</v>
      </c>
      <c r="N54" s="102" t="s">
        <v>57</v>
      </c>
      <c r="O54" s="102" t="s">
        <v>1035</v>
      </c>
      <c r="P54" s="102">
        <v>4</v>
      </c>
      <c r="Q54" s="102" t="s">
        <v>123</v>
      </c>
      <c r="R54" s="102" t="b">
        <v>1</v>
      </c>
      <c r="S54" s="102" t="b">
        <v>0</v>
      </c>
    </row>
    <row r="55" spans="1:19" x14ac:dyDescent="0.3">
      <c r="B55" s="102" t="s">
        <v>1036</v>
      </c>
      <c r="C55" s="102"/>
      <c r="D55" s="102" t="s">
        <v>973</v>
      </c>
      <c r="E55" s="102" t="s">
        <v>960</v>
      </c>
      <c r="F55" s="102" t="str">
        <f t="shared" si="10"/>
        <v>p-cs-chtintweb-lb-rule?</v>
      </c>
      <c r="G55" s="102" t="str">
        <f t="shared" si="12"/>
        <v>p-cs-chtintweb-lb-fe</v>
      </c>
      <c r="H55" s="102" t="s">
        <v>57</v>
      </c>
      <c r="I55" s="102" t="s">
        <v>1035</v>
      </c>
      <c r="J55" s="102" t="b">
        <v>0</v>
      </c>
      <c r="K55" s="102" t="str">
        <f t="shared" si="13"/>
        <v>p-cs-chtintweb-lb-bp</v>
      </c>
      <c r="L55" s="102" t="s">
        <v>1035</v>
      </c>
      <c r="M55" s="102" t="str">
        <f t="shared" si="11"/>
        <v>p-cs-chtintweb-lb-pb?</v>
      </c>
      <c r="N55" s="102" t="s">
        <v>57</v>
      </c>
      <c r="O55" s="102" t="s">
        <v>1035</v>
      </c>
      <c r="P55" s="102">
        <v>4</v>
      </c>
      <c r="Q55" s="102" t="s">
        <v>123</v>
      </c>
      <c r="R55" s="102" t="b">
        <v>1</v>
      </c>
      <c r="S55" s="102" t="b">
        <v>0</v>
      </c>
    </row>
    <row r="56" spans="1:19" x14ac:dyDescent="0.3">
      <c r="B56" s="102" t="s">
        <v>1036</v>
      </c>
      <c r="C56" s="102"/>
      <c r="D56" s="102" t="s">
        <v>974</v>
      </c>
      <c r="E56" s="102" t="s">
        <v>1038</v>
      </c>
      <c r="F56" s="102" t="str">
        <f t="shared" si="10"/>
        <v>p-doip-web-lb-rule?</v>
      </c>
      <c r="G56" s="102" t="str">
        <f t="shared" si="12"/>
        <v>p-doip-web-lb-fe</v>
      </c>
      <c r="H56" s="102" t="s">
        <v>57</v>
      </c>
      <c r="I56" s="102" t="s">
        <v>1035</v>
      </c>
      <c r="J56" s="102" t="b">
        <v>0</v>
      </c>
      <c r="K56" s="102" t="str">
        <f t="shared" si="13"/>
        <v>p-doip-web-lb-bp</v>
      </c>
      <c r="L56" s="102" t="s">
        <v>1035</v>
      </c>
      <c r="M56" s="102" t="str">
        <f t="shared" si="11"/>
        <v>p-doip-web-lb-pb?</v>
      </c>
      <c r="N56" s="102" t="s">
        <v>57</v>
      </c>
      <c r="O56" s="102" t="s">
        <v>1035</v>
      </c>
      <c r="P56" s="102">
        <v>4</v>
      </c>
      <c r="Q56" s="102" t="s">
        <v>123</v>
      </c>
      <c r="R56" s="102" t="b">
        <v>1</v>
      </c>
      <c r="S56" s="102" t="b">
        <v>0</v>
      </c>
    </row>
    <row r="57" spans="1:19" x14ac:dyDescent="0.3">
      <c r="B57" s="102" t="s">
        <v>1036</v>
      </c>
      <c r="C57" s="102"/>
      <c r="D57" s="102" t="s">
        <v>974</v>
      </c>
      <c r="E57" s="102" t="s">
        <v>962</v>
      </c>
      <c r="F57" s="102" t="str">
        <f t="shared" si="10"/>
        <v>p-doip-ap-lb-rule?</v>
      </c>
      <c r="G57" s="102" t="str">
        <f t="shared" si="12"/>
        <v>p-doip-ap-lb-fe</v>
      </c>
      <c r="H57" s="102" t="s">
        <v>57</v>
      </c>
      <c r="I57" s="102" t="s">
        <v>1035</v>
      </c>
      <c r="J57" s="102" t="b">
        <v>0</v>
      </c>
      <c r="K57" s="102" t="str">
        <f t="shared" si="13"/>
        <v>p-doip-ap-lb-bp</v>
      </c>
      <c r="L57" s="102" t="s">
        <v>1035</v>
      </c>
      <c r="M57" s="102" t="str">
        <f t="shared" si="11"/>
        <v>p-doip-ap-lb-pb?</v>
      </c>
      <c r="N57" s="102" t="s">
        <v>57</v>
      </c>
      <c r="O57" s="102" t="s">
        <v>1035</v>
      </c>
      <c r="P57" s="102">
        <v>4</v>
      </c>
      <c r="Q57" s="102" t="s">
        <v>123</v>
      </c>
      <c r="R57" s="102" t="b">
        <v>1</v>
      </c>
      <c r="S57" s="102" t="b">
        <v>0</v>
      </c>
    </row>
    <row r="58" spans="1:19" x14ac:dyDescent="0.3">
      <c r="B58" s="102" t="s">
        <v>1036</v>
      </c>
      <c r="C58" s="102"/>
      <c r="D58" s="102" t="s">
        <v>974</v>
      </c>
      <c r="E58" s="102" t="s">
        <v>1039</v>
      </c>
      <c r="F58" s="102" t="str">
        <f t="shared" si="10"/>
        <v>p-doip-adm-lb-rule?</v>
      </c>
      <c r="G58" s="102" t="str">
        <f t="shared" si="12"/>
        <v>p-doip-adm-lb-fe</v>
      </c>
      <c r="H58" s="102" t="s">
        <v>57</v>
      </c>
      <c r="I58" s="102" t="s">
        <v>1035</v>
      </c>
      <c r="J58" s="102" t="b">
        <v>0</v>
      </c>
      <c r="K58" s="102" t="str">
        <f t="shared" si="13"/>
        <v>p-doip-adm-lb-bp</v>
      </c>
      <c r="L58" s="102" t="s">
        <v>1035</v>
      </c>
      <c r="M58" s="102" t="str">
        <f t="shared" si="11"/>
        <v>p-doip-adm-lb-pb?</v>
      </c>
      <c r="N58" s="102" t="s">
        <v>57</v>
      </c>
      <c r="O58" s="102" t="s">
        <v>1035</v>
      </c>
      <c r="P58" s="102">
        <v>4</v>
      </c>
      <c r="Q58" s="102" t="s">
        <v>123</v>
      </c>
      <c r="R58" s="102" t="b">
        <v>1</v>
      </c>
      <c r="S58" s="102" t="b">
        <v>0</v>
      </c>
    </row>
    <row r="59" spans="1:19" x14ac:dyDescent="0.3">
      <c r="A59" s="90"/>
      <c r="B59" s="74" t="s">
        <v>23</v>
      </c>
      <c r="C59" s="74" t="str" cm="1">
        <f t="array" ref="C59">UPPER(INDEX(_xlfn.TEXTSPLIT($D59, "-"), 3))</f>
        <v>BDP</v>
      </c>
      <c r="D59" s="74" t="s">
        <v>971</v>
      </c>
      <c r="E59" s="74" t="s">
        <v>964</v>
      </c>
      <c r="F59" s="74" t="str">
        <f t="shared" si="10"/>
        <v>p-bdp-crkweb-lb-rule443</v>
      </c>
      <c r="G59" s="74" t="str">
        <f t="shared" si="12"/>
        <v>p-bdp-crkweb-lb-fe</v>
      </c>
      <c r="H59" s="74" t="s">
        <v>57</v>
      </c>
      <c r="I59" s="74">
        <v>443</v>
      </c>
      <c r="J59" s="74" t="b">
        <v>0</v>
      </c>
      <c r="K59" s="74" t="str">
        <f t="shared" si="13"/>
        <v>p-bdp-crkweb-lb-bp</v>
      </c>
      <c r="L59" s="74">
        <v>443</v>
      </c>
      <c r="M59" s="74" t="str">
        <f t="shared" si="11"/>
        <v>p-bdp-crkweb-lb-pb443</v>
      </c>
      <c r="N59" s="74" t="s">
        <v>57</v>
      </c>
      <c r="O59" s="74">
        <v>443</v>
      </c>
      <c r="P59" s="74">
        <v>4</v>
      </c>
      <c r="Q59" s="74" t="s">
        <v>123</v>
      </c>
      <c r="R59" s="74" t="b">
        <v>1</v>
      </c>
      <c r="S59" s="74" t="b">
        <v>0</v>
      </c>
    </row>
    <row r="60" spans="1:19" x14ac:dyDescent="0.3">
      <c r="A60" s="90"/>
      <c r="B60" s="74" t="s">
        <v>23</v>
      </c>
      <c r="C60" s="74" t="str" cm="1">
        <f t="array" ref="C60">UPPER(INDEX(_xlfn.TEXTSPLIT($D60, "-"), 3))</f>
        <v>BDP</v>
      </c>
      <c r="D60" s="74" t="s">
        <v>971</v>
      </c>
      <c r="E60" s="74" t="s">
        <v>964</v>
      </c>
      <c r="F60" s="74" t="str">
        <f t="shared" si="10"/>
        <v>p-bdp-crkweb-lb-rule8080</v>
      </c>
      <c r="G60" s="74" t="str">
        <f t="shared" si="12"/>
        <v>p-bdp-crkweb-lb-fe</v>
      </c>
      <c r="H60" s="74" t="s">
        <v>57</v>
      </c>
      <c r="I60" s="74">
        <v>8080</v>
      </c>
      <c r="J60" s="74" t="b">
        <v>0</v>
      </c>
      <c r="K60" s="74" t="str">
        <f t="shared" si="13"/>
        <v>p-bdp-crkweb-lb-bp</v>
      </c>
      <c r="L60" s="74">
        <v>8080</v>
      </c>
      <c r="M60" s="74" t="str">
        <f t="shared" si="11"/>
        <v>p-bdp-crkweb-lb-pb8080</v>
      </c>
      <c r="N60" s="74" t="s">
        <v>57</v>
      </c>
      <c r="O60" s="74">
        <v>8080</v>
      </c>
      <c r="P60" s="74">
        <v>4</v>
      </c>
      <c r="Q60" s="74" t="s">
        <v>123</v>
      </c>
      <c r="R60" s="74" t="b">
        <v>1</v>
      </c>
      <c r="S60" s="74" t="b">
        <v>0</v>
      </c>
    </row>
    <row r="61" spans="1:19" x14ac:dyDescent="0.3">
      <c r="A61" s="90"/>
      <c r="B61" s="82" t="s">
        <v>23</v>
      </c>
      <c r="C61" s="82" t="str" cm="1">
        <f t="array" ref="C61">UPPER(INDEX(_xlfn.TEXTSPLIT($D61, "-"), 3))</f>
        <v>BDP</v>
      </c>
      <c r="D61" s="82" t="s">
        <v>971</v>
      </c>
      <c r="E61" s="82" t="s">
        <v>965</v>
      </c>
      <c r="F61" s="82" t="str">
        <f t="shared" si="10"/>
        <v>p-bdp-crkap-lb-rule8085</v>
      </c>
      <c r="G61" s="82" t="str">
        <f t="shared" si="12"/>
        <v>p-bdp-crkap-lb-fe</v>
      </c>
      <c r="H61" s="82" t="s">
        <v>57</v>
      </c>
      <c r="I61" s="82">
        <v>8085</v>
      </c>
      <c r="J61" s="82" t="b">
        <v>0</v>
      </c>
      <c r="K61" s="82" t="str">
        <f t="shared" si="13"/>
        <v>p-bdp-crkap-lb-bp</v>
      </c>
      <c r="L61" s="82">
        <v>8085</v>
      </c>
      <c r="M61" s="82" t="str">
        <f t="shared" si="11"/>
        <v>p-bdp-crkap-lb-pb8085</v>
      </c>
      <c r="N61" s="82" t="s">
        <v>57</v>
      </c>
      <c r="O61" s="82">
        <v>8085</v>
      </c>
      <c r="P61" s="82">
        <v>4</v>
      </c>
      <c r="Q61" s="82" t="s">
        <v>123</v>
      </c>
      <c r="R61" s="82" t="b">
        <v>1</v>
      </c>
      <c r="S61" s="82" t="b">
        <v>0</v>
      </c>
    </row>
    <row r="62" spans="1:19" x14ac:dyDescent="0.3">
      <c r="A62" s="90"/>
      <c r="B62" s="74" t="s">
        <v>23</v>
      </c>
      <c r="C62" s="74" t="str" cm="1">
        <f t="array" ref="C62">UPPER(INDEX(_xlfn.TEXTSPLIT($D62, "-"), 3))</f>
        <v>BDP</v>
      </c>
      <c r="D62" s="74" t="s">
        <v>971</v>
      </c>
      <c r="E62" s="74" t="s">
        <v>966</v>
      </c>
      <c r="F62" s="74" t="str">
        <f t="shared" si="10"/>
        <v>p-bdp-crkml-lb-rule8082</v>
      </c>
      <c r="G62" s="74" t="str">
        <f t="shared" si="12"/>
        <v>p-bdp-crkml-lb-fe</v>
      </c>
      <c r="H62" s="74" t="s">
        <v>57</v>
      </c>
      <c r="I62" s="74">
        <v>8082</v>
      </c>
      <c r="J62" s="74" t="b">
        <v>0</v>
      </c>
      <c r="K62" s="74" t="str">
        <f t="shared" si="13"/>
        <v>p-bdp-crkml-lb-bp</v>
      </c>
      <c r="L62" s="74">
        <v>8082</v>
      </c>
      <c r="M62" s="74" t="str">
        <f t="shared" si="11"/>
        <v>p-bdp-crkml-lb-pb8082</v>
      </c>
      <c r="N62" s="74" t="s">
        <v>57</v>
      </c>
      <c r="O62" s="74">
        <v>8082</v>
      </c>
      <c r="P62" s="74">
        <v>4</v>
      </c>
      <c r="Q62" s="74" t="s">
        <v>123</v>
      </c>
      <c r="R62" s="74" t="b">
        <v>1</v>
      </c>
      <c r="S62" s="74" t="b">
        <v>0</v>
      </c>
    </row>
  </sheetData>
  <autoFilter ref="B1:S62" xr:uid="{A4BC862D-08E7-4593-9A34-4D2B508CF25B}">
    <sortState xmlns:xlrd2="http://schemas.microsoft.com/office/spreadsheetml/2017/richdata2" ref="B2:S52">
      <sortCondition descending="1" ref="C1"/>
    </sortState>
  </autoFilter>
  <phoneticPr fontId="1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VNET</vt:lpstr>
      <vt:lpstr>RG</vt:lpstr>
      <vt:lpstr>VM</vt:lpstr>
      <vt:lpstr>VM_Datadisk</vt:lpstr>
      <vt:lpstr>NSG</vt:lpstr>
      <vt:lpstr>NSG_Rule</vt:lpstr>
      <vt:lpstr>UDR</vt:lpstr>
      <vt:lpstr>LB</vt:lpstr>
      <vt:lpstr>LB_Probe</vt:lpstr>
      <vt:lpstr>LB_Rule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임승현</dc:creator>
  <cp:keywords/>
  <dc:description/>
  <cp:lastModifiedBy>백승규</cp:lastModifiedBy>
  <cp:revision/>
  <dcterms:created xsi:type="dcterms:W3CDTF">2021-03-26T06:15:24Z</dcterms:created>
  <dcterms:modified xsi:type="dcterms:W3CDTF">2026-07-06T07:49:09Z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