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CD728A87-B00D-4D3B-B8F5-1B5574A2AFE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G" sheetId="5" r:id="rId1"/>
    <sheet name="VNET" sheetId="4" r:id="rId2"/>
    <sheet name="VM_DEV" sheetId="1" r:id="rId3"/>
    <sheet name="NSG_PRD" sheetId="2" r:id="rId4"/>
    <sheet name="NSG_PRD_Rule" sheetId="3" r:id="rId5"/>
    <sheet name="LB_PRD" sheetId="6" r:id="rId6"/>
    <sheet name="LB_PRD_Probe" sheetId="10" r:id="rId7"/>
    <sheet name="LB_PRD_Rule" sheetId="11" r:id="rId8"/>
    <sheet name="VM_DEV_Old" sheetId="13" r:id="rId9"/>
    <sheet name="KV_PRD_Old" sheetId="8" r:id="rId10"/>
    <sheet name="DES_PRD_Old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3" l="1"/>
  <c r="P5" i="13"/>
  <c r="M5" i="13"/>
  <c r="S4" i="13"/>
  <c r="P4" i="13"/>
  <c r="M4" i="13"/>
  <c r="S3" i="13"/>
  <c r="P3" i="13"/>
  <c r="M3" i="13"/>
  <c r="S2" i="13"/>
  <c r="P2" i="13"/>
  <c r="M2" i="13"/>
  <c r="S2" i="1"/>
  <c r="S3" i="1"/>
  <c r="M3" i="1"/>
  <c r="M2" i="1"/>
  <c r="D4" i="2"/>
  <c r="D2" i="2"/>
  <c r="D5" i="2"/>
  <c r="D6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sharedStrings.xml><?xml version="1.0" encoding="utf-8"?>
<sst xmlns="http://schemas.openxmlformats.org/spreadsheetml/2006/main" count="817" uniqueCount="336">
  <si>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</si>
  <si>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</si>
  <si>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</si>
  <si>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</si>
  <si>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</si>
  <si>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</si>
  <si>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</si>
  <si>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</si>
  <si>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</si>
  <si>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</si>
  <si>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</si>
  <si>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</si>
  <si>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</si>
  <si>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</si>
  <si>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</si>
  <si>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</si>
  <si>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</si>
  <si>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</si>
  <si>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</si>
  <si>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</si>
  <si>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</si>
  <si>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</si>
  <si>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</si>
  <si>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</si>
  <si>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</si>
  <si>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Linux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</si>
  <si>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</si>
  <si>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</si>
  <si>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</si>
  <si>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</si>
  <si>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</si>
  <si>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</si>
  <si>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</si>
  <si>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</si>
  <si>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</si>
  <si>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O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</si>
  <si>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</si>
  <si>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</si>
  <si>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</si>
  <si>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X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</si>
  <si>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</si>
  <si>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</si>
  <si>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</si>
  <si>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</si>
  <si>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</si>
  <si>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</si>
  <si>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</si>
  <si>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</si>
  <si>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</si>
  <si>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</si>
  <si>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</si>
  <si>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</si>
  <si>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</si>
  <si>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</si>
  <si>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</si>
  <si>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</si>
  <si>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</si>
  <si>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</si>
  <si>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</si>
  <si>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</si>
  <si>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</si>
  <si>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</si>
  <si>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</si>
  <si>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</si>
  <si>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</si>
  <si>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</si>
  <si>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</si>
  <si>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</si>
  <si>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</si>
  <si>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</si>
  <si>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</si>
  <si>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</si>
  <si>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</si>
  <si>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</si>
  <si>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</si>
  <si>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</si>
  <si>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</si>
  <si>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</si>
  <si>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</si>
  <si>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</si>
  <si>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</si>
  <si>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</si>
  <si>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DEV</t>
    <phoneticPr fontId="1" type="noConversion"/>
  </si>
  <si>
    <t>STG</t>
    <phoneticPr fontId="1" type="noConversion"/>
  </si>
  <si>
    <t>NW</t>
    <phoneticPr fontId="1" type="noConversion"/>
  </si>
  <si>
    <t>PRD-NW-RG</t>
    <phoneticPr fontId="1" type="noConversion"/>
  </si>
  <si>
    <t>STG-NW-RG</t>
    <phoneticPr fontId="1" type="noConversion"/>
  </si>
  <si>
    <t>STG-WEB-RG</t>
    <phoneticPr fontId="1" type="noConversion"/>
  </si>
  <si>
    <t>DEV-NW-RG</t>
    <phoneticPr fontId="1" type="noConversion"/>
  </si>
  <si>
    <t>DEV-WEB-RG</t>
    <phoneticPr fontId="1" type="noConversion"/>
  </si>
  <si>
    <t>testprdnwvnet</t>
    <phoneticPr fontId="1" type="noConversion"/>
  </si>
  <si>
    <t>teststgnwvnet</t>
    <phoneticPr fontId="1" type="noConversion"/>
  </si>
  <si>
    <t>testdevnwvnet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</si>
  <si>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</si>
  <si>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</si>
  <si>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</si>
  <si>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</si>
  <si>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</si>
  <si>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</si>
  <si>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WEBSubnet</t>
    <phoneticPr fontId="1" type="noConversion"/>
  </si>
  <si>
    <t>APPSubnet</t>
    <phoneticPr fontId="1" type="noConversion"/>
  </si>
  <si>
    <t>PRD-WEB-RG</t>
    <phoneticPr fontId="1" type="noConversion"/>
  </si>
  <si>
    <t>StandardSSD_ZRS</t>
    <phoneticPr fontId="1" type="noConversion"/>
  </si>
  <si>
    <t>VnetRG</t>
    <phoneticPr fontId="1" type="noConversion"/>
  </si>
  <si>
    <t>OsType</t>
    <phoneticPr fontId="1" type="noConversion"/>
  </si>
  <si>
    <t>KVName</t>
    <phoneticPr fontId="1" type="noConversion"/>
  </si>
  <si>
    <t>KeyName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</si>
  <si>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</si>
  <si>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</si>
  <si>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</si>
  <si>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</si>
  <si>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PRDWEB01-nic</t>
    <phoneticPr fontId="1" type="noConversion"/>
  </si>
  <si>
    <t>PRDWEB02-nic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</si>
  <si>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</si>
  <si>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</si>
  <si>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</si>
  <si>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</si>
  <si>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</si>
  <si>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</si>
  <si>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</si>
  <si>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</si>
  <si>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</si>
  <si>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</si>
  <si>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</si>
  <si>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</si>
  <si>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</si>
  <si>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</si>
  <si>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</si>
  <si>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</si>
  <si>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</si>
  <si>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</si>
  <si>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</si>
  <si>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10.0.0.10</t>
    <phoneticPr fontId="1" type="noConversion"/>
  </si>
  <si>
    <t>be-pool-01</t>
  </si>
  <si>
    <t>be-pool-01</t>
    <phoneticPr fontId="1" type="noConversion"/>
  </si>
  <si>
    <t>BEPoolName</t>
    <phoneticPr fontId="1" type="noConversion"/>
  </si>
  <si>
    <t>PRDWEBLB</t>
    <phoneticPr fontId="1" type="noConversion"/>
  </si>
  <si>
    <t>Standard</t>
    <phoneticPr fontId="1" type="noConversion"/>
  </si>
  <si>
    <t>ProbeName</t>
    <phoneticPr fontId="1" type="noConversion"/>
  </si>
  <si>
    <t>probe_80</t>
    <phoneticPr fontId="1" type="noConversion"/>
  </si>
  <si>
    <t>Port</t>
    <phoneticPr fontId="1" type="noConversion"/>
  </si>
  <si>
    <t>RequestPath</t>
    <phoneticPr fontId="1" type="noConversion"/>
  </si>
  <si>
    <t>probe_HTTPS</t>
    <phoneticPr fontId="1" type="noConversion"/>
  </si>
  <si>
    <t>HTTPS</t>
    <phoneticPr fontId="1" type="noConversion"/>
  </si>
  <si>
    <t>/</t>
    <phoneticPr fontId="1" type="noConversion"/>
  </si>
  <si>
    <t>IntervalInSeconds</t>
    <phoneticPr fontId="1" type="noConversion"/>
  </si>
  <si>
    <t>ProbeCount</t>
    <phoneticPr fontId="1" type="noConversion"/>
  </si>
  <si>
    <t>probe_8080</t>
    <phoneticPr fontId="1" type="noConversion"/>
  </si>
  <si>
    <t>HTTP</t>
    <phoneticPr fontId="1" type="noConversion"/>
  </si>
  <si>
    <t>PRDAPPLB</t>
    <phoneticPr fontId="1" type="noConversion"/>
  </si>
  <si>
    <t>10.0.1.10</t>
    <phoneticPr fontId="1" type="noConversion"/>
  </si>
  <si>
    <t>RuleName</t>
    <phoneticPr fontId="1" type="noConversion"/>
  </si>
  <si>
    <t>FEPort</t>
    <phoneticPr fontId="1" type="noConversion"/>
  </si>
  <si>
    <t>FEProtocol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</si>
  <si>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</si>
  <si>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</si>
  <si>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</si>
  <si>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</si>
  <si>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</si>
  <si>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</si>
  <si>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</si>
  <si>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Zonal</t>
    <phoneticPr fontId="1" type="noConversion"/>
  </si>
  <si>
    <t>FEZoneMode</t>
    <phoneticPr fontId="1" type="noConversion"/>
  </si>
  <si>
    <t>Rule_80</t>
    <phoneticPr fontId="1" type="noConversion"/>
  </si>
  <si>
    <t>Rule_8080</t>
    <phoneticPr fontId="1" type="noConversion"/>
  </si>
  <si>
    <t>Rule_443</t>
    <phoneticPr fontId="1" type="noConversion"/>
  </si>
  <si>
    <t>Rule_22</t>
    <phoneticPr fontId="1" type="noConversion"/>
  </si>
  <si>
    <t>SourceIPProtocol</t>
    <phoneticPr fontId="1" type="noConversion"/>
  </si>
  <si>
    <t xml:space="preserve">SourceIP </t>
    <phoneticPr fontId="1" type="noConversion"/>
  </si>
  <si>
    <t>web-fe-internal</t>
    <phoneticPr fontId="1" type="noConversion"/>
  </si>
  <si>
    <t>app-fe-internal</t>
    <phoneticPr fontId="1" type="noConversion"/>
  </si>
  <si>
    <t>probe_22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</si>
  <si>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</si>
  <si>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</si>
  <si>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</si>
  <si>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probe_HTTP</t>
    <phoneticPr fontId="1" type="noConversion"/>
  </si>
  <si>
    <t>Enable</t>
    <phoneticPr fontId="1" type="noConversion"/>
  </si>
  <si>
    <t>SecretName</t>
    <phoneticPr fontId="1" type="noConversion"/>
  </si>
  <si>
    <t>SecretValue</t>
    <phoneticPr fontId="1" type="noConversion"/>
  </si>
  <si>
    <t>SecretContenctType</t>
    <phoneticPr fontId="1" type="noConversion"/>
  </si>
  <si>
    <t>SecretExpiresOn</t>
    <phoneticPr fontId="1" type="noConversion"/>
  </si>
  <si>
    <t>SecretNotBefore</t>
    <phoneticPr fontId="1" type="noConversion"/>
  </si>
  <si>
    <t>Y</t>
    <phoneticPr fontId="1" type="noConversion"/>
  </si>
  <si>
    <t>DESName</t>
    <phoneticPr fontId="1" type="noConversion"/>
  </si>
  <si>
    <t>Encryption</t>
    <phoneticPr fontId="1" type="noConversion"/>
  </si>
  <si>
    <t>prd-test-des</t>
    <phoneticPr fontId="1" type="noConversion"/>
  </si>
  <si>
    <t>testkey1</t>
    <phoneticPr fontId="1" type="noConversion"/>
  </si>
  <si>
    <t>testdiskencryptionkv2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</si>
  <si>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</si>
  <si>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</si>
  <si>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</si>
  <si>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</si>
  <si>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</si>
  <si>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</si>
  <si>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</si>
  <si>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</si>
  <si>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</si>
  <si>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</si>
  <si>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</si>
  <si>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</si>
  <si>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</si>
  <si>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</si>
  <si>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</si>
  <si>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</si>
  <si>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</si>
  <si>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</si>
  <si>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</si>
  <si>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</si>
  <si>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</si>
  <si>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</si>
  <si>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</si>
  <si>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</si>
  <si>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</si>
  <si>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</si>
  <si>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</si>
  <si>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</si>
  <si>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</si>
  <si>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</si>
  <si>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</si>
  <si>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</si>
  <si>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</si>
  <si>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</si>
  <si>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</si>
  <si>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</si>
  <si>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</si>
  <si>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</si>
  <si>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</si>
  <si>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</si>
  <si>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</si>
  <si>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</si>
  <si>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</si>
  <si>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</si>
  <si>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</si>
  <si>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</si>
  <si>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</si>
  <si>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</si>
  <si>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</si>
  <si>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</si>
  <si>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</si>
  <si>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</si>
  <si>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</si>
  <si>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</si>
  <si>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</si>
  <si>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</si>
  <si>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</si>
  <si>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</si>
  <si>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</si>
  <si>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</si>
  <si>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</si>
  <si>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</si>
  <si>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</si>
  <si>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</si>
  <si>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</si>
  <si>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</si>
  <si>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</si>
  <si>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</si>
  <si>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</si>
  <si>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</si>
  <si>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</si>
  <si>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</si>
  <si>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</si>
  <si>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</si>
  <si>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</si>
  <si>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</si>
  <si>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</si>
  <si>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</si>
  <si>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</si>
  <si>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</si>
  <si>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</si>
  <si>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</si>
  <si>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</si>
  <si>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</si>
  <si>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</si>
  <si>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</si>
  <si>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</si>
  <si>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</si>
  <si>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</si>
  <si>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</si>
  <si>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</si>
  <si>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</si>
  <si>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</si>
  <si>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</si>
  <si>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</si>
  <si>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</si>
  <si>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</si>
  <si>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</si>
  <si>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</si>
  <si>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</si>
  <si>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</si>
  <si>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</si>
  <si>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</si>
  <si>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</si>
  <si>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</si>
  <si>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</si>
  <si>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</si>
  <si>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</si>
  <si>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</si>
  <si>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</si>
  <si>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</si>
  <si>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</si>
  <si>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</si>
  <si>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</si>
  <si>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</si>
  <si>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</si>
  <si>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</si>
  <si>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</si>
  <si>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</si>
  <si>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</si>
  <si>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</si>
  <si>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</si>
  <si>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</si>
  <si>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</si>
  <si>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</si>
  <si>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</si>
  <si>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</si>
  <si>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</si>
  <si>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</si>
  <si>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</si>
  <si>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</si>
  <si>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</si>
  <si>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</si>
  <si>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</si>
  <si>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hwglifadmin</t>
    <phoneticPr fontId="1" type="noConversion"/>
  </si>
  <si>
    <t>hazr-d-dis-ap01</t>
    <phoneticPr fontId="1" type="noConversion"/>
  </si>
  <si>
    <t>hazr-d-dis-adm01</t>
    <phoneticPr fontId="1" type="noConversion"/>
  </si>
  <si>
    <t>10.156.144.10</t>
    <phoneticPr fontId="1" type="noConversion"/>
  </si>
  <si>
    <t>10.156.144.20</t>
    <phoneticPr fontId="1" type="noConversion"/>
  </si>
  <si>
    <t>D2s_v6</t>
    <phoneticPr fontId="1" type="noConversion"/>
  </si>
  <si>
    <t>Windows</t>
    <phoneticPr fontId="1" type="noConversion"/>
  </si>
  <si>
    <t>hazr-d-dis-dfir01</t>
    <phoneticPr fontId="1" type="noConversion"/>
  </si>
  <si>
    <t>10.156.144.130</t>
    <phoneticPr fontId="1" type="noConversion"/>
  </si>
  <si>
    <t>hazr-d-bdp-rg</t>
    <phoneticPr fontId="1" type="noConversion"/>
  </si>
  <si>
    <t>hazr-d-bdp-cxmap01</t>
    <phoneticPr fontId="1" type="noConversion"/>
  </si>
  <si>
    <t>10.156.156.30</t>
    <phoneticPr fontId="1" type="noConversion"/>
  </si>
  <si>
    <t>/subscriptions/b73b1d70-b43f-41b5-bb3f-34b9236d2ed9/resourceGroups/hazr-l-mgmt-rg/providers/Microsoft.Compute/galleries/hazrlmgmtal/images/RHEL_9.6_Base_Image/versions/0.0.1</t>
    <phoneticPr fontId="1" type="noConversion"/>
  </si>
  <si>
    <t>/subscriptions/b73b1d70-b43f-41b5-bb3f-34b9236d2ed9/resourceGroups/hazr-l-mgmt-rg/providers/Microsoft.Compute/galleries/hazrlmgmtal/images/Windows_Server_2025_Base_Image/versions/0.0.1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</si>
</sst>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3" fillId="0" borderId="1" xfId="0" quotePrefix="1" applyFont="1" applyBorder="1">
      <alignment vertical="center"/>
    </xf>
    <xf numFmtId="0" fontId="3" fillId="5" borderId="1" xfId="0" applyFont="1" applyFill="1" applyBorder="1">
      <alignment vertical="center"/>
    </xf>
    <xf numFmtId="0" fontId="3" fillId="5" borderId="1" xfId="0" quotePrefix="1" applyFont="1" applyFill="1" applyBorder="1">
      <alignment vertical="center"/>
    </xf>
    <xf numFmtId="0" fontId="12" fillId="2" borderId="17" xfId="0" applyFont="1" applyFill="1" applyBorder="1">
      <alignment vertical="center"/>
    </xf>
    <xf numFmtId="14" fontId="0" fillId="0" borderId="0" xfId="0" applyNumberFormat="1">
      <alignment vertical="center"/>
    </xf>
    <xf numFmtId="0" fontId="10" fillId="2" borderId="15" xfId="0" applyFont="1" applyFill="1" applyBorder="1">
      <alignment vertical="center"/>
    </xf>
    <xf numFmtId="0" fontId="12" fillId="2" borderId="15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</cellXfs>
  <cellStyles count="1">
    <cellStyle name="표준" xfId="0" builtinId="0"/>
  </cellStyles>
  <dxfs count="56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Z3" totalsRowShown="0" headerRowDxfId="55" dataDxfId="54">
  <autoFilter ref="A1:Z3" xr:uid="{00000000-0009-0000-0100-000001000000}"/>
  <tableColumns count="26">
    <tableColumn id="1" xr3:uid="{00000000-0010-0000-0000-000001000000}" name="Stage" dataDxfId="53"/>
    <tableColumn id="3" xr3:uid="{00000000-0010-0000-0000-000003000000}" name="RGname" dataDxfId="52"/>
    <tableColumn id="4" xr3:uid="{00000000-0010-0000-0000-000004000000}" name="Location" dataDxfId="51"/>
    <tableColumn id="5" xr3:uid="{00000000-0010-0000-0000-000005000000}" name="Name" dataDxfId="50"/>
    <tableColumn id="6" xr3:uid="{00000000-0010-0000-0000-000006000000}" name="PrivateIP" dataDxfId="49"/>
    <tableColumn id="22" xr3:uid="{00000000-0010-0000-0000-000016000000}" name="VmSize" dataDxfId="48"/>
    <tableColumn id="23" xr3:uid="{00000000-0010-0000-0000-000017000000}" name="CPU" dataDxfId="47"/>
    <tableColumn id="34" xr3:uid="{00000000-0010-0000-0000-000022000000}" name="RAM" dataDxfId="46"/>
    <tableColumn id="7" xr3:uid="{00000000-0010-0000-0000-000007000000}" name="AdminUsername" dataDxfId="45"/>
    <tableColumn id="8" xr3:uid="{00000000-0010-0000-0000-000008000000}" name="AdminPassword" dataDxfId="44"/>
    <tableColumn id="9" xr3:uid="{00000000-0010-0000-0000-000009000000}" name="OsType" dataDxfId="43"/>
    <tableColumn id="10" xr3:uid="{5C5FDBAD-A0A4-4C75-968A-8587646674EE}" name="ImageResourceId" dataDxfId="42"/>
    <tableColumn id="12" xr3:uid="{00000000-0010-0000-0000-00000C000000}" name="OsDiskName" dataDxfId="41">
      <calculatedColumnFormula>표1[[#This Row],[Name]]&amp;"-osdisk"</calculatedColumnFormula>
    </tableColumn>
    <tableColumn id="13" xr3:uid="{00000000-0010-0000-0000-00000D000000}" name="OsDiskSize" dataDxfId="40"/>
    <tableColumn id="14" xr3:uid="{00000000-0010-0000-0000-00000E000000}" name="OsDiskStorageType" dataDxfId="39"/>
    <tableColumn id="24" xr3:uid="{00000000-0010-0000-0000-000018000000}" name="DataDiskName" dataDxfId="38"/>
    <tableColumn id="25" xr3:uid="{00000000-0010-0000-0000-000019000000}" name="DataDiskSize" dataDxfId="37"/>
    <tableColumn id="26" xr3:uid="{00000000-0010-0000-0000-00001A000000}" name="DataDiskStorageType" dataDxfId="36"/>
    <tableColumn id="15" xr3:uid="{00000000-0010-0000-0000-00000F000000}" name="NicName" dataDxfId="35">
      <calculatedColumnFormula>SUBSTITUTE(D2,"hazr-","")&amp;"-nic"</calculatedColumnFormula>
    </tableColumn>
    <tableColumn id="17" xr3:uid="{00000000-0010-0000-0000-000011000000}" name="IsStatic" dataDxfId="34"/>
    <tableColumn id="11" xr3:uid="{65903CF2-1AF4-4B86-A9E4-474DE495E3CB}" name="VnetRG" dataDxfId="33"/>
    <tableColumn id="18" xr3:uid="{00000000-0010-0000-0000-000012000000}" name="VnetName" dataDxfId="32"/>
    <tableColumn id="19" xr3:uid="{00000000-0010-0000-0000-000013000000}" name="SubnetName" dataDxfId="31"/>
    <tableColumn id="36" xr3:uid="{9EB3DACA-84E4-4D05-8E76-433A4A9E33E7}" name="Zones" dataDxfId="30"/>
    <tableColumn id="20" xr3:uid="{00000000-0010-0000-0000-000014000000}" name="SubscriptionName" dataDxfId="29"/>
    <tableColumn id="35" xr3:uid="{A2E4758D-942B-4C99-96CE-9F1494B6961B}" name="Description" dataDxfId="2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02633-0386-420C-92E0-C4AA8D0BE61C}" name="표1_3" displayName="표1_3" ref="A1:Z5" totalsRowShown="0" headerRowDxfId="27" dataDxfId="26">
  <autoFilter ref="A1:Z5" xr:uid="{00000000-0009-0000-0100-000001000000}"/>
  <tableColumns count="26">
    <tableColumn id="1" xr3:uid="{4CED117F-26CE-4E02-9C3D-FCDC9A3A6AE3}" name="Stage" dataDxfId="25"/>
    <tableColumn id="3" xr3:uid="{F5B3ECA3-C35E-4862-9CF8-9DF645B874B0}" name="RGname" dataDxfId="24"/>
    <tableColumn id="4" xr3:uid="{D3BFF33A-D12D-46A3-AF34-B72CEEF3A7CC}" name="Location" dataDxfId="23"/>
    <tableColumn id="5" xr3:uid="{B2614111-FEE0-4B84-BBCD-D914905D5A3A}" name="Name" dataDxfId="22"/>
    <tableColumn id="6" xr3:uid="{D5D518E8-A2B6-451B-A65E-A929C8F6553A}" name="PrivateIP" dataDxfId="21"/>
    <tableColumn id="22" xr3:uid="{2581E355-2962-46E9-A9CD-E188E57E41A6}" name="VmSize" dataDxfId="20"/>
    <tableColumn id="23" xr3:uid="{A5DB8AB4-722C-450A-AC8D-5AC9DA9EACB7}" name="CPU" dataDxfId="19"/>
    <tableColumn id="34" xr3:uid="{AFE7E843-66BB-47B6-9247-9D29BAD8807D}" name="RAM" dataDxfId="18"/>
    <tableColumn id="7" xr3:uid="{59C4B219-83F6-4EFE-A394-B255CDFFD45B}" name="AdminUsername" dataDxfId="17"/>
    <tableColumn id="8" xr3:uid="{2AE885CB-4D7C-4D96-AFF3-793DDA444A94}" name="AdminPassword" dataDxfId="16"/>
    <tableColumn id="9" xr3:uid="{212247ED-E787-4308-9B76-EF6B13719266}" name="OsType" dataDxfId="15"/>
    <tableColumn id="10" xr3:uid="{2CDD36D5-D8B1-4584-AB69-420D4C9BC0A1}" name="ImageResourceId" dataDxfId="14"/>
    <tableColumn id="12" xr3:uid="{15E01662-969C-4596-AB4A-4FBA9BFA4DAE}" name="OsDiskName" dataDxfId="13">
      <calculatedColumnFormula>SUBSTITUTE(D2,"hazr-","")&amp;"-osdisk"</calculatedColumnFormula>
    </tableColumn>
    <tableColumn id="13" xr3:uid="{BC8FF9DF-82E6-48EA-BA69-9E00AFF25613}" name="OsDiskSize" dataDxfId="12"/>
    <tableColumn id="14" xr3:uid="{894720E0-82E8-439C-974E-33B231EFD52A}" name="OsDiskStorageType" dataDxfId="11"/>
    <tableColumn id="24" xr3:uid="{0B80057F-26E7-4557-B5A3-CCC0B84D937C}" name="DataDiskName" dataDxfId="10">
      <calculatedColumnFormula>SUBSTITUTE(D2,"hazr-","")&amp;"-disk"&amp;"01"</calculatedColumnFormula>
    </tableColumn>
    <tableColumn id="25" xr3:uid="{945A8D40-5286-40B8-A779-096BAACCE422}" name="DataDiskSize" dataDxfId="9"/>
    <tableColumn id="26" xr3:uid="{9CD555CE-BA32-467A-BA54-CB67AAB6EADF}" name="DataDiskStorageType" dataDxfId="8"/>
    <tableColumn id="15" xr3:uid="{C5A2122F-7340-4899-BAFD-5F7A71064D06}" name="NicName" dataDxfId="7">
      <calculatedColumnFormula>SUBSTITUTE(D2,"hazr-","")&amp;"-nic"</calculatedColumnFormula>
    </tableColumn>
    <tableColumn id="17" xr3:uid="{DDCE5B2F-7877-41D1-BFCD-B37FDEB60FA8}" name="IsStatic" dataDxfId="6"/>
    <tableColumn id="11" xr3:uid="{6CD99E95-D86C-472B-8ED2-70C1BC48947D}" name="VnetRG" dataDxfId="5"/>
    <tableColumn id="18" xr3:uid="{AC696498-1001-4F87-BC49-E0176818EA0B}" name="VnetName" dataDxfId="4"/>
    <tableColumn id="19" xr3:uid="{DA61F538-5D93-44DA-B85F-CE2922D16433}" name="SubnetName" dataDxfId="3"/>
    <tableColumn id="36" xr3:uid="{1D9FEDCC-DD30-4690-9FB5-589483A2C9D1}" name="Zones" dataDxfId="2"/>
    <tableColumn id="20" xr3:uid="{97BCCD92-07E3-456A-93D5-1C6B667C8898}" name="SubscriptionName" dataDxfId="1"/>
    <tableColumn id="35" xr3:uid="{ADB2288C-1F40-4671-920F-0D5C366F8F7A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E8"/>
  <sheetViews>
    <sheetView workbookViewId="0">
      <selection activeCell="G10" sqref="G10"/>
    </sheetView>
  </sheetViews>
  <sheetFormatPr defaultRowHeight="16.5" x14ac:dyDescent="0.3"/>
  <cols>
    <col min="1" max="1" width="5.75" bestFit="1" customWidth="1"/>
    <col min="2" max="2" width="9.375" bestFit="1" customWidth="1"/>
    <col min="3" max="3" width="17.625" bestFit="1" customWidth="1"/>
    <col min="4" max="4" width="12.25" bestFit="1" customWidth="1"/>
  </cols>
  <sheetData>
    <row r="1" spans="1:5" x14ac:dyDescent="0.3">
      <c r="A1" s="55" t="s">
        <v>0</v>
      </c>
      <c r="B1" s="55" t="s">
        <v>1</v>
      </c>
      <c r="C1" s="51" t="s">
        <v>2</v>
      </c>
      <c r="D1" s="51" t="s">
        <v>3</v>
      </c>
      <c r="E1" s="55" t="s">
        <v>81</v>
      </c>
    </row>
    <row r="2" spans="1:5" x14ac:dyDescent="0.3">
      <c r="A2" s="56" t="s">
        <v>82</v>
      </c>
      <c r="B2" s="56" t="s">
        <v>84</v>
      </c>
      <c r="C2" s="56" t="s">
        <v>188</v>
      </c>
      <c r="D2" s="56" t="s">
        <v>24</v>
      </c>
      <c r="E2" s="56"/>
    </row>
    <row r="3" spans="1:5" x14ac:dyDescent="0.3">
      <c r="A3" s="56" t="s">
        <v>82</v>
      </c>
      <c r="B3" s="56" t="s">
        <v>84</v>
      </c>
      <c r="C3" s="56" t="s">
        <v>189</v>
      </c>
      <c r="D3" s="56" t="s">
        <v>24</v>
      </c>
      <c r="E3" s="56"/>
    </row>
    <row r="4" spans="1:5" x14ac:dyDescent="0.3">
      <c r="A4" s="56" t="s">
        <v>82</v>
      </c>
      <c r="B4" s="56" t="s">
        <v>84</v>
      </c>
      <c r="C4" s="56" t="s">
        <v>190</v>
      </c>
      <c r="D4" s="56" t="s">
        <v>24</v>
      </c>
      <c r="E4" s="56"/>
    </row>
    <row r="5" spans="1:5" x14ac:dyDescent="0.3">
      <c r="A5" s="56" t="s">
        <v>82</v>
      </c>
      <c r="B5" s="56" t="s">
        <v>84</v>
      </c>
      <c r="C5" s="56" t="s">
        <v>191</v>
      </c>
      <c r="D5" s="56" t="s">
        <v>24</v>
      </c>
      <c r="E5" s="56"/>
    </row>
    <row r="6" spans="1:5" x14ac:dyDescent="0.3">
      <c r="A6" s="56" t="s">
        <v>82</v>
      </c>
      <c r="B6" s="56" t="s">
        <v>84</v>
      </c>
      <c r="C6" s="56" t="s">
        <v>192</v>
      </c>
      <c r="D6" s="56" t="s">
        <v>24</v>
      </c>
      <c r="E6" s="56"/>
    </row>
    <row r="7" spans="1:5" x14ac:dyDescent="0.3">
      <c r="A7" s="56" t="s">
        <v>82</v>
      </c>
      <c r="B7" s="56" t="s">
        <v>84</v>
      </c>
      <c r="C7" s="56" t="s">
        <v>193</v>
      </c>
      <c r="D7" s="56" t="s">
        <v>24</v>
      </c>
      <c r="E7" s="56"/>
    </row>
    <row r="8" spans="1:5" x14ac:dyDescent="0.3">
      <c r="A8" s="56" t="s">
        <v>82</v>
      </c>
      <c r="B8" s="56" t="s">
        <v>84</v>
      </c>
      <c r="C8" s="56" t="s">
        <v>194</v>
      </c>
      <c r="D8" s="56" t="s">
        <v>24</v>
      </c>
      <c r="E8" s="5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J5"/>
  <sheetViews>
    <sheetView topLeftCell="A2" workbookViewId="0">
      <selection activeCell="C33" sqref="C32:C33"/>
    </sheetView>
  </sheetViews>
  <sheetFormatPr defaultRowHeight="16.5" x14ac:dyDescent="0.3"/>
  <cols>
    <col min="3" max="3" width="12.5" bestFit="1" customWidth="1"/>
    <col min="4" max="4" width="12.25" bestFit="1" customWidth="1"/>
    <col min="5" max="5" width="16.875" bestFit="1" customWidth="1"/>
    <col min="6" max="7" width="13.125" bestFit="1" customWidth="1"/>
    <col min="8" max="8" width="13.5" bestFit="1" customWidth="1"/>
    <col min="9" max="9" width="13.375" bestFit="1" customWidth="1"/>
    <col min="10" max="10" width="15.125" bestFit="1" customWidth="1"/>
    <col min="11" max="11" width="13.375" bestFit="1" customWidth="1"/>
    <col min="12" max="12" width="15.125" bestFit="1" customWidth="1"/>
    <col min="13" max="13" width="13.375" bestFit="1" customWidth="1"/>
    <col min="14" max="14" width="15.125" bestFit="1" customWidth="1"/>
    <col min="15" max="15" width="13.375" bestFit="1" customWidth="1"/>
    <col min="16" max="16" width="15.125" bestFit="1" customWidth="1"/>
    <col min="17" max="17" width="13.375" bestFit="1" customWidth="1"/>
    <col min="18" max="18" width="15.125" bestFit="1" customWidth="1"/>
    <col min="19" max="19" width="13.375" bestFit="1" customWidth="1"/>
    <col min="20" max="20" width="15.125" bestFit="1" customWidth="1"/>
    <col min="21" max="21" width="13.375" bestFit="1" customWidth="1"/>
    <col min="22" max="22" width="15.125" bestFit="1" customWidth="1"/>
    <col min="23" max="23" width="13.375" bestFit="1" customWidth="1"/>
    <col min="24" max="24" width="15.125" bestFit="1" customWidth="1"/>
    <col min="25" max="25" width="13.375" bestFit="1" customWidth="1"/>
    <col min="26" max="26" width="15.125" bestFit="1" customWidth="1"/>
    <col min="27" max="27" width="14.375" bestFit="1" customWidth="1"/>
    <col min="28" max="28" width="16.25" bestFit="1" customWidth="1"/>
    <col min="29" max="29" width="14.375" bestFit="1" customWidth="1"/>
    <col min="30" max="30" width="16.25" bestFit="1" customWidth="1"/>
    <col min="31" max="31" width="14.375" bestFit="1" customWidth="1"/>
    <col min="32" max="32" width="16.25" bestFit="1" customWidth="1"/>
    <col min="33" max="33" width="14.375" bestFit="1" customWidth="1"/>
    <col min="34" max="34" width="16.25" bestFit="1" customWidth="1"/>
    <col min="35" max="35" width="14.375" bestFit="1" customWidth="1"/>
    <col min="36" max="36" width="16.25" bestFit="1" customWidth="1"/>
    <col min="37" max="37" width="14.375" bestFit="1" customWidth="1"/>
    <col min="38" max="38" width="16.25" bestFit="1" customWidth="1"/>
    <col min="39" max="39" width="14.375" bestFit="1" customWidth="1"/>
    <col min="40" max="40" width="16.25" bestFit="1" customWidth="1"/>
    <col min="41" max="41" width="14.375" bestFit="1" customWidth="1"/>
    <col min="42" max="42" width="16.25" bestFit="1" customWidth="1"/>
    <col min="43" max="43" width="14.375" bestFit="1" customWidth="1"/>
    <col min="44" max="44" width="16.25" bestFit="1" customWidth="1"/>
    <col min="45" max="45" width="14.375" bestFit="1" customWidth="1"/>
    <col min="46" max="46" width="16.25" bestFit="1" customWidth="1"/>
    <col min="47" max="47" width="14.375" bestFit="1" customWidth="1"/>
    <col min="48" max="48" width="16.25" bestFit="1" customWidth="1"/>
    <col min="49" max="49" width="14.375" bestFit="1" customWidth="1"/>
    <col min="50" max="50" width="16.25" bestFit="1" customWidth="1"/>
    <col min="51" max="51" width="14.375" bestFit="1" customWidth="1"/>
    <col min="52" max="52" width="16.25" bestFit="1" customWidth="1"/>
    <col min="53" max="53" width="14.375" bestFit="1" customWidth="1"/>
    <col min="54" max="54" width="16.25" bestFit="1" customWidth="1"/>
    <col min="55" max="55" width="14.375" bestFit="1" customWidth="1"/>
    <col min="56" max="56" width="16.25" bestFit="1" customWidth="1"/>
    <col min="57" max="57" width="14.375" bestFit="1" customWidth="1"/>
    <col min="58" max="58" width="16.25" bestFit="1" customWidth="1"/>
    <col min="59" max="59" width="14.375" bestFit="1" customWidth="1"/>
    <col min="60" max="60" width="16.25" bestFit="1" customWidth="1"/>
    <col min="61" max="61" width="14.375" bestFit="1" customWidth="1"/>
    <col min="62" max="62" width="16.25" bestFit="1" customWidth="1"/>
  </cols>
  <sheetData>
    <row r="1" spans="1:62" x14ac:dyDescent="0.3">
      <c r="A1" s="55" t="s">
        <v>0</v>
      </c>
      <c r="B1" s="55" t="s">
        <v>1</v>
      </c>
      <c r="C1" s="51" t="s">
        <v>2</v>
      </c>
      <c r="D1" s="51" t="s">
        <v>3</v>
      </c>
      <c r="E1" s="51" t="s">
        <v>107</v>
      </c>
      <c r="F1" s="51" t="s">
        <v>108</v>
      </c>
      <c r="G1" s="55" t="s">
        <v>109</v>
      </c>
      <c r="H1" s="55" t="s">
        <v>110</v>
      </c>
      <c r="I1" s="51" t="s">
        <v>93</v>
      </c>
      <c r="J1" s="51" t="s">
        <v>94</v>
      </c>
      <c r="K1" s="55" t="s">
        <v>95</v>
      </c>
      <c r="L1" s="55" t="s">
        <v>96</v>
      </c>
      <c r="M1" s="55" t="s">
        <v>97</v>
      </c>
      <c r="N1" s="55" t="s">
        <v>98</v>
      </c>
      <c r="O1" s="55" t="s">
        <v>203</v>
      </c>
      <c r="P1" s="55" t="s">
        <v>204</v>
      </c>
      <c r="Q1" s="55" t="s">
        <v>205</v>
      </c>
      <c r="R1" s="55" t="s">
        <v>206</v>
      </c>
      <c r="S1" s="55" t="s">
        <v>207</v>
      </c>
      <c r="T1" s="55" t="s">
        <v>208</v>
      </c>
      <c r="U1" s="55" t="s">
        <v>209</v>
      </c>
      <c r="V1" s="55" t="s">
        <v>210</v>
      </c>
      <c r="W1" s="55" t="s">
        <v>211</v>
      </c>
      <c r="X1" s="55" t="s">
        <v>212</v>
      </c>
      <c r="Y1" s="55" t="s">
        <v>213</v>
      </c>
      <c r="Z1" s="55" t="s">
        <v>214</v>
      </c>
      <c r="AA1" s="55" t="s">
        <v>245</v>
      </c>
      <c r="AB1" s="55" t="s">
        <v>246</v>
      </c>
      <c r="AC1" s="55" t="s">
        <v>247</v>
      </c>
      <c r="AD1" s="55" t="s">
        <v>248</v>
      </c>
      <c r="AE1" s="55" t="s">
        <v>249</v>
      </c>
      <c r="AF1" s="55" t="s">
        <v>250</v>
      </c>
      <c r="AG1" s="55" t="s">
        <v>251</v>
      </c>
      <c r="AH1" s="55" t="s">
        <v>252</v>
      </c>
      <c r="AI1" s="55" t="s">
        <v>253</v>
      </c>
      <c r="AJ1" s="55" t="s">
        <v>254</v>
      </c>
      <c r="AK1" s="55" t="s">
        <v>255</v>
      </c>
      <c r="AL1" s="55" t="s">
        <v>270</v>
      </c>
      <c r="AM1" s="55" t="s">
        <v>271</v>
      </c>
      <c r="AN1" s="55" t="s">
        <v>272</v>
      </c>
      <c r="AO1" s="55" t="s">
        <v>273</v>
      </c>
      <c r="AP1" s="55" t="s">
        <v>274</v>
      </c>
      <c r="AQ1" s="55" t="s">
        <v>275</v>
      </c>
      <c r="AR1" s="55" t="s">
        <v>276</v>
      </c>
      <c r="AS1" s="55" t="s">
        <v>277</v>
      </c>
      <c r="AT1" s="55" t="s">
        <v>278</v>
      </c>
      <c r="AU1" s="55" t="s">
        <v>279</v>
      </c>
      <c r="AV1" s="55" t="s">
        <v>280</v>
      </c>
      <c r="AW1" s="55" t="s">
        <v>281</v>
      </c>
      <c r="AX1" s="55" t="s">
        <v>282</v>
      </c>
      <c r="AY1" s="55" t="s">
        <v>283</v>
      </c>
      <c r="AZ1" s="55" t="s">
        <v>284</v>
      </c>
      <c r="BA1" s="55" t="s">
        <v>285</v>
      </c>
      <c r="BB1" s="55" t="s">
        <v>286</v>
      </c>
      <c r="BC1" s="55" t="s">
        <v>287</v>
      </c>
      <c r="BD1" s="55" t="s">
        <v>288</v>
      </c>
      <c r="BE1" s="55" t="s">
        <v>289</v>
      </c>
      <c r="BF1" s="55" t="s">
        <v>290</v>
      </c>
      <c r="BG1" s="55" t="s">
        <v>311</v>
      </c>
      <c r="BH1" s="55" t="s">
        <v>312</v>
      </c>
      <c r="BI1" s="55" t="s">
        <v>313</v>
      </c>
      <c r="BJ1" s="55" t="s">
        <v>314</v>
      </c>
    </row>
    <row r="2" spans="1:62" x14ac:dyDescent="0.3">
      <c r="A2" s="56" t="s">
        <v>82</v>
      </c>
      <c r="B2" s="56" t="s">
        <v>84</v>
      </c>
      <c r="C2" s="56" t="s">
        <v>188</v>
      </c>
      <c r="D2" s="56" t="s">
        <v>24</v>
      </c>
      <c r="E2" s="56" t="s">
        <v>195</v>
      </c>
      <c r="F2" s="56" t="s">
        <v>197</v>
      </c>
      <c r="G2" s="56"/>
      <c r="H2" s="56"/>
      <c r="I2" s="56" t="s">
        <v>198</v>
      </c>
      <c r="J2" s="56" t="s">
        <v>199</v>
      </c>
      <c r="K2" s="56" t="s">
        <v>200</v>
      </c>
      <c r="L2" s="56" t="s">
        <v>233</v>
      </c>
      <c r="M2" s="56" t="s">
        <v>201</v>
      </c>
      <c r="N2" s="56" t="s">
        <v>202</v>
      </c>
      <c r="O2" s="56" t="s">
        <v>215</v>
      </c>
      <c r="P2" s="56" t="s">
        <v>216</v>
      </c>
      <c r="Q2" s="56" t="s">
        <v>217</v>
      </c>
      <c r="R2" s="56" t="s">
        <v>218</v>
      </c>
      <c r="S2" s="56" t="s">
        <v>219</v>
      </c>
      <c r="T2" s="56" t="s">
        <v>220</v>
      </c>
      <c r="U2" s="56" t="s">
        <v>221</v>
      </c>
      <c r="V2" s="56" t="s">
        <v>222</v>
      </c>
      <c r="W2" s="56" t="s">
        <v>223</v>
      </c>
      <c r="X2" s="56" t="s">
        <v>224</v>
      </c>
      <c r="Y2" s="56" t="s">
        <v>225</v>
      </c>
      <c r="Z2" s="56" t="s">
        <v>226</v>
      </c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</row>
    <row r="3" spans="1:62" x14ac:dyDescent="0.3">
      <c r="A3" s="56" t="s">
        <v>82</v>
      </c>
      <c r="B3" s="56" t="s">
        <v>84</v>
      </c>
      <c r="C3" s="56" t="s">
        <v>188</v>
      </c>
      <c r="D3" s="56" t="s">
        <v>24</v>
      </c>
      <c r="E3" s="56" t="s">
        <v>196</v>
      </c>
      <c r="F3" s="56" t="s">
        <v>227</v>
      </c>
      <c r="G3" s="56" t="s">
        <v>228</v>
      </c>
      <c r="H3" s="56" t="s">
        <v>229</v>
      </c>
      <c r="I3" s="56" t="s">
        <v>230</v>
      </c>
      <c r="J3" s="56" t="s">
        <v>231</v>
      </c>
      <c r="K3" s="56" t="s">
        <v>232</v>
      </c>
      <c r="L3" s="56" t="s">
        <v>234</v>
      </c>
      <c r="M3" s="56" t="s">
        <v>235</v>
      </c>
      <c r="N3" s="56" t="s">
        <v>236</v>
      </c>
      <c r="O3" s="56" t="s">
        <v>237</v>
      </c>
      <c r="P3" s="56" t="s">
        <v>238</v>
      </c>
      <c r="Q3" s="56" t="s">
        <v>239</v>
      </c>
      <c r="R3" s="56" t="s">
        <v>240</v>
      </c>
      <c r="S3" s="56" t="s">
        <v>241</v>
      </c>
      <c r="T3" s="56" t="s">
        <v>242</v>
      </c>
      <c r="U3" s="56" t="s">
        <v>243</v>
      </c>
      <c r="V3" s="56" t="s">
        <v>244</v>
      </c>
      <c r="W3" s="56" t="s">
        <v>256</v>
      </c>
      <c r="X3" s="56" t="s">
        <v>260</v>
      </c>
      <c r="Y3" s="56" t="s">
        <v>257</v>
      </c>
      <c r="Z3" s="56" t="s">
        <v>261</v>
      </c>
      <c r="AA3" s="56" t="s">
        <v>258</v>
      </c>
      <c r="AB3" s="56" t="s">
        <v>262</v>
      </c>
      <c r="AC3" s="56" t="s">
        <v>259</v>
      </c>
      <c r="AD3" s="56" t="s">
        <v>263</v>
      </c>
      <c r="AE3" s="56" t="s">
        <v>264</v>
      </c>
      <c r="AF3" s="56" t="s">
        <v>265</v>
      </c>
      <c r="AG3" s="56" t="s">
        <v>266</v>
      </c>
      <c r="AH3" s="56" t="s">
        <v>268</v>
      </c>
      <c r="AI3" s="56" t="s">
        <v>267</v>
      </c>
      <c r="AJ3" s="56" t="s">
        <v>269</v>
      </c>
      <c r="AK3" s="56" t="s">
        <v>291</v>
      </c>
      <c r="AL3" s="56" t="s">
        <v>292</v>
      </c>
      <c r="AM3" s="56" t="s">
        <v>293</v>
      </c>
      <c r="AN3" s="56" t="s">
        <v>296</v>
      </c>
      <c r="AO3" s="56" t="s">
        <v>294</v>
      </c>
      <c r="AP3" s="56" t="s">
        <v>297</v>
      </c>
      <c r="AQ3" s="56" t="s">
        <v>295</v>
      </c>
      <c r="AR3" s="56" t="s">
        <v>298</v>
      </c>
      <c r="AS3" s="52" t="s">
        <v>299</v>
      </c>
      <c r="AT3" s="56" t="s">
        <v>302</v>
      </c>
      <c r="AU3" s="52" t="s">
        <v>300</v>
      </c>
      <c r="AV3" s="56" t="s">
        <v>303</v>
      </c>
      <c r="AW3" s="52" t="s">
        <v>301</v>
      </c>
      <c r="AX3" s="52" t="s">
        <v>304</v>
      </c>
      <c r="AY3" s="52" t="s">
        <v>305</v>
      </c>
      <c r="AZ3" s="52" t="s">
        <v>308</v>
      </c>
      <c r="BA3" s="52" t="s">
        <v>306</v>
      </c>
      <c r="BB3" s="52" t="s">
        <v>310</v>
      </c>
      <c r="BC3" s="52" t="s">
        <v>307</v>
      </c>
      <c r="BD3" s="52" t="s">
        <v>309</v>
      </c>
      <c r="BE3" s="52" t="s">
        <v>315</v>
      </c>
      <c r="BF3" s="52" t="s">
        <v>319</v>
      </c>
      <c r="BG3" s="52" t="s">
        <v>316</v>
      </c>
      <c r="BH3" s="52"/>
      <c r="BI3" s="52" t="s">
        <v>317</v>
      </c>
      <c r="BJ3" s="52" t="s">
        <v>318</v>
      </c>
    </row>
    <row r="4" spans="1:62" x14ac:dyDescent="0.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</row>
    <row r="5" spans="1:6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zoomScaleNormal="100" zoomScaleSheetLayoutView="100" workbookViewId="0"/>
  </sheetViews>
  <sheetFormatPr defaultRowHeight="16.5" x14ac:dyDescent="0.3"/>
  <cols>
    <col min="1" max="1" width="7.25" customWidth="1"/>
    <col min="2" max="2" width="16.125" bestFit="1" customWidth="1"/>
    <col min="3" max="3" width="12.25" bestFit="1" customWidth="1"/>
    <col min="4" max="4" width="17.875" bestFit="1" customWidth="1"/>
    <col min="5" max="5" width="11.75" bestFit="1" customWidth="1"/>
    <col min="6" max="6" width="9.125" bestFit="1" customWidth="1"/>
    <col min="7" max="7" width="6.75" bestFit="1" customWidth="1"/>
    <col min="8" max="8" width="7.25" bestFit="1" customWidth="1"/>
    <col min="9" max="9" width="16.875" bestFit="1" customWidth="1"/>
    <col min="10" max="10" width="15.875" customWidth="1"/>
    <col min="11" max="11" width="16.25" style="2" bestFit="1" customWidth="1"/>
    <col min="12" max="12" width="155.75" bestFit="1" customWidth="1"/>
    <col min="13" max="13" width="19.5" bestFit="1" customWidth="1"/>
    <col min="14" max="14" width="11.875" bestFit="1" customWidth="1"/>
    <col min="15" max="15" width="19.25" bestFit="1" customWidth="1"/>
    <col min="16" max="16" width="15.375" bestFit="1" customWidth="1"/>
    <col min="17" max="17" width="13.625" bestFit="1" customWidth="1"/>
    <col min="18" max="19" width="21" bestFit="1" customWidth="1"/>
    <col min="20" max="20" width="18" customWidth="1"/>
    <col min="21" max="21" width="12.25" bestFit="1" customWidth="1"/>
    <col min="22" max="22" width="16.625" bestFit="1" customWidth="1"/>
    <col min="23" max="23" width="15.125" customWidth="1"/>
    <col min="24" max="24" width="13.5" bestFit="1" customWidth="1"/>
    <col min="25" max="25" width="15" customWidth="1"/>
    <col min="26" max="26" width="17" customWidth="1"/>
    <col min="27" max="27" width="58.5" bestFit="1" customWidth="1"/>
  </cols>
  <sheetData>
    <row r="1" spans="1:26" x14ac:dyDescent="0.3">
      <c r="A1" s="1" t="s">
        <v>0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1" t="s">
        <v>7</v>
      </c>
      <c r="H1" s="1" t="s">
        <v>8</v>
      </c>
      <c r="I1" s="43" t="s">
        <v>9</v>
      </c>
      <c r="J1" s="44" t="s">
        <v>10</v>
      </c>
      <c r="K1" s="43" t="s">
        <v>104</v>
      </c>
      <c r="L1" s="43" t="s">
        <v>29</v>
      </c>
      <c r="M1" s="43" t="s">
        <v>11</v>
      </c>
      <c r="N1" s="43" t="s">
        <v>12</v>
      </c>
      <c r="O1" s="43" t="s">
        <v>13</v>
      </c>
      <c r="P1" s="1" t="s">
        <v>14</v>
      </c>
      <c r="Q1" s="1" t="s">
        <v>15</v>
      </c>
      <c r="R1" s="1" t="s">
        <v>16</v>
      </c>
      <c r="S1" s="43" t="s">
        <v>17</v>
      </c>
      <c r="T1" s="43" t="s">
        <v>18</v>
      </c>
      <c r="U1" s="43" t="s">
        <v>103</v>
      </c>
      <c r="V1" s="43" t="s">
        <v>19</v>
      </c>
      <c r="W1" s="43" t="s">
        <v>20</v>
      </c>
      <c r="X1" s="43" t="s">
        <v>26</v>
      </c>
      <c r="Y1" s="1" t="s">
        <v>21</v>
      </c>
      <c r="Z1" s="1" t="s">
        <v>22</v>
      </c>
    </row>
    <row r="2" spans="1:26" x14ac:dyDescent="0.3">
      <c r="A2" s="1" t="s">
        <v>82</v>
      </c>
      <c r="B2" s="1" t="s">
        <v>191</v>
      </c>
      <c r="C2" s="1" t="s">
        <v>24</v>
      </c>
      <c r="D2" s="1" t="s">
        <v>323</v>
      </c>
      <c r="E2" s="1" t="s">
        <v>325</v>
      </c>
      <c r="F2" s="1" t="s">
        <v>327</v>
      </c>
      <c r="G2" s="1">
        <v>2</v>
      </c>
      <c r="H2" s="1">
        <v>8</v>
      </c>
      <c r="I2" s="1" t="s">
        <v>322</v>
      </c>
      <c r="J2" s="1" t="s">
        <v>321</v>
      </c>
      <c r="K2" s="1" t="s">
        <v>25</v>
      </c>
      <c r="L2" s="1" t="s">
        <v>334</v>
      </c>
      <c r="M2" s="1" t="str">
        <f>SUBSTITUTE(D2,"hazr-","")&amp;"-osdisk"</f>
        <v>d-dis-ap01-osdisk</v>
      </c>
      <c r="N2" s="1">
        <v>64</v>
      </c>
      <c r="O2" s="1" t="s">
        <v>102</v>
      </c>
      <c r="P2" s="1"/>
      <c r="Q2" s="1"/>
      <c r="R2" s="1"/>
      <c r="S2" s="1" t="str">
        <f t="shared" ref="S2:S3" si="0">SUBSTITUTE(D2,"hazr-","")&amp;"-nic"</f>
        <v>d-dis-ap01-nic</v>
      </c>
      <c r="T2" s="1" t="b">
        <v>1</v>
      </c>
      <c r="U2" s="1" t="s">
        <v>188</v>
      </c>
      <c r="V2" s="1" t="s">
        <v>196</v>
      </c>
      <c r="W2" s="1" t="s">
        <v>230</v>
      </c>
      <c r="X2" s="1">
        <v>1</v>
      </c>
      <c r="Y2" s="1"/>
      <c r="Z2" s="1"/>
    </row>
    <row r="3" spans="1:26" x14ac:dyDescent="0.3">
      <c r="A3" s="1" t="s">
        <v>82</v>
      </c>
      <c r="B3" s="1" t="s">
        <v>191</v>
      </c>
      <c r="C3" s="1" t="s">
        <v>24</v>
      </c>
      <c r="D3" s="1" t="s">
        <v>324</v>
      </c>
      <c r="E3" s="1" t="s">
        <v>326</v>
      </c>
      <c r="F3" s="1" t="s">
        <v>327</v>
      </c>
      <c r="G3" s="1">
        <v>2</v>
      </c>
      <c r="H3" s="1">
        <v>8</v>
      </c>
      <c r="I3" s="1" t="s">
        <v>322</v>
      </c>
      <c r="J3" s="1" t="s">
        <v>321</v>
      </c>
      <c r="K3" s="1" t="s">
        <v>25</v>
      </c>
      <c r="L3" s="1" t="s">
        <v>334</v>
      </c>
      <c r="M3" s="1" t="str">
        <f>SUBSTITUTE(D3,"hazr-","")&amp;"-osdisk"</f>
        <v>d-dis-adm01-osdisk</v>
      </c>
      <c r="N3" s="1">
        <v>64</v>
      </c>
      <c r="O3" s="1" t="s">
        <v>102</v>
      </c>
      <c r="P3" s="1"/>
      <c r="Q3" s="1"/>
      <c r="R3" s="1"/>
      <c r="S3" s="1" t="str">
        <f t="shared" si="0"/>
        <v>d-dis-adm01-nic</v>
      </c>
      <c r="T3" s="1" t="b">
        <v>1</v>
      </c>
      <c r="U3" s="1" t="s">
        <v>188</v>
      </c>
      <c r="V3" s="1" t="s">
        <v>196</v>
      </c>
      <c r="W3" s="1" t="s">
        <v>230</v>
      </c>
      <c r="X3" s="1">
        <v>1</v>
      </c>
      <c r="Y3" s="1"/>
      <c r="Z3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I6"/>
  <sheetViews>
    <sheetView workbookViewId="0">
      <selection activeCell="C33" sqref="C33"/>
    </sheetView>
  </sheetViews>
  <sheetFormatPr defaultRowHeight="16.5" x14ac:dyDescent="0.3"/>
  <cols>
    <col min="3" max="3" width="17.25" bestFit="1" customWidth="1"/>
    <col min="4" max="4" width="20.5" customWidth="1"/>
    <col min="5" max="5" width="10.625" bestFit="1" customWidth="1"/>
    <col min="6" max="6" width="20" bestFit="1" customWidth="1"/>
    <col min="7" max="7" width="18.5" bestFit="1" customWidth="1"/>
    <col min="8" max="8" width="18" customWidth="1"/>
  </cols>
  <sheetData>
    <row r="1" spans="1:9" x14ac:dyDescent="0.3">
      <c r="A1" s="3" t="s">
        <v>0</v>
      </c>
      <c r="B1" s="45" t="s">
        <v>1</v>
      </c>
      <c r="C1" s="46" t="s">
        <v>34</v>
      </c>
      <c r="D1" s="47" t="s">
        <v>36</v>
      </c>
      <c r="E1" s="47" t="s">
        <v>113</v>
      </c>
      <c r="F1" s="47" t="s">
        <v>114</v>
      </c>
      <c r="G1" s="46" t="s">
        <v>115</v>
      </c>
      <c r="H1" s="46" t="s">
        <v>32</v>
      </c>
      <c r="I1" s="46" t="s">
        <v>38</v>
      </c>
    </row>
    <row r="2" spans="1:9" x14ac:dyDescent="0.3">
      <c r="A2" s="4" t="s">
        <v>23</v>
      </c>
      <c r="B2" s="4" t="s">
        <v>30</v>
      </c>
      <c r="C2" s="4" t="s">
        <v>101</v>
      </c>
      <c r="D2" s="4" t="str">
        <f>IF(I2="O",H2&amp;"-NSG",G2&amp;"-NSG")</f>
        <v>PRDWEB01-nic-NSG</v>
      </c>
      <c r="E2" s="4" t="s">
        <v>85</v>
      </c>
      <c r="F2" s="4" t="s">
        <v>90</v>
      </c>
      <c r="G2" s="4"/>
      <c r="H2" s="4" t="s">
        <v>111</v>
      </c>
      <c r="I2" s="5" t="s">
        <v>35</v>
      </c>
    </row>
    <row r="3" spans="1:9" x14ac:dyDescent="0.3">
      <c r="A3" s="6" t="s">
        <v>23</v>
      </c>
      <c r="B3" s="6" t="s">
        <v>30</v>
      </c>
      <c r="C3" s="6" t="s">
        <v>101</v>
      </c>
      <c r="D3" s="6" t="str">
        <f>IF(I3="O",H3&amp;"-NSG",G3&amp;"-NSG")</f>
        <v>PRDWEB02-nic-NSG</v>
      </c>
      <c r="E3" s="6" t="s">
        <v>85</v>
      </c>
      <c r="F3" s="6" t="s">
        <v>90</v>
      </c>
      <c r="G3" s="6"/>
      <c r="H3" s="6" t="s">
        <v>112</v>
      </c>
      <c r="I3" s="7" t="s">
        <v>35</v>
      </c>
    </row>
    <row r="4" spans="1:9" x14ac:dyDescent="0.3">
      <c r="A4" s="4" t="s">
        <v>23</v>
      </c>
      <c r="B4" s="4" t="s">
        <v>30</v>
      </c>
      <c r="C4" s="4" t="s">
        <v>101</v>
      </c>
      <c r="D4" s="4" t="str">
        <f>IF(I4="O",A4&amp;H4&amp;"-NSG",A4&amp;G4&amp;"-NSG")</f>
        <v>PRDWEBSubnet-NSG</v>
      </c>
      <c r="E4" s="4" t="s">
        <v>85</v>
      </c>
      <c r="F4" s="4" t="s">
        <v>90</v>
      </c>
      <c r="G4" s="4" t="s">
        <v>99</v>
      </c>
      <c r="H4" s="4"/>
      <c r="I4" s="5" t="s">
        <v>39</v>
      </c>
    </row>
    <row r="5" spans="1:9" x14ac:dyDescent="0.3">
      <c r="A5" s="6" t="s">
        <v>83</v>
      </c>
      <c r="B5" s="6" t="s">
        <v>31</v>
      </c>
      <c r="C5" s="6" t="s">
        <v>87</v>
      </c>
      <c r="D5" s="6" t="str">
        <f>IF(I5="O",A5&amp;H5&amp;"-NSG",A5&amp;G5&amp;"-NSG")</f>
        <v>STGWEBSubnet-NSG</v>
      </c>
      <c r="E5" s="6" t="s">
        <v>86</v>
      </c>
      <c r="F5" s="6" t="s">
        <v>91</v>
      </c>
      <c r="G5" s="6" t="s">
        <v>99</v>
      </c>
      <c r="H5" s="6"/>
      <c r="I5" s="7" t="s">
        <v>39</v>
      </c>
    </row>
    <row r="6" spans="1:9" x14ac:dyDescent="0.3">
      <c r="A6" s="53" t="s">
        <v>82</v>
      </c>
      <c r="B6" s="53" t="s">
        <v>33</v>
      </c>
      <c r="C6" s="53" t="s">
        <v>89</v>
      </c>
      <c r="D6" s="4" t="str">
        <f>IF(I6="O",A6&amp;H6&amp;"-NSG",A6&amp;G6&amp;"-NSG")</f>
        <v>DEVAPPSubnet-NSG</v>
      </c>
      <c r="E6" s="4" t="s">
        <v>88</v>
      </c>
      <c r="F6" s="53" t="s">
        <v>92</v>
      </c>
      <c r="G6" s="53" t="s">
        <v>100</v>
      </c>
      <c r="H6" s="53"/>
      <c r="I6" s="54" t="s">
        <v>39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workbookViewId="0"/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5" t="s">
        <v>1</v>
      </c>
      <c r="C1" s="47" t="s">
        <v>36</v>
      </c>
      <c r="D1" s="47" t="s">
        <v>40</v>
      </c>
      <c r="E1" s="46" t="s">
        <v>41</v>
      </c>
      <c r="F1" s="47" t="s">
        <v>43</v>
      </c>
      <c r="G1" s="46" t="s">
        <v>42</v>
      </c>
      <c r="H1" s="48" t="s">
        <v>55</v>
      </c>
      <c r="I1" s="49" t="s">
        <v>56</v>
      </c>
      <c r="J1" s="49" t="s">
        <v>57</v>
      </c>
      <c r="K1" s="49" t="s">
        <v>58</v>
      </c>
      <c r="L1" s="49" t="s">
        <v>59</v>
      </c>
      <c r="M1" s="50" t="s">
        <v>22</v>
      </c>
    </row>
    <row r="2" spans="1:16" x14ac:dyDescent="0.3">
      <c r="A2" s="14" t="s">
        <v>23</v>
      </c>
      <c r="B2" s="15" t="s">
        <v>30</v>
      </c>
      <c r="C2" s="15" t="s">
        <v>116</v>
      </c>
      <c r="D2" s="15">
        <v>100</v>
      </c>
      <c r="E2" s="15" t="s">
        <v>53</v>
      </c>
      <c r="F2" s="15" t="s">
        <v>44</v>
      </c>
      <c r="G2" s="15" t="s">
        <v>47</v>
      </c>
      <c r="H2" s="15" t="s">
        <v>60</v>
      </c>
      <c r="I2" s="30" t="s">
        <v>76</v>
      </c>
      <c r="J2" s="30" t="s">
        <v>61</v>
      </c>
      <c r="K2" s="30" t="s">
        <v>27</v>
      </c>
      <c r="L2" s="30">
        <v>22</v>
      </c>
      <c r="M2" s="24" t="s">
        <v>65</v>
      </c>
    </row>
    <row r="3" spans="1:16" x14ac:dyDescent="0.3">
      <c r="A3" s="16" t="s">
        <v>23</v>
      </c>
      <c r="B3" s="4" t="s">
        <v>30</v>
      </c>
      <c r="C3" s="4" t="s">
        <v>116</v>
      </c>
      <c r="D3" s="4">
        <v>110</v>
      </c>
      <c r="E3" s="4" t="s">
        <v>52</v>
      </c>
      <c r="F3" s="4" t="s">
        <v>44</v>
      </c>
      <c r="G3" s="4" t="s">
        <v>47</v>
      </c>
      <c r="H3" s="4" t="s">
        <v>60</v>
      </c>
      <c r="I3" s="31" t="s">
        <v>61</v>
      </c>
      <c r="J3" s="31" t="s">
        <v>77</v>
      </c>
      <c r="K3" s="31" t="s">
        <v>74</v>
      </c>
      <c r="L3" s="31">
        <v>80</v>
      </c>
      <c r="M3" s="25" t="s">
        <v>66</v>
      </c>
    </row>
    <row r="4" spans="1:16" x14ac:dyDescent="0.3">
      <c r="A4" s="17" t="s">
        <v>23</v>
      </c>
      <c r="B4" s="9" t="s">
        <v>30</v>
      </c>
      <c r="C4" s="9" t="s">
        <v>116</v>
      </c>
      <c r="D4" s="9">
        <v>4095</v>
      </c>
      <c r="E4" s="9" t="s">
        <v>51</v>
      </c>
      <c r="F4" s="9" t="s">
        <v>44</v>
      </c>
      <c r="G4" s="9" t="s">
        <v>47</v>
      </c>
      <c r="H4" s="9" t="s">
        <v>62</v>
      </c>
      <c r="I4" s="32" t="s">
        <v>63</v>
      </c>
      <c r="J4" s="32" t="s">
        <v>61</v>
      </c>
      <c r="K4" s="32" t="s">
        <v>61</v>
      </c>
      <c r="L4" s="32" t="s">
        <v>61</v>
      </c>
      <c r="M4" s="26" t="s">
        <v>69</v>
      </c>
    </row>
    <row r="5" spans="1:16" x14ac:dyDescent="0.3">
      <c r="A5" s="18" t="s">
        <v>23</v>
      </c>
      <c r="B5" s="9" t="s">
        <v>30</v>
      </c>
      <c r="C5" s="9" t="s">
        <v>116</v>
      </c>
      <c r="D5" s="9">
        <v>4096</v>
      </c>
      <c r="E5" s="9" t="s">
        <v>54</v>
      </c>
      <c r="F5" s="9" t="s">
        <v>44</v>
      </c>
      <c r="G5" s="9" t="s">
        <v>46</v>
      </c>
      <c r="H5" s="9" t="s">
        <v>62</v>
      </c>
      <c r="I5" s="32" t="s">
        <v>37</v>
      </c>
      <c r="J5" s="32" t="s">
        <v>61</v>
      </c>
      <c r="K5" s="32" t="s">
        <v>37</v>
      </c>
      <c r="L5" s="32" t="s">
        <v>61</v>
      </c>
      <c r="M5" s="26" t="s">
        <v>68</v>
      </c>
    </row>
    <row r="6" spans="1:16" x14ac:dyDescent="0.3">
      <c r="A6" s="19" t="s">
        <v>23</v>
      </c>
      <c r="B6" s="12" t="s">
        <v>30</v>
      </c>
      <c r="C6" s="12" t="s">
        <v>116</v>
      </c>
      <c r="D6" s="12">
        <v>100</v>
      </c>
      <c r="E6" s="12" t="s">
        <v>49</v>
      </c>
      <c r="F6" s="12" t="s">
        <v>45</v>
      </c>
      <c r="G6" s="12" t="s">
        <v>47</v>
      </c>
      <c r="H6" s="12" t="s">
        <v>60</v>
      </c>
      <c r="I6" s="33" t="s">
        <v>27</v>
      </c>
      <c r="J6" s="33" t="s">
        <v>61</v>
      </c>
      <c r="K6" s="33" t="s">
        <v>70</v>
      </c>
      <c r="L6" s="33" t="s">
        <v>78</v>
      </c>
      <c r="M6" s="27" t="s">
        <v>72</v>
      </c>
    </row>
    <row r="7" spans="1:16" x14ac:dyDescent="0.3">
      <c r="A7" s="20" t="s">
        <v>23</v>
      </c>
      <c r="B7" s="6" t="s">
        <v>30</v>
      </c>
      <c r="C7" s="6" t="s">
        <v>116</v>
      </c>
      <c r="D7" s="6"/>
      <c r="E7" s="6"/>
      <c r="F7" s="6"/>
      <c r="G7" s="6"/>
      <c r="H7" s="6"/>
      <c r="I7" s="34"/>
      <c r="J7" s="34"/>
      <c r="K7" s="34"/>
      <c r="L7" s="34"/>
      <c r="M7" s="28"/>
    </row>
    <row r="8" spans="1:16" x14ac:dyDescent="0.3">
      <c r="A8" s="20" t="s">
        <v>23</v>
      </c>
      <c r="B8" s="6" t="s">
        <v>30</v>
      </c>
      <c r="C8" s="6" t="s">
        <v>116</v>
      </c>
      <c r="D8" s="6"/>
      <c r="E8" s="6"/>
      <c r="F8" s="6" t="s">
        <v>45</v>
      </c>
      <c r="G8" s="6"/>
      <c r="H8" s="6"/>
      <c r="I8" s="34"/>
      <c r="J8" s="34"/>
      <c r="K8" s="34"/>
      <c r="L8" s="34"/>
      <c r="M8" s="28"/>
    </row>
    <row r="9" spans="1:16" ht="17.25" thickBot="1" x14ac:dyDescent="0.35">
      <c r="A9" s="21" t="s">
        <v>23</v>
      </c>
      <c r="B9" s="22" t="s">
        <v>30</v>
      </c>
      <c r="C9" s="22" t="s">
        <v>116</v>
      </c>
      <c r="D9" s="22">
        <v>4096</v>
      </c>
      <c r="E9" s="22" t="s">
        <v>75</v>
      </c>
      <c r="F9" s="22" t="s">
        <v>45</v>
      </c>
      <c r="G9" s="22" t="s">
        <v>46</v>
      </c>
      <c r="H9" s="23" t="s">
        <v>62</v>
      </c>
      <c r="I9" s="35" t="s">
        <v>61</v>
      </c>
      <c r="J9" s="35" t="s">
        <v>61</v>
      </c>
      <c r="K9" s="35" t="s">
        <v>71</v>
      </c>
      <c r="L9" s="35" t="s">
        <v>61</v>
      </c>
      <c r="M9" s="29" t="s">
        <v>67</v>
      </c>
    </row>
    <row r="10" spans="1:16" ht="6.75" customHeight="1" x14ac:dyDescent="0.3">
      <c r="A10" s="38"/>
      <c r="B10" s="39"/>
      <c r="C10" s="39"/>
      <c r="D10" s="39"/>
      <c r="E10" s="39"/>
      <c r="F10" s="39"/>
      <c r="G10" s="39"/>
      <c r="H10" s="40"/>
      <c r="I10" s="41"/>
      <c r="J10" s="41"/>
      <c r="K10" s="41"/>
      <c r="L10" s="41"/>
      <c r="M10" s="42"/>
    </row>
    <row r="11" spans="1:16" x14ac:dyDescent="0.3">
      <c r="A11" s="13" t="s">
        <v>23</v>
      </c>
      <c r="B11" s="13" t="s">
        <v>30</v>
      </c>
      <c r="C11" s="13" t="s">
        <v>118</v>
      </c>
      <c r="D11" s="13">
        <v>100</v>
      </c>
      <c r="E11" s="13" t="s">
        <v>50</v>
      </c>
      <c r="F11" s="13" t="s">
        <v>44</v>
      </c>
      <c r="G11" s="13" t="s">
        <v>47</v>
      </c>
      <c r="H11" s="13" t="s">
        <v>60</v>
      </c>
      <c r="I11" s="36" t="s">
        <v>64</v>
      </c>
      <c r="J11" s="36" t="s">
        <v>61</v>
      </c>
      <c r="K11" s="36" t="s">
        <v>28</v>
      </c>
      <c r="L11" s="36">
        <v>22</v>
      </c>
      <c r="M11" s="13"/>
      <c r="P11" s="2"/>
    </row>
    <row r="12" spans="1:16" x14ac:dyDescent="0.3">
      <c r="A12" s="4" t="s">
        <v>23</v>
      </c>
      <c r="B12" s="4" t="s">
        <v>30</v>
      </c>
      <c r="C12" s="4" t="s">
        <v>118</v>
      </c>
      <c r="D12" s="4"/>
      <c r="E12" s="4"/>
      <c r="F12" s="4"/>
      <c r="G12" s="4"/>
      <c r="H12" s="4"/>
      <c r="I12" s="31"/>
      <c r="J12" s="31"/>
      <c r="K12" s="31"/>
      <c r="L12" s="31"/>
      <c r="M12" s="4"/>
    </row>
    <row r="13" spans="1:16" x14ac:dyDescent="0.3">
      <c r="A13" s="8" t="s">
        <v>23</v>
      </c>
      <c r="B13" s="9" t="s">
        <v>30</v>
      </c>
      <c r="C13" s="9" t="s">
        <v>118</v>
      </c>
      <c r="D13" s="9">
        <v>4095</v>
      </c>
      <c r="E13" s="9" t="s">
        <v>51</v>
      </c>
      <c r="F13" s="9" t="s">
        <v>44</v>
      </c>
      <c r="G13" s="9" t="s">
        <v>47</v>
      </c>
      <c r="H13" s="9" t="s">
        <v>62</v>
      </c>
      <c r="I13" s="32" t="s">
        <v>63</v>
      </c>
      <c r="J13" s="32" t="s">
        <v>61</v>
      </c>
      <c r="K13" s="32" t="s">
        <v>61</v>
      </c>
      <c r="L13" s="32" t="s">
        <v>61</v>
      </c>
      <c r="M13" s="26" t="s">
        <v>69</v>
      </c>
    </row>
    <row r="14" spans="1:16" x14ac:dyDescent="0.3">
      <c r="A14" s="9" t="s">
        <v>23</v>
      </c>
      <c r="B14" s="9" t="s">
        <v>30</v>
      </c>
      <c r="C14" s="9" t="s">
        <v>118</v>
      </c>
      <c r="D14" s="9">
        <v>4096</v>
      </c>
      <c r="E14" s="9" t="s">
        <v>54</v>
      </c>
      <c r="F14" s="9" t="s">
        <v>44</v>
      </c>
      <c r="G14" s="9" t="s">
        <v>46</v>
      </c>
      <c r="H14" s="9" t="s">
        <v>62</v>
      </c>
      <c r="I14" s="32" t="s">
        <v>37</v>
      </c>
      <c r="J14" s="32" t="s">
        <v>61</v>
      </c>
      <c r="K14" s="32" t="s">
        <v>37</v>
      </c>
      <c r="L14" s="32" t="s">
        <v>61</v>
      </c>
      <c r="M14" s="9" t="s">
        <v>68</v>
      </c>
    </row>
    <row r="15" spans="1:16" x14ac:dyDescent="0.3">
      <c r="A15" s="67" t="s">
        <v>23</v>
      </c>
      <c r="B15" s="67" t="s">
        <v>30</v>
      </c>
      <c r="C15" s="67" t="s">
        <v>118</v>
      </c>
      <c r="D15" s="67"/>
      <c r="E15" s="67"/>
      <c r="F15" s="67" t="s">
        <v>45</v>
      </c>
      <c r="G15" s="67"/>
      <c r="H15" s="68"/>
      <c r="I15" s="69"/>
      <c r="J15" s="69"/>
      <c r="K15" s="69"/>
      <c r="L15" s="69"/>
      <c r="M15" s="68"/>
    </row>
    <row r="16" spans="1:16" x14ac:dyDescent="0.3">
      <c r="A16" s="67" t="s">
        <v>23</v>
      </c>
      <c r="B16" s="67" t="s">
        <v>30</v>
      </c>
      <c r="C16" s="67" t="s">
        <v>118</v>
      </c>
      <c r="D16" s="67"/>
      <c r="E16" s="67"/>
      <c r="F16" s="67" t="s">
        <v>45</v>
      </c>
      <c r="G16" s="67"/>
      <c r="H16" s="67"/>
      <c r="I16" s="70"/>
      <c r="J16" s="70"/>
      <c r="K16" s="70"/>
      <c r="L16" s="70"/>
      <c r="M16" s="67"/>
    </row>
    <row r="17" spans="1:13" x14ac:dyDescent="0.3">
      <c r="A17" s="67" t="s">
        <v>23</v>
      </c>
      <c r="B17" s="67" t="s">
        <v>30</v>
      </c>
      <c r="C17" s="67" t="s">
        <v>117</v>
      </c>
      <c r="D17" s="67"/>
      <c r="E17" s="67"/>
      <c r="F17" s="67" t="s">
        <v>45</v>
      </c>
      <c r="G17" s="67"/>
      <c r="H17" s="67"/>
      <c r="I17" s="70"/>
      <c r="J17" s="70"/>
      <c r="K17" s="70"/>
      <c r="L17" s="70"/>
      <c r="M17" s="67"/>
    </row>
    <row r="18" spans="1:13" x14ac:dyDescent="0.3">
      <c r="A18" s="71" t="s">
        <v>23</v>
      </c>
      <c r="B18" s="71" t="s">
        <v>30</v>
      </c>
      <c r="C18" s="67" t="s">
        <v>117</v>
      </c>
      <c r="D18" s="72">
        <v>4096</v>
      </c>
      <c r="E18" s="72" t="s">
        <v>75</v>
      </c>
      <c r="F18" s="71" t="s">
        <v>45</v>
      </c>
      <c r="G18" s="72" t="s">
        <v>46</v>
      </c>
      <c r="H18" s="73" t="s">
        <v>62</v>
      </c>
      <c r="I18" s="74" t="s">
        <v>61</v>
      </c>
      <c r="J18" s="74" t="s">
        <v>61</v>
      </c>
      <c r="K18" s="74" t="s">
        <v>71</v>
      </c>
      <c r="L18" s="74" t="s">
        <v>61</v>
      </c>
      <c r="M18" s="72" t="s">
        <v>67</v>
      </c>
    </row>
    <row r="19" spans="1:13" ht="6.75" customHeight="1" thickBot="1" x14ac:dyDescent="0.35">
      <c r="A19" s="38"/>
      <c r="B19" s="39"/>
      <c r="C19" s="39"/>
      <c r="D19" s="39"/>
      <c r="E19" s="39"/>
      <c r="F19" s="39"/>
      <c r="G19" s="39"/>
      <c r="H19" s="40"/>
      <c r="I19" s="41"/>
      <c r="J19" s="41"/>
      <c r="K19" s="41"/>
      <c r="L19" s="41"/>
      <c r="M19" s="42"/>
    </row>
    <row r="20" spans="1:13" x14ac:dyDescent="0.3">
      <c r="A20" s="14" t="s">
        <v>23</v>
      </c>
      <c r="B20" s="15" t="s">
        <v>31</v>
      </c>
      <c r="C20" s="15" t="s">
        <v>119</v>
      </c>
      <c r="D20" s="15">
        <v>150</v>
      </c>
      <c r="E20" s="15" t="s">
        <v>53</v>
      </c>
      <c r="F20" s="15" t="s">
        <v>44</v>
      </c>
      <c r="G20" s="15" t="s">
        <v>47</v>
      </c>
      <c r="H20" s="15" t="s">
        <v>60</v>
      </c>
      <c r="I20" s="30" t="s">
        <v>76</v>
      </c>
      <c r="J20" s="30" t="s">
        <v>61</v>
      </c>
      <c r="K20" s="30" t="s">
        <v>27</v>
      </c>
      <c r="L20" s="30">
        <v>22</v>
      </c>
      <c r="M20" s="24" t="s">
        <v>65</v>
      </c>
    </row>
    <row r="21" spans="1:13" x14ac:dyDescent="0.3">
      <c r="A21" s="16" t="s">
        <v>23</v>
      </c>
      <c r="B21" s="4" t="s">
        <v>31</v>
      </c>
      <c r="C21" s="4" t="s">
        <v>119</v>
      </c>
      <c r="D21" s="4">
        <v>160</v>
      </c>
      <c r="E21" s="4" t="s">
        <v>48</v>
      </c>
      <c r="F21" s="4" t="s">
        <v>44</v>
      </c>
      <c r="G21" s="4" t="s">
        <v>47</v>
      </c>
      <c r="H21" s="4" t="s">
        <v>60</v>
      </c>
      <c r="I21" s="31" t="s">
        <v>61</v>
      </c>
      <c r="J21" s="31" t="s">
        <v>61</v>
      </c>
      <c r="K21" s="31" t="s">
        <v>28</v>
      </c>
      <c r="L21" s="31" t="s">
        <v>80</v>
      </c>
      <c r="M21" s="25"/>
    </row>
    <row r="22" spans="1:13" x14ac:dyDescent="0.3">
      <c r="A22" s="17" t="s">
        <v>23</v>
      </c>
      <c r="B22" s="9" t="s">
        <v>30</v>
      </c>
      <c r="C22" s="9" t="s">
        <v>119</v>
      </c>
      <c r="D22" s="9">
        <v>4095</v>
      </c>
      <c r="E22" s="9" t="s">
        <v>51</v>
      </c>
      <c r="F22" s="9" t="s">
        <v>44</v>
      </c>
      <c r="G22" s="9" t="s">
        <v>47</v>
      </c>
      <c r="H22" s="9" t="s">
        <v>62</v>
      </c>
      <c r="I22" s="32" t="s">
        <v>63</v>
      </c>
      <c r="J22" s="32" t="s">
        <v>61</v>
      </c>
      <c r="K22" s="32" t="s">
        <v>61</v>
      </c>
      <c r="L22" s="32" t="s">
        <v>61</v>
      </c>
      <c r="M22" s="26" t="s">
        <v>69</v>
      </c>
    </row>
    <row r="23" spans="1:13" x14ac:dyDescent="0.3">
      <c r="A23" s="18" t="s">
        <v>23</v>
      </c>
      <c r="B23" s="9" t="s">
        <v>30</v>
      </c>
      <c r="C23" s="9" t="s">
        <v>119</v>
      </c>
      <c r="D23" s="9">
        <v>4096</v>
      </c>
      <c r="E23" s="9" t="s">
        <v>54</v>
      </c>
      <c r="F23" s="9" t="s">
        <v>44</v>
      </c>
      <c r="G23" s="9" t="s">
        <v>46</v>
      </c>
      <c r="H23" s="9" t="s">
        <v>62</v>
      </c>
      <c r="I23" s="32" t="s">
        <v>37</v>
      </c>
      <c r="J23" s="32" t="s">
        <v>61</v>
      </c>
      <c r="K23" s="32" t="s">
        <v>37</v>
      </c>
      <c r="L23" s="32" t="s">
        <v>61</v>
      </c>
      <c r="M23" s="26" t="s">
        <v>68</v>
      </c>
    </row>
    <row r="24" spans="1:13" x14ac:dyDescent="0.3">
      <c r="A24" s="75" t="s">
        <v>23</v>
      </c>
      <c r="B24" s="67" t="s">
        <v>31</v>
      </c>
      <c r="C24" s="67" t="s">
        <v>119</v>
      </c>
      <c r="D24" s="67"/>
      <c r="E24" s="67"/>
      <c r="F24" s="67" t="s">
        <v>45</v>
      </c>
      <c r="G24" s="67"/>
      <c r="H24" s="68"/>
      <c r="I24" s="69"/>
      <c r="J24" s="69"/>
      <c r="K24" s="69"/>
      <c r="L24" s="69"/>
      <c r="M24" s="76"/>
    </row>
    <row r="25" spans="1:13" x14ac:dyDescent="0.3">
      <c r="A25" s="75" t="s">
        <v>23</v>
      </c>
      <c r="B25" s="67" t="s">
        <v>31</v>
      </c>
      <c r="C25" s="67" t="s">
        <v>119</v>
      </c>
      <c r="D25" s="67"/>
      <c r="E25" s="67"/>
      <c r="F25" s="67" t="s">
        <v>45</v>
      </c>
      <c r="G25" s="67"/>
      <c r="H25" s="67"/>
      <c r="I25" s="70"/>
      <c r="J25" s="70"/>
      <c r="K25" s="70"/>
      <c r="L25" s="70"/>
      <c r="M25" s="77"/>
    </row>
    <row r="26" spans="1:13" x14ac:dyDescent="0.3">
      <c r="A26" s="75" t="s">
        <v>23</v>
      </c>
      <c r="B26" s="67" t="s">
        <v>31</v>
      </c>
      <c r="C26" s="67" t="s">
        <v>119</v>
      </c>
      <c r="D26" s="67"/>
      <c r="E26" s="67"/>
      <c r="F26" s="67" t="s">
        <v>45</v>
      </c>
      <c r="G26" s="67"/>
      <c r="H26" s="67"/>
      <c r="I26" s="70"/>
      <c r="J26" s="70"/>
      <c r="K26" s="70"/>
      <c r="L26" s="70"/>
      <c r="M26" s="77"/>
    </row>
    <row r="27" spans="1:13" ht="17.25" thickBot="1" x14ac:dyDescent="0.35">
      <c r="A27" s="78" t="s">
        <v>23</v>
      </c>
      <c r="B27" s="79" t="s">
        <v>31</v>
      </c>
      <c r="C27" s="79" t="s">
        <v>119</v>
      </c>
      <c r="D27" s="80">
        <v>4096</v>
      </c>
      <c r="E27" s="80" t="s">
        <v>75</v>
      </c>
      <c r="F27" s="79" t="s">
        <v>45</v>
      </c>
      <c r="G27" s="80" t="s">
        <v>46</v>
      </c>
      <c r="H27" s="81" t="s">
        <v>62</v>
      </c>
      <c r="I27" s="82" t="s">
        <v>61</v>
      </c>
      <c r="J27" s="82" t="s">
        <v>61</v>
      </c>
      <c r="K27" s="82" t="s">
        <v>71</v>
      </c>
      <c r="L27" s="82" t="s">
        <v>61</v>
      </c>
      <c r="M27" s="83" t="s">
        <v>67</v>
      </c>
    </row>
    <row r="28" spans="1:13" ht="6.75" customHeight="1" x14ac:dyDescent="0.3">
      <c r="A28" s="38"/>
      <c r="B28" s="39"/>
      <c r="C28" s="39"/>
      <c r="D28" s="39"/>
      <c r="E28" s="39"/>
      <c r="F28" s="39"/>
      <c r="G28" s="39"/>
      <c r="H28" s="40"/>
      <c r="I28" s="41"/>
      <c r="J28" s="41"/>
      <c r="K28" s="41"/>
      <c r="L28" s="41"/>
      <c r="M28" s="42"/>
    </row>
    <row r="29" spans="1:13" x14ac:dyDescent="0.3">
      <c r="A29" s="13" t="s">
        <v>23</v>
      </c>
      <c r="B29" s="13" t="s">
        <v>33</v>
      </c>
      <c r="C29" s="13" t="s">
        <v>120</v>
      </c>
      <c r="D29" s="13"/>
      <c r="E29" s="13"/>
      <c r="F29" s="13" t="s">
        <v>44</v>
      </c>
      <c r="G29" s="13" t="s">
        <v>47</v>
      </c>
      <c r="H29" s="13"/>
      <c r="I29" s="36"/>
      <c r="J29" s="36"/>
      <c r="K29" s="36"/>
      <c r="L29" s="36"/>
      <c r="M29" s="13"/>
    </row>
    <row r="30" spans="1:13" x14ac:dyDescent="0.3">
      <c r="A30" s="4" t="s">
        <v>23</v>
      </c>
      <c r="B30" s="4" t="s">
        <v>33</v>
      </c>
      <c r="C30" s="4" t="s">
        <v>120</v>
      </c>
      <c r="D30" s="4"/>
      <c r="E30" s="4"/>
      <c r="F30" s="4" t="s">
        <v>44</v>
      </c>
      <c r="G30" s="4" t="s">
        <v>47</v>
      </c>
      <c r="H30" s="4"/>
      <c r="I30" s="31"/>
      <c r="J30" s="31"/>
      <c r="K30" s="31"/>
      <c r="L30" s="31"/>
      <c r="M30" s="4"/>
    </row>
    <row r="31" spans="1:13" x14ac:dyDescent="0.3">
      <c r="A31" s="8" t="s">
        <v>23</v>
      </c>
      <c r="B31" s="9" t="s">
        <v>30</v>
      </c>
      <c r="C31" s="9" t="s">
        <v>120</v>
      </c>
      <c r="D31" s="9">
        <v>4095</v>
      </c>
      <c r="E31" s="9" t="s">
        <v>51</v>
      </c>
      <c r="F31" s="9" t="s">
        <v>44</v>
      </c>
      <c r="G31" s="9" t="s">
        <v>47</v>
      </c>
      <c r="H31" s="9" t="s">
        <v>62</v>
      </c>
      <c r="I31" s="32" t="s">
        <v>63</v>
      </c>
      <c r="J31" s="32" t="s">
        <v>61</v>
      </c>
      <c r="K31" s="32" t="s">
        <v>61</v>
      </c>
      <c r="L31" s="32" t="s">
        <v>61</v>
      </c>
      <c r="M31" s="26" t="s">
        <v>69</v>
      </c>
    </row>
    <row r="32" spans="1:13" x14ac:dyDescent="0.3">
      <c r="A32" s="9" t="s">
        <v>23</v>
      </c>
      <c r="B32" s="9" t="s">
        <v>30</v>
      </c>
      <c r="C32" s="9" t="s">
        <v>120</v>
      </c>
      <c r="D32" s="9">
        <v>4096</v>
      </c>
      <c r="E32" s="9" t="s">
        <v>54</v>
      </c>
      <c r="F32" s="9" t="s">
        <v>44</v>
      </c>
      <c r="G32" s="9" t="s">
        <v>46</v>
      </c>
      <c r="H32" s="9" t="s">
        <v>62</v>
      </c>
      <c r="I32" s="32" t="s">
        <v>37</v>
      </c>
      <c r="J32" s="32" t="s">
        <v>61</v>
      </c>
      <c r="K32" s="32" t="s">
        <v>37</v>
      </c>
      <c r="L32" s="32" t="s">
        <v>61</v>
      </c>
      <c r="M32" s="9" t="s">
        <v>68</v>
      </c>
    </row>
    <row r="33" spans="1:13" x14ac:dyDescent="0.3">
      <c r="A33" s="6" t="s">
        <v>23</v>
      </c>
      <c r="B33" s="6" t="s">
        <v>33</v>
      </c>
      <c r="C33" s="6" t="s">
        <v>120</v>
      </c>
      <c r="D33" s="12">
        <v>200</v>
      </c>
      <c r="E33" s="12" t="s">
        <v>49</v>
      </c>
      <c r="F33" s="12" t="s">
        <v>45</v>
      </c>
      <c r="G33" s="12" t="s">
        <v>47</v>
      </c>
      <c r="H33" s="12" t="s">
        <v>60</v>
      </c>
      <c r="I33" s="33" t="s">
        <v>73</v>
      </c>
      <c r="J33" s="33" t="s">
        <v>61</v>
      </c>
      <c r="K33" s="33" t="s">
        <v>70</v>
      </c>
      <c r="L33" s="33" t="s">
        <v>79</v>
      </c>
      <c r="M33" s="27" t="s">
        <v>72</v>
      </c>
    </row>
    <row r="34" spans="1:13" x14ac:dyDescent="0.3">
      <c r="A34" s="6" t="s">
        <v>23</v>
      </c>
      <c r="B34" s="6" t="s">
        <v>33</v>
      </c>
      <c r="C34" s="6" t="s">
        <v>120</v>
      </c>
      <c r="D34" s="6"/>
      <c r="E34" s="6"/>
      <c r="F34" s="6" t="s">
        <v>45</v>
      </c>
      <c r="G34" s="6"/>
      <c r="H34" s="6"/>
      <c r="I34" s="34"/>
      <c r="J34" s="34"/>
      <c r="K34" s="34"/>
      <c r="L34" s="34"/>
      <c r="M34" s="6"/>
    </row>
    <row r="35" spans="1:13" x14ac:dyDescent="0.3">
      <c r="A35" s="6" t="s">
        <v>23</v>
      </c>
      <c r="B35" s="6" t="s">
        <v>33</v>
      </c>
      <c r="C35" s="6" t="s">
        <v>120</v>
      </c>
      <c r="D35" s="6"/>
      <c r="E35" s="6"/>
      <c r="F35" s="6" t="s">
        <v>45</v>
      </c>
      <c r="G35" s="6"/>
      <c r="H35" s="6"/>
      <c r="I35" s="34"/>
      <c r="J35" s="34"/>
      <c r="K35" s="34"/>
      <c r="L35" s="34"/>
      <c r="M35" s="6"/>
    </row>
    <row r="36" spans="1:13" x14ac:dyDescent="0.3">
      <c r="A36" s="6" t="s">
        <v>23</v>
      </c>
      <c r="B36" s="6" t="s">
        <v>33</v>
      </c>
      <c r="C36" s="6" t="s">
        <v>120</v>
      </c>
      <c r="D36" s="11">
        <v>4096</v>
      </c>
      <c r="E36" s="11" t="s">
        <v>75</v>
      </c>
      <c r="F36" s="6" t="s">
        <v>45</v>
      </c>
      <c r="G36" s="11" t="s">
        <v>46</v>
      </c>
      <c r="H36" s="10" t="s">
        <v>62</v>
      </c>
      <c r="I36" s="37" t="s">
        <v>61</v>
      </c>
      <c r="J36" s="37" t="s">
        <v>61</v>
      </c>
      <c r="K36" s="37" t="s">
        <v>71</v>
      </c>
      <c r="L36" s="37" t="s">
        <v>61</v>
      </c>
      <c r="M36" s="11" t="s">
        <v>67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O18"/>
  <sheetViews>
    <sheetView workbookViewId="0"/>
  </sheetViews>
  <sheetFormatPr defaultRowHeight="16.5" x14ac:dyDescent="0.3"/>
  <cols>
    <col min="2" max="2" width="11.375" bestFit="1" customWidth="1"/>
    <col min="3" max="3" width="10.875" bestFit="1" customWidth="1"/>
    <col min="6" max="6" width="14.75" bestFit="1" customWidth="1"/>
    <col min="7" max="7" width="14.75" customWidth="1"/>
    <col min="8" max="8" width="12.5" bestFit="1" customWidth="1"/>
    <col min="9" max="9" width="13.375" bestFit="1" customWidth="1"/>
    <col min="10" max="10" width="13.375" customWidth="1"/>
    <col min="11" max="11" width="13.875" bestFit="1" customWidth="1"/>
    <col min="12" max="12" width="13.5" bestFit="1" customWidth="1"/>
    <col min="13" max="13" width="16.875" bestFit="1" customWidth="1"/>
    <col min="14" max="14" width="15" bestFit="1" customWidth="1"/>
    <col min="15" max="15" width="16.5" bestFit="1" customWidth="1"/>
  </cols>
  <sheetData>
    <row r="1" spans="1:15" x14ac:dyDescent="0.3">
      <c r="A1" s="57" t="s">
        <v>0</v>
      </c>
      <c r="B1" s="58" t="s">
        <v>122</v>
      </c>
      <c r="C1" s="58" t="s">
        <v>3</v>
      </c>
      <c r="D1" s="58" t="s">
        <v>121</v>
      </c>
      <c r="E1" s="58" t="s">
        <v>123</v>
      </c>
      <c r="F1" s="58" t="s">
        <v>162</v>
      </c>
      <c r="G1" s="58" t="s">
        <v>159</v>
      </c>
      <c r="H1" s="58" t="s">
        <v>125</v>
      </c>
      <c r="I1" s="58" t="s">
        <v>126</v>
      </c>
      <c r="J1" s="58" t="s">
        <v>174</v>
      </c>
      <c r="K1" s="59" t="s">
        <v>127</v>
      </c>
      <c r="L1" s="59" t="s">
        <v>128</v>
      </c>
      <c r="M1" s="59" t="s">
        <v>129</v>
      </c>
      <c r="N1" s="59" t="s">
        <v>131</v>
      </c>
      <c r="O1" s="58" t="s">
        <v>135</v>
      </c>
    </row>
    <row r="2" spans="1:15" x14ac:dyDescent="0.3">
      <c r="A2" s="56" t="s">
        <v>23</v>
      </c>
      <c r="B2" s="56" t="s">
        <v>101</v>
      </c>
      <c r="C2" s="56" t="s">
        <v>24</v>
      </c>
      <c r="D2" s="56" t="s">
        <v>136</v>
      </c>
      <c r="E2" s="56" t="s">
        <v>137</v>
      </c>
      <c r="F2" s="56" t="s">
        <v>160</v>
      </c>
      <c r="G2" s="56"/>
      <c r="H2" s="56" t="s">
        <v>124</v>
      </c>
      <c r="I2" s="56" t="s">
        <v>169</v>
      </c>
      <c r="J2" s="56" t="s">
        <v>85</v>
      </c>
      <c r="K2" s="56" t="s">
        <v>90</v>
      </c>
      <c r="L2" s="56" t="s">
        <v>99</v>
      </c>
      <c r="M2" s="56" t="s">
        <v>130</v>
      </c>
      <c r="N2" s="56" t="s">
        <v>132</v>
      </c>
      <c r="O2" s="56" t="s">
        <v>134</v>
      </c>
    </row>
    <row r="3" spans="1:15" x14ac:dyDescent="0.3">
      <c r="A3" s="56" t="s">
        <v>23</v>
      </c>
      <c r="B3" s="56" t="s">
        <v>101</v>
      </c>
      <c r="C3" s="56" t="s">
        <v>24</v>
      </c>
      <c r="D3" s="56" t="s">
        <v>149</v>
      </c>
      <c r="E3" s="56" t="s">
        <v>137</v>
      </c>
      <c r="F3" s="56" t="s">
        <v>161</v>
      </c>
      <c r="G3" s="56">
        <v>1</v>
      </c>
      <c r="H3" s="56" t="s">
        <v>124</v>
      </c>
      <c r="I3" s="56" t="s">
        <v>170</v>
      </c>
      <c r="J3" s="56" t="s">
        <v>85</v>
      </c>
      <c r="K3" s="56" t="s">
        <v>90</v>
      </c>
      <c r="L3" s="56" t="s">
        <v>100</v>
      </c>
      <c r="M3" s="56" t="s">
        <v>130</v>
      </c>
      <c r="N3" s="56" t="s">
        <v>150</v>
      </c>
      <c r="O3" s="56" t="s">
        <v>134</v>
      </c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H9"/>
  <sheetViews>
    <sheetView workbookViewId="0"/>
  </sheetViews>
  <sheetFormatPr defaultRowHeight="16.5" x14ac:dyDescent="0.3"/>
  <cols>
    <col min="3" max="3" width="11.5" bestFit="1" customWidth="1"/>
    <col min="6" max="6" width="12.375" bestFit="1" customWidth="1"/>
    <col min="7" max="7" width="15.625" bestFit="1" customWidth="1"/>
    <col min="8" max="8" width="10.625" bestFit="1" customWidth="1"/>
  </cols>
  <sheetData>
    <row r="1" spans="1:8" x14ac:dyDescent="0.3">
      <c r="A1" s="57" t="s">
        <v>0</v>
      </c>
      <c r="B1" s="58" t="s">
        <v>121</v>
      </c>
      <c r="C1" s="58" t="s">
        <v>138</v>
      </c>
      <c r="D1" s="58" t="s">
        <v>55</v>
      </c>
      <c r="E1" s="58" t="s">
        <v>140</v>
      </c>
      <c r="F1" s="59" t="s">
        <v>141</v>
      </c>
      <c r="G1" s="59" t="s">
        <v>145</v>
      </c>
      <c r="H1" s="59" t="s">
        <v>146</v>
      </c>
    </row>
    <row r="2" spans="1:8" x14ac:dyDescent="0.3">
      <c r="A2" s="56" t="s">
        <v>23</v>
      </c>
      <c r="B2" s="56" t="s">
        <v>136</v>
      </c>
      <c r="C2" s="56" t="s">
        <v>139</v>
      </c>
      <c r="D2" s="56" t="s">
        <v>60</v>
      </c>
      <c r="E2" s="56">
        <v>80</v>
      </c>
      <c r="F2" s="56"/>
      <c r="G2" s="56">
        <v>5</v>
      </c>
      <c r="H2" s="56">
        <v>2</v>
      </c>
    </row>
    <row r="3" spans="1:8" x14ac:dyDescent="0.3">
      <c r="A3" s="56" t="s">
        <v>23</v>
      </c>
      <c r="B3" s="56" t="s">
        <v>136</v>
      </c>
      <c r="C3" s="56" t="s">
        <v>147</v>
      </c>
      <c r="D3" s="56" t="s">
        <v>60</v>
      </c>
      <c r="E3" s="56">
        <v>8080</v>
      </c>
      <c r="F3" s="60"/>
      <c r="G3" s="56">
        <v>5</v>
      </c>
      <c r="H3" s="56">
        <v>2</v>
      </c>
    </row>
    <row r="4" spans="1:8" x14ac:dyDescent="0.3">
      <c r="A4" s="56" t="s">
        <v>23</v>
      </c>
      <c r="B4" s="56" t="s">
        <v>136</v>
      </c>
      <c r="C4" s="56" t="s">
        <v>142</v>
      </c>
      <c r="D4" s="56" t="s">
        <v>143</v>
      </c>
      <c r="E4" s="56">
        <v>443</v>
      </c>
      <c r="F4" s="60" t="s">
        <v>144</v>
      </c>
      <c r="G4" s="56">
        <v>5</v>
      </c>
      <c r="H4" s="56">
        <v>2</v>
      </c>
    </row>
    <row r="5" spans="1:8" x14ac:dyDescent="0.3">
      <c r="A5" s="56" t="s">
        <v>23</v>
      </c>
      <c r="B5" s="56" t="s">
        <v>136</v>
      </c>
      <c r="C5" s="56" t="s">
        <v>175</v>
      </c>
      <c r="D5" s="56" t="s">
        <v>148</v>
      </c>
      <c r="E5" s="56">
        <v>80</v>
      </c>
      <c r="F5" s="60" t="s">
        <v>144</v>
      </c>
      <c r="G5" s="56">
        <v>5</v>
      </c>
      <c r="H5" s="56">
        <v>2</v>
      </c>
    </row>
    <row r="6" spans="1:8" x14ac:dyDescent="0.3">
      <c r="A6" s="61" t="s">
        <v>23</v>
      </c>
      <c r="B6" s="61" t="s">
        <v>149</v>
      </c>
      <c r="C6" s="61" t="s">
        <v>139</v>
      </c>
      <c r="D6" s="61" t="s">
        <v>60</v>
      </c>
      <c r="E6" s="61">
        <v>80</v>
      </c>
      <c r="F6" s="61"/>
      <c r="G6" s="61">
        <v>5</v>
      </c>
      <c r="H6" s="61">
        <v>2</v>
      </c>
    </row>
    <row r="7" spans="1:8" x14ac:dyDescent="0.3">
      <c r="A7" s="61" t="s">
        <v>23</v>
      </c>
      <c r="B7" s="61" t="s">
        <v>149</v>
      </c>
      <c r="C7" s="61" t="s">
        <v>171</v>
      </c>
      <c r="D7" s="61" t="s">
        <v>60</v>
      </c>
      <c r="E7" s="61">
        <v>22</v>
      </c>
      <c r="F7" s="62"/>
      <c r="G7" s="61">
        <v>5</v>
      </c>
      <c r="H7" s="61">
        <v>2</v>
      </c>
    </row>
    <row r="8" spans="1:8" x14ac:dyDescent="0.3">
      <c r="A8" s="61" t="s">
        <v>23</v>
      </c>
      <c r="B8" s="61" t="s">
        <v>149</v>
      </c>
      <c r="C8" s="61" t="s">
        <v>142</v>
      </c>
      <c r="D8" s="61" t="s">
        <v>143</v>
      </c>
      <c r="E8" s="61">
        <v>443</v>
      </c>
      <c r="F8" s="62" t="s">
        <v>144</v>
      </c>
      <c r="G8" s="61">
        <v>5</v>
      </c>
      <c r="H8" s="61">
        <v>2</v>
      </c>
    </row>
    <row r="9" spans="1:8" x14ac:dyDescent="0.3">
      <c r="A9" s="61" t="s">
        <v>23</v>
      </c>
      <c r="B9" s="61" t="s">
        <v>149</v>
      </c>
      <c r="C9" s="61" t="s">
        <v>175</v>
      </c>
      <c r="D9" s="61" t="s">
        <v>148</v>
      </c>
      <c r="E9" s="61">
        <v>80</v>
      </c>
      <c r="F9" s="62" t="s">
        <v>144</v>
      </c>
      <c r="G9" s="61">
        <v>5</v>
      </c>
      <c r="H9" s="61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N11"/>
  <sheetViews>
    <sheetView workbookViewId="0">
      <selection activeCell="M1" sqref="M1"/>
    </sheetView>
  </sheetViews>
  <sheetFormatPr defaultRowHeight="16.5" x14ac:dyDescent="0.3"/>
  <cols>
    <col min="4" max="4" width="13.125" bestFit="1" customWidth="1"/>
    <col min="7" max="7" width="13.375" bestFit="1" customWidth="1"/>
    <col min="8" max="8" width="11.5" bestFit="1" customWidth="1"/>
    <col min="10" max="10" width="11.5" bestFit="1" customWidth="1"/>
    <col min="11" max="11" width="15.375" bestFit="1" customWidth="1"/>
    <col min="12" max="12" width="15.125" bestFit="1" customWidth="1"/>
    <col min="13" max="13" width="14.625" bestFit="1" customWidth="1"/>
    <col min="14" max="14" width="15" bestFit="1" customWidth="1"/>
  </cols>
  <sheetData>
    <row r="1" spans="1:14" x14ac:dyDescent="0.3">
      <c r="A1" s="57" t="s">
        <v>0</v>
      </c>
      <c r="B1" s="58" t="s">
        <v>121</v>
      </c>
      <c r="C1" s="58" t="s">
        <v>151</v>
      </c>
      <c r="D1" s="58" t="s">
        <v>126</v>
      </c>
      <c r="E1" s="59" t="s">
        <v>153</v>
      </c>
      <c r="F1" s="59" t="s">
        <v>152</v>
      </c>
      <c r="G1" s="59" t="s">
        <v>173</v>
      </c>
      <c r="H1" s="58" t="s">
        <v>135</v>
      </c>
      <c r="I1" s="59" t="s">
        <v>154</v>
      </c>
      <c r="J1" s="59" t="s">
        <v>138</v>
      </c>
      <c r="K1" s="59" t="s">
        <v>156</v>
      </c>
      <c r="L1" s="59" t="s">
        <v>157</v>
      </c>
      <c r="M1" s="59" t="s">
        <v>172</v>
      </c>
      <c r="N1" s="59" t="s">
        <v>155</v>
      </c>
    </row>
    <row r="2" spans="1:14" x14ac:dyDescent="0.3">
      <c r="A2" s="56" t="s">
        <v>23</v>
      </c>
      <c r="B2" s="56" t="s">
        <v>136</v>
      </c>
      <c r="C2" s="56" t="s">
        <v>163</v>
      </c>
      <c r="D2" s="56" t="s">
        <v>169</v>
      </c>
      <c r="E2" s="56" t="s">
        <v>60</v>
      </c>
      <c r="F2" s="56">
        <v>80</v>
      </c>
      <c r="G2" s="56" t="b">
        <v>0</v>
      </c>
      <c r="H2" s="56" t="s">
        <v>134</v>
      </c>
      <c r="I2" s="56">
        <v>80</v>
      </c>
      <c r="J2" s="56" t="s">
        <v>139</v>
      </c>
      <c r="K2" s="56">
        <v>4</v>
      </c>
      <c r="L2" s="56" t="s">
        <v>158</v>
      </c>
      <c r="M2" s="56" t="b">
        <v>1</v>
      </c>
      <c r="N2" s="56" t="b">
        <v>0</v>
      </c>
    </row>
    <row r="3" spans="1:14" x14ac:dyDescent="0.3">
      <c r="A3" s="56" t="s">
        <v>23</v>
      </c>
      <c r="B3" s="56" t="s">
        <v>136</v>
      </c>
      <c r="C3" s="56" t="s">
        <v>164</v>
      </c>
      <c r="D3" s="56" t="s">
        <v>169</v>
      </c>
      <c r="E3" s="56" t="s">
        <v>60</v>
      </c>
      <c r="F3" s="56">
        <v>8080</v>
      </c>
      <c r="G3" s="56" t="b">
        <v>0</v>
      </c>
      <c r="H3" s="56" t="s">
        <v>133</v>
      </c>
      <c r="I3" s="56">
        <v>8080</v>
      </c>
      <c r="J3" s="56" t="s">
        <v>147</v>
      </c>
      <c r="K3" s="56">
        <v>4</v>
      </c>
      <c r="L3" s="56" t="s">
        <v>158</v>
      </c>
      <c r="M3" s="56" t="b">
        <v>1</v>
      </c>
      <c r="N3" s="56" t="b">
        <v>0</v>
      </c>
    </row>
    <row r="4" spans="1:14" x14ac:dyDescent="0.3">
      <c r="A4" s="56" t="s">
        <v>23</v>
      </c>
      <c r="B4" s="56" t="s">
        <v>149</v>
      </c>
      <c r="C4" s="56" t="s">
        <v>165</v>
      </c>
      <c r="D4" s="56" t="s">
        <v>170</v>
      </c>
      <c r="E4" s="56" t="s">
        <v>60</v>
      </c>
      <c r="F4" s="56">
        <v>443</v>
      </c>
      <c r="G4" s="56" t="b">
        <v>0</v>
      </c>
      <c r="H4" s="56" t="s">
        <v>133</v>
      </c>
      <c r="I4" s="56">
        <v>443</v>
      </c>
      <c r="J4" s="56" t="s">
        <v>142</v>
      </c>
      <c r="K4" s="56">
        <v>4</v>
      </c>
      <c r="L4" s="56" t="s">
        <v>167</v>
      </c>
      <c r="M4" s="56" t="b">
        <v>1</v>
      </c>
      <c r="N4" s="56" t="b">
        <v>0</v>
      </c>
    </row>
    <row r="5" spans="1:14" x14ac:dyDescent="0.3">
      <c r="A5" s="56" t="s">
        <v>23</v>
      </c>
      <c r="B5" s="56" t="s">
        <v>149</v>
      </c>
      <c r="C5" s="56" t="s">
        <v>166</v>
      </c>
      <c r="D5" s="56" t="s">
        <v>170</v>
      </c>
      <c r="E5" s="56" t="s">
        <v>60</v>
      </c>
      <c r="F5" s="56">
        <v>22</v>
      </c>
      <c r="G5" s="56" t="b">
        <v>0</v>
      </c>
      <c r="H5" s="56" t="s">
        <v>133</v>
      </c>
      <c r="I5" s="56">
        <v>22</v>
      </c>
      <c r="J5" s="56" t="s">
        <v>171</v>
      </c>
      <c r="K5" s="56">
        <v>4</v>
      </c>
      <c r="L5" s="56" t="s">
        <v>168</v>
      </c>
      <c r="M5" s="56" t="b">
        <v>1</v>
      </c>
      <c r="N5" s="56" t="b">
        <v>0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1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62AD-45E3-45BA-806E-91D666EC9E20}">
  <dimension ref="A1:Z5"/>
  <sheetViews>
    <sheetView zoomScaleNormal="100" zoomScaleSheetLayoutView="100" workbookViewId="0">
      <selection activeCell="P2" sqref="P2:R5"/>
    </sheetView>
  </sheetViews>
  <sheetFormatPr defaultRowHeight="16.5" x14ac:dyDescent="0.3"/>
  <cols>
    <col min="1" max="1" width="7.25" customWidth="1"/>
    <col min="2" max="2" width="16.125" bestFit="1" customWidth="1"/>
    <col min="3" max="3" width="12.25" bestFit="1" customWidth="1"/>
    <col min="4" max="4" width="17.875" bestFit="1" customWidth="1"/>
    <col min="5" max="5" width="11.75" bestFit="1" customWidth="1"/>
    <col min="6" max="6" width="9.125" bestFit="1" customWidth="1"/>
    <col min="7" max="7" width="6.75" bestFit="1" customWidth="1"/>
    <col min="8" max="8" width="7.25" bestFit="1" customWidth="1"/>
    <col min="9" max="9" width="16.875" bestFit="1" customWidth="1"/>
    <col min="10" max="10" width="15.875" customWidth="1"/>
    <col min="11" max="11" width="16.25" style="2" bestFit="1" customWidth="1"/>
    <col min="12" max="12" width="155.75" bestFit="1" customWidth="1"/>
    <col min="13" max="13" width="19.5" bestFit="1" customWidth="1"/>
    <col min="14" max="14" width="11.875" bestFit="1" customWidth="1"/>
    <col min="15" max="15" width="19.25" bestFit="1" customWidth="1"/>
    <col min="16" max="16" width="19.5" bestFit="1" customWidth="1"/>
    <col min="17" max="17" width="20.25" bestFit="1" customWidth="1"/>
    <col min="18" max="19" width="21" bestFit="1" customWidth="1"/>
    <col min="20" max="20" width="18" customWidth="1"/>
    <col min="21" max="21" width="12.25" bestFit="1" customWidth="1"/>
    <col min="22" max="22" width="16.625" bestFit="1" customWidth="1"/>
    <col min="23" max="23" width="15.125" customWidth="1"/>
    <col min="24" max="24" width="13.5" bestFit="1" customWidth="1"/>
    <col min="25" max="25" width="15" customWidth="1"/>
    <col min="26" max="26" width="17" customWidth="1"/>
    <col min="27" max="27" width="58.5" bestFit="1" customWidth="1"/>
  </cols>
  <sheetData>
    <row r="1" spans="1:26" x14ac:dyDescent="0.3">
      <c r="A1" s="1" t="s">
        <v>0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1" t="s">
        <v>7</v>
      </c>
      <c r="H1" s="1" t="s">
        <v>8</v>
      </c>
      <c r="I1" s="43" t="s">
        <v>9</v>
      </c>
      <c r="J1" s="44" t="s">
        <v>10</v>
      </c>
      <c r="K1" s="43" t="s">
        <v>104</v>
      </c>
      <c r="L1" s="43" t="s">
        <v>29</v>
      </c>
      <c r="M1" s="43" t="s">
        <v>11</v>
      </c>
      <c r="N1" s="43" t="s">
        <v>12</v>
      </c>
      <c r="O1" s="43" t="s">
        <v>13</v>
      </c>
      <c r="P1" s="1" t="s">
        <v>14</v>
      </c>
      <c r="Q1" s="1" t="s">
        <v>15</v>
      </c>
      <c r="R1" s="1" t="s">
        <v>16</v>
      </c>
      <c r="S1" s="43" t="s">
        <v>17</v>
      </c>
      <c r="T1" s="43" t="s">
        <v>18</v>
      </c>
      <c r="U1" s="43" t="s">
        <v>103</v>
      </c>
      <c r="V1" s="43" t="s">
        <v>19</v>
      </c>
      <c r="W1" s="43" t="s">
        <v>20</v>
      </c>
      <c r="X1" s="43" t="s">
        <v>26</v>
      </c>
      <c r="Y1" s="1" t="s">
        <v>21</v>
      </c>
      <c r="Z1" s="1" t="s">
        <v>22</v>
      </c>
    </row>
    <row r="2" spans="1:26" x14ac:dyDescent="0.3">
      <c r="A2" s="1" t="s">
        <v>82</v>
      </c>
      <c r="B2" s="1" t="s">
        <v>191</v>
      </c>
      <c r="C2" s="1" t="s">
        <v>24</v>
      </c>
      <c r="D2" s="1" t="s">
        <v>323</v>
      </c>
      <c r="E2" s="1" t="s">
        <v>325</v>
      </c>
      <c r="F2" s="1" t="s">
        <v>327</v>
      </c>
      <c r="G2" s="1">
        <v>2</v>
      </c>
      <c r="H2" s="1">
        <v>8</v>
      </c>
      <c r="I2" s="1" t="s">
        <v>322</v>
      </c>
      <c r="J2" s="1" t="s">
        <v>321</v>
      </c>
      <c r="K2" s="1" t="s">
        <v>25</v>
      </c>
      <c r="L2" s="1" t="s">
        <v>334</v>
      </c>
      <c r="M2" s="1" t="str">
        <f>SUBSTITUTE(D2,"hazr-","")&amp;"-osdisk"</f>
        <v>d-dis-ap01-osdisk</v>
      </c>
      <c r="N2" s="1">
        <v>64</v>
      </c>
      <c r="O2" s="1" t="s">
        <v>102</v>
      </c>
      <c r="P2" s="1" t="str">
        <f t="shared" ref="P2:P5" si="0">SUBSTITUTE(D2,"hazr-","")&amp;"-disk"&amp;"01"</f>
        <v>d-dis-ap01-disk01</v>
      </c>
      <c r="Q2" s="1">
        <v>64</v>
      </c>
      <c r="R2" s="1" t="s">
        <v>102</v>
      </c>
      <c r="S2" s="1" t="str">
        <f t="shared" ref="S2:S5" si="1">SUBSTITUTE(D2,"hazr-","")&amp;"-nic"</f>
        <v>d-dis-ap01-nic</v>
      </c>
      <c r="T2" s="1" t="b">
        <v>1</v>
      </c>
      <c r="U2" s="1" t="s">
        <v>188</v>
      </c>
      <c r="V2" s="1" t="s">
        <v>196</v>
      </c>
      <c r="W2" s="1" t="s">
        <v>230</v>
      </c>
      <c r="X2" s="1">
        <v>1</v>
      </c>
      <c r="Y2" s="1"/>
      <c r="Z2" s="1"/>
    </row>
    <row r="3" spans="1:26" x14ac:dyDescent="0.3">
      <c r="A3" s="1" t="s">
        <v>82</v>
      </c>
      <c r="B3" s="1" t="s">
        <v>191</v>
      </c>
      <c r="C3" s="1" t="s">
        <v>24</v>
      </c>
      <c r="D3" s="1" t="s">
        <v>324</v>
      </c>
      <c r="E3" s="1" t="s">
        <v>326</v>
      </c>
      <c r="F3" s="1" t="s">
        <v>327</v>
      </c>
      <c r="G3" s="1">
        <v>2</v>
      </c>
      <c r="H3" s="1">
        <v>8</v>
      </c>
      <c r="I3" s="1" t="s">
        <v>322</v>
      </c>
      <c r="J3" s="1" t="s">
        <v>321</v>
      </c>
      <c r="K3" s="1" t="s">
        <v>25</v>
      </c>
      <c r="L3" s="1" t="s">
        <v>334</v>
      </c>
      <c r="M3" s="1" t="str">
        <f>SUBSTITUTE(D3,"hazr-","")&amp;"-osdisk"</f>
        <v>d-dis-adm01-osdisk</v>
      </c>
      <c r="N3" s="1">
        <v>64</v>
      </c>
      <c r="O3" s="1" t="s">
        <v>102</v>
      </c>
      <c r="P3" s="1" t="str">
        <f>SUBSTITUTE(D3,"hazr-","")&amp;"-disk"&amp;"01"</f>
        <v>d-dis-adm01-disk01</v>
      </c>
      <c r="Q3" s="1">
        <v>64</v>
      </c>
      <c r="R3" s="1" t="s">
        <v>102</v>
      </c>
      <c r="S3" s="1" t="str">
        <f t="shared" si="1"/>
        <v>d-dis-adm01-nic</v>
      </c>
      <c r="T3" s="1" t="b">
        <v>1</v>
      </c>
      <c r="U3" s="1" t="s">
        <v>188</v>
      </c>
      <c r="V3" s="1" t="s">
        <v>196</v>
      </c>
      <c r="W3" s="1" t="s">
        <v>230</v>
      </c>
      <c r="X3" s="1">
        <v>1</v>
      </c>
      <c r="Y3" s="1"/>
      <c r="Z3" s="1"/>
    </row>
    <row r="4" spans="1:26" x14ac:dyDescent="0.3">
      <c r="A4" s="1" t="s">
        <v>82</v>
      </c>
      <c r="B4" s="1" t="s">
        <v>191</v>
      </c>
      <c r="C4" s="1" t="s">
        <v>24</v>
      </c>
      <c r="D4" s="1" t="s">
        <v>329</v>
      </c>
      <c r="E4" s="1" t="s">
        <v>330</v>
      </c>
      <c r="F4" s="1" t="s">
        <v>327</v>
      </c>
      <c r="G4" s="1">
        <v>2</v>
      </c>
      <c r="H4" s="1">
        <v>8</v>
      </c>
      <c r="I4" s="1" t="s">
        <v>322</v>
      </c>
      <c r="J4" s="1" t="s">
        <v>320</v>
      </c>
      <c r="K4" s="1" t="s">
        <v>328</v>
      </c>
      <c r="L4" s="1" t="s">
        <v>335</v>
      </c>
      <c r="M4" s="1" t="str">
        <f>SUBSTITUTE(D4,"hazr-","")&amp;"-osdisk"</f>
        <v>d-dis-dfir01-osdisk</v>
      </c>
      <c r="N4" s="1">
        <v>64</v>
      </c>
      <c r="O4" s="1" t="s">
        <v>102</v>
      </c>
      <c r="P4" s="1" t="str">
        <f t="shared" si="0"/>
        <v>d-dis-dfir01-disk01</v>
      </c>
      <c r="Q4" s="1">
        <v>64</v>
      </c>
      <c r="R4" s="1" t="s">
        <v>102</v>
      </c>
      <c r="S4" s="1" t="str">
        <f t="shared" si="1"/>
        <v>d-dis-dfir01-nic</v>
      </c>
      <c r="T4" s="1" t="b">
        <v>1</v>
      </c>
      <c r="U4" s="1" t="s">
        <v>188</v>
      </c>
      <c r="V4" s="1" t="s">
        <v>196</v>
      </c>
      <c r="W4" s="1" t="s">
        <v>230</v>
      </c>
      <c r="X4" s="1">
        <v>1</v>
      </c>
      <c r="Y4" s="1"/>
      <c r="Z4" s="1"/>
    </row>
    <row r="5" spans="1:26" ht="17.25" customHeight="1" x14ac:dyDescent="0.3">
      <c r="A5" s="1" t="s">
        <v>82</v>
      </c>
      <c r="B5" s="1" t="s">
        <v>331</v>
      </c>
      <c r="C5" s="1" t="s">
        <v>24</v>
      </c>
      <c r="D5" s="1" t="s">
        <v>332</v>
      </c>
      <c r="E5" s="1" t="s">
        <v>333</v>
      </c>
      <c r="F5" s="1" t="s">
        <v>327</v>
      </c>
      <c r="G5" s="1">
        <v>2</v>
      </c>
      <c r="H5" s="1">
        <v>8</v>
      </c>
      <c r="I5" s="1" t="s">
        <v>322</v>
      </c>
      <c r="J5" s="1" t="s">
        <v>320</v>
      </c>
      <c r="K5" s="1" t="s">
        <v>25</v>
      </c>
      <c r="L5" s="1" t="s">
        <v>334</v>
      </c>
      <c r="M5" s="1" t="str">
        <f>SUBSTITUTE(D5,"hazr-","")&amp;"-osdisk"</f>
        <v>d-bdp-cxmap01-osdisk</v>
      </c>
      <c r="N5" s="1">
        <v>64</v>
      </c>
      <c r="O5" s="1" t="s">
        <v>102</v>
      </c>
      <c r="P5" s="1" t="str">
        <f t="shared" si="0"/>
        <v>d-bdp-cxmap01-disk01</v>
      </c>
      <c r="Q5" s="1">
        <v>64</v>
      </c>
      <c r="R5" s="1" t="s">
        <v>102</v>
      </c>
      <c r="S5" s="1" t="str">
        <f t="shared" si="1"/>
        <v>d-bdp-cxmap01-nic</v>
      </c>
      <c r="T5" s="1" t="b">
        <v>1</v>
      </c>
      <c r="U5" s="1" t="s">
        <v>188</v>
      </c>
      <c r="V5" s="1" t="s">
        <v>196</v>
      </c>
      <c r="W5" s="1" t="s">
        <v>266</v>
      </c>
      <c r="X5" s="1">
        <v>1</v>
      </c>
      <c r="Y5" s="1"/>
      <c r="Z5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C398-4852-44DE-9492-2B7CF2EB859C}">
  <dimension ref="A1:L9"/>
  <sheetViews>
    <sheetView workbookViewId="0">
      <selection activeCell="D3" sqref="D3"/>
    </sheetView>
  </sheetViews>
  <sheetFormatPr defaultRowHeight="16.5" x14ac:dyDescent="0.3"/>
  <cols>
    <col min="2" max="2" width="14.625" bestFit="1" customWidth="1"/>
    <col min="3" max="3" width="12.5" bestFit="1" customWidth="1"/>
    <col min="4" max="4" width="12.25" bestFit="1" customWidth="1"/>
    <col min="5" max="5" width="19.75" bestFit="1" customWidth="1"/>
    <col min="6" max="6" width="8.75" bestFit="1" customWidth="1"/>
    <col min="7" max="7" width="10.625" bestFit="1" customWidth="1"/>
    <col min="8" max="8" width="15.5" bestFit="1" customWidth="1"/>
    <col min="9" max="9" width="17.5" bestFit="1" customWidth="1"/>
    <col min="10" max="10" width="14.25" bestFit="1" customWidth="1"/>
    <col min="11" max="11" width="14.375" bestFit="1" customWidth="1"/>
    <col min="12" max="12" width="19.75" customWidth="1"/>
    <col min="13" max="13" width="62.25" bestFit="1" customWidth="1"/>
  </cols>
  <sheetData>
    <row r="1" spans="1:12" x14ac:dyDescent="0.3">
      <c r="A1" s="65" t="s">
        <v>0</v>
      </c>
      <c r="B1" s="65" t="s">
        <v>1</v>
      </c>
      <c r="C1" s="66" t="s">
        <v>2</v>
      </c>
      <c r="D1" s="66" t="s">
        <v>3</v>
      </c>
      <c r="E1" s="66" t="s">
        <v>105</v>
      </c>
      <c r="F1" s="66" t="s">
        <v>106</v>
      </c>
      <c r="G1" s="63" t="s">
        <v>177</v>
      </c>
      <c r="H1" s="63" t="s">
        <v>178</v>
      </c>
      <c r="I1" s="63" t="s">
        <v>179</v>
      </c>
      <c r="J1" s="63" t="s">
        <v>180</v>
      </c>
      <c r="K1" s="63" t="s">
        <v>181</v>
      </c>
      <c r="L1" s="63" t="s">
        <v>176</v>
      </c>
    </row>
    <row r="2" spans="1:12" x14ac:dyDescent="0.3">
      <c r="A2" s="56" t="s">
        <v>23</v>
      </c>
      <c r="B2" s="56" t="s">
        <v>184</v>
      </c>
      <c r="C2" s="56" t="s">
        <v>85</v>
      </c>
      <c r="D2" s="56" t="s">
        <v>24</v>
      </c>
      <c r="E2" s="56" t="s">
        <v>187</v>
      </c>
      <c r="F2" s="56" t="s">
        <v>186</v>
      </c>
      <c r="G2" s="56"/>
      <c r="H2" s="56"/>
      <c r="I2" s="56"/>
      <c r="J2" s="52"/>
      <c r="K2" s="52"/>
      <c r="L2" s="52" t="s">
        <v>182</v>
      </c>
    </row>
    <row r="9" spans="1:12" x14ac:dyDescent="0.3">
      <c r="L9" s="6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1AB6-04B6-41AA-A28C-C9A8D21D56C8}">
  <dimension ref="A1:G2"/>
  <sheetViews>
    <sheetView workbookViewId="0">
      <selection activeCell="A3" sqref="A3"/>
    </sheetView>
  </sheetViews>
  <sheetFormatPr defaultRowHeight="16.5" x14ac:dyDescent="0.3"/>
  <cols>
    <col min="2" max="2" width="10.5" bestFit="1" customWidth="1"/>
    <col min="3" max="3" width="12.5" bestFit="1" customWidth="1"/>
    <col min="4" max="4" width="12.25" bestFit="1" customWidth="1"/>
    <col min="5" max="5" width="11.875" bestFit="1" customWidth="1"/>
    <col min="6" max="6" width="19.75" bestFit="1" customWidth="1"/>
    <col min="7" max="7" width="8.75" bestFit="1" customWidth="1"/>
  </cols>
  <sheetData>
    <row r="1" spans="1:7" x14ac:dyDescent="0.3">
      <c r="A1" s="84" t="s">
        <v>0</v>
      </c>
      <c r="B1" s="84" t="s">
        <v>1</v>
      </c>
      <c r="C1" s="85" t="s">
        <v>2</v>
      </c>
      <c r="D1" s="51" t="s">
        <v>3</v>
      </c>
      <c r="E1" s="51" t="s">
        <v>183</v>
      </c>
      <c r="F1" s="85" t="s">
        <v>105</v>
      </c>
      <c r="G1" s="51" t="s">
        <v>106</v>
      </c>
    </row>
    <row r="2" spans="1:7" x14ac:dyDescent="0.3">
      <c r="A2" s="52" t="s">
        <v>23</v>
      </c>
      <c r="B2" s="52" t="s">
        <v>184</v>
      </c>
      <c r="C2" s="52" t="s">
        <v>85</v>
      </c>
      <c r="D2" s="52" t="s">
        <v>24</v>
      </c>
      <c r="E2" s="52" t="s">
        <v>185</v>
      </c>
      <c r="F2" s="52" t="s">
        <v>187</v>
      </c>
      <c r="G2" s="52" t="s">
        <v>186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RG</vt:lpstr>
      <vt:lpstr>VNET</vt:lpstr>
      <vt:lpstr>VM_DEV</vt:lpstr>
      <vt:lpstr>NSG_PRD</vt:lpstr>
      <vt:lpstr>NSG_PRD_Rule</vt:lpstr>
      <vt:lpstr>LB_PRD</vt:lpstr>
      <vt:lpstr>LB_PRD_Probe</vt:lpstr>
      <vt:lpstr>LB_PRD_Rule</vt:lpstr>
      <vt:lpstr>VM_DEV_Old</vt:lpstr>
      <vt:lpstr>KV_PRD_Old</vt:lpstr>
      <vt:lpstr>DES_PRD_Old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2026-04-14T09:21:09Z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