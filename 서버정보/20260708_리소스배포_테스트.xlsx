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63247E9C-2407-4AD1-B981-4D5CFA2E96E3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LB!$B$1:$Q$40</definedName>
    <definedName name="_xlnm._FilterDatabase" localSheetId="8" hidden="1">LB_Probe!$B$1:$K$83</definedName>
    <definedName name="_xlnm._FilterDatabase" localSheetId="9" hidden="1">LB_Rule!$A$1:$R$83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5" i="11" l="1"/>
  <c r="J85" i="11"/>
  <c r="F85" i="11"/>
  <c r="E85" i="11"/>
  <c r="B85" i="11" a="1"/>
  <c r="B85" i="11" s="1"/>
  <c r="L84" i="11"/>
  <c r="J84" i="11"/>
  <c r="F84" i="11"/>
  <c r="E84" i="11"/>
  <c r="B84" i="11" a="1"/>
  <c r="B84" i="11" s="1"/>
  <c r="F85" i="10"/>
  <c r="C85" i="10" a="1"/>
  <c r="C85" i="10" s="1"/>
  <c r="F84" i="10"/>
  <c r="C84" i="10" a="1"/>
  <c r="C84" i="10" s="1"/>
  <c r="Q41" i="6"/>
  <c r="K41" i="6"/>
  <c r="C41" i="6" a="1"/>
  <c r="C41" i="6" s="1"/>
  <c r="C92" i="2" a="1"/>
  <c r="C92" i="2" s="1"/>
  <c r="E92" i="2"/>
  <c r="K92" i="2"/>
  <c r="K91" i="2"/>
  <c r="G74" i="14"/>
  <c r="J74" i="14"/>
  <c r="O74" i="1"/>
  <c r="U74" i="1"/>
  <c r="K90" i="2"/>
  <c r="E90" i="2"/>
  <c r="E91" i="2"/>
  <c r="C91" i="2" a="1"/>
  <c r="C91" i="2" s="1"/>
  <c r="C89" i="2" a="1"/>
  <c r="C89" i="2" s="1"/>
  <c r="C90" i="2" a="1"/>
  <c r="C90" i="2" s="1"/>
  <c r="J73" i="14"/>
  <c r="J72" i="14"/>
  <c r="G72" i="14"/>
  <c r="G73" i="14"/>
  <c r="C72" i="14" a="1"/>
  <c r="C72" i="14" s="1"/>
  <c r="C73" i="14" a="1"/>
  <c r="C73" i="14" s="1"/>
  <c r="C71" i="14" a="1"/>
  <c r="C71" i="14" s="1"/>
  <c r="C72" i="1" a="1"/>
  <c r="C72" i="1" s="1"/>
  <c r="C73" i="1" a="1"/>
  <c r="C73" i="1" s="1"/>
  <c r="O73" i="1"/>
  <c r="U73" i="1"/>
  <c r="O72" i="1"/>
  <c r="U72" i="1"/>
  <c r="C19" i="6" a="1"/>
  <c r="C19" i="6" s="1"/>
  <c r="K19" i="6"/>
  <c r="Q19" i="6"/>
  <c r="C20" i="6" a="1"/>
  <c r="C20" i="6" s="1"/>
  <c r="K20" i="6"/>
  <c r="Q20" i="6"/>
  <c r="C21" i="6" a="1"/>
  <c r="C21" i="6" s="1"/>
  <c r="K21" i="6"/>
  <c r="Q21" i="6"/>
  <c r="E80" i="2"/>
  <c r="U71" i="1"/>
  <c r="K89" i="2"/>
  <c r="E89" i="2"/>
  <c r="J71" i="14"/>
  <c r="G71" i="14"/>
  <c r="C71" i="1" a="1"/>
  <c r="C71" i="1" s="1"/>
  <c r="O71" i="1"/>
  <c r="E21" i="11"/>
  <c r="E20" i="11"/>
  <c r="B21" i="11" a="1"/>
  <c r="B21" i="11" s="1"/>
  <c r="F21" i="11"/>
  <c r="L21" i="11"/>
  <c r="J21" i="11"/>
  <c r="L20" i="11"/>
  <c r="J20" i="11"/>
  <c r="F21" i="10"/>
  <c r="C21" i="10" a="1"/>
  <c r="C21" i="10" s="1"/>
  <c r="C68" i="1" a="1"/>
  <c r="C68" i="1" s="1"/>
  <c r="O68" i="1"/>
  <c r="U68" i="1"/>
  <c r="C69" i="1" a="1"/>
  <c r="C69" i="1" s="1"/>
  <c r="O69" i="1"/>
  <c r="U69" i="1"/>
  <c r="O70" i="1"/>
  <c r="U70" i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3" i="11"/>
  <c r="E24" i="11"/>
  <c r="E25" i="11"/>
  <c r="E26" i="11"/>
  <c r="E27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6" i="11"/>
  <c r="E77" i="11"/>
  <c r="E78" i="11"/>
  <c r="E79" i="11"/>
  <c r="E80" i="11"/>
  <c r="E81" i="11"/>
  <c r="E82" i="11"/>
  <c r="E83" i="11"/>
  <c r="E2" i="11"/>
  <c r="B49" i="11" a="1"/>
  <c r="B49" i="11" s="1"/>
  <c r="B50" i="11" a="1"/>
  <c r="B50" i="11" s="1"/>
  <c r="B51" i="11" a="1"/>
  <c r="B51" i="11" s="1"/>
  <c r="B52" i="11" a="1"/>
  <c r="B52" i="11" s="1"/>
  <c r="B53" i="11" a="1"/>
  <c r="B53" i="11" s="1"/>
  <c r="B54" i="11" a="1"/>
  <c r="B54" i="11" s="1"/>
  <c r="B55" i="11" a="1"/>
  <c r="B55" i="11" s="1"/>
  <c r="B56" i="11" a="1"/>
  <c r="B56" i="11" s="1"/>
  <c r="B57" i="11" a="1"/>
  <c r="B57" i="11" s="1"/>
  <c r="B58" i="11" a="1"/>
  <c r="B58" i="11" s="1"/>
  <c r="B59" i="11" a="1"/>
  <c r="B59" i="11" s="1"/>
  <c r="B60" i="11" a="1"/>
  <c r="B60" i="11" s="1"/>
  <c r="B61" i="11" a="1"/>
  <c r="B61" i="11" s="1"/>
  <c r="B62" i="11" a="1"/>
  <c r="B62" i="11" s="1"/>
  <c r="B63" i="11" a="1"/>
  <c r="B63" i="11" s="1"/>
  <c r="B64" i="11" a="1"/>
  <c r="B64" i="11" s="1"/>
  <c r="B65" i="11" a="1"/>
  <c r="B65" i="11" s="1"/>
  <c r="B66" i="11" a="1"/>
  <c r="B66" i="11" s="1"/>
  <c r="B67" i="11" a="1"/>
  <c r="B67" i="11" s="1"/>
  <c r="B68" i="11" a="1"/>
  <c r="B68" i="11" s="1"/>
  <c r="B69" i="11" a="1"/>
  <c r="B69" i="11" s="1"/>
  <c r="B70" i="11" a="1"/>
  <c r="B70" i="11" s="1"/>
  <c r="B71" i="11" a="1"/>
  <c r="B71" i="11" s="1"/>
  <c r="B72" i="11" a="1"/>
  <c r="B72" i="11" s="1"/>
  <c r="B76" i="11" a="1"/>
  <c r="B76" i="11" s="1"/>
  <c r="B77" i="11" a="1"/>
  <c r="B77" i="11" s="1"/>
  <c r="B78" i="11" a="1"/>
  <c r="B78" i="11" s="1"/>
  <c r="B79" i="11" a="1"/>
  <c r="B79" i="11" s="1"/>
  <c r="B80" i="11" a="1"/>
  <c r="B80" i="11" s="1"/>
  <c r="B81" i="11" a="1"/>
  <c r="B81" i="11" s="1"/>
  <c r="B82" i="11" a="1"/>
  <c r="B82" i="11" s="1"/>
  <c r="B83" i="11" a="1"/>
  <c r="B83" i="11" s="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3" i="11"/>
  <c r="L24" i="11"/>
  <c r="L25" i="11"/>
  <c r="L26" i="11"/>
  <c r="L27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6" i="11"/>
  <c r="L77" i="11"/>
  <c r="L78" i="11"/>
  <c r="L79" i="11"/>
  <c r="L80" i="11"/>
  <c r="L81" i="11"/>
  <c r="L82" i="11"/>
  <c r="L83" i="11"/>
  <c r="L2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F2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C77" i="10" a="1"/>
  <c r="C77" i="10" s="1"/>
  <c r="F77" i="10"/>
  <c r="C78" i="10" a="1"/>
  <c r="C78" i="10" s="1"/>
  <c r="F78" i="10"/>
  <c r="C48" i="10" a="1"/>
  <c r="C48" i="10" s="1"/>
  <c r="F48" i="10"/>
  <c r="C50" i="10" a="1"/>
  <c r="C50" i="10" s="1"/>
  <c r="F50" i="10"/>
  <c r="C51" i="10" a="1"/>
  <c r="C51" i="10" s="1"/>
  <c r="F51" i="10"/>
  <c r="C55" i="10" a="1"/>
  <c r="C55" i="10" s="1"/>
  <c r="F55" i="10"/>
  <c r="C53" i="10" a="1"/>
  <c r="C53" i="10" s="1"/>
  <c r="F53" i="10"/>
  <c r="C54" i="10" a="1"/>
  <c r="C54" i="10" s="1"/>
  <c r="F54" i="10"/>
  <c r="C57" i="10" a="1"/>
  <c r="C57" i="10" s="1"/>
  <c r="F57" i="10"/>
  <c r="C58" i="10" a="1"/>
  <c r="C58" i="10" s="1"/>
  <c r="F58" i="10"/>
  <c r="C59" i="10" a="1"/>
  <c r="C59" i="10" s="1"/>
  <c r="F59" i="10"/>
  <c r="C60" i="10" a="1"/>
  <c r="C60" i="10" s="1"/>
  <c r="F60" i="10"/>
  <c r="C67" i="10" a="1"/>
  <c r="C67" i="10" s="1"/>
  <c r="F67" i="10"/>
  <c r="C62" i="10" a="1"/>
  <c r="C62" i="10" s="1"/>
  <c r="F62" i="10"/>
  <c r="C63" i="10" a="1"/>
  <c r="C63" i="10" s="1"/>
  <c r="F63" i="10"/>
  <c r="C64" i="10" a="1"/>
  <c r="C64" i="10" s="1"/>
  <c r="F64" i="10"/>
  <c r="C65" i="10" a="1"/>
  <c r="C65" i="10" s="1"/>
  <c r="F65" i="10"/>
  <c r="C66" i="10" a="1"/>
  <c r="C66" i="10" s="1"/>
  <c r="F66" i="10"/>
  <c r="C69" i="10" a="1"/>
  <c r="C69" i="10" s="1"/>
  <c r="F69" i="10"/>
  <c r="C70" i="10" a="1"/>
  <c r="C70" i="10" s="1"/>
  <c r="F70" i="10"/>
  <c r="C71" i="10" a="1"/>
  <c r="C71" i="10" s="1"/>
  <c r="F71" i="10"/>
  <c r="C72" i="10" a="1"/>
  <c r="C72" i="10" s="1"/>
  <c r="F72" i="10"/>
  <c r="C16" i="10" a="1"/>
  <c r="C16" i="10" s="1"/>
  <c r="F16" i="10"/>
  <c r="C17" i="10" a="1"/>
  <c r="C17" i="10" s="1"/>
  <c r="F17" i="10"/>
  <c r="C18" i="10" a="1"/>
  <c r="C18" i="10" s="1"/>
  <c r="F18" i="10"/>
  <c r="C19" i="10" a="1"/>
  <c r="C19" i="10" s="1"/>
  <c r="F19" i="10"/>
  <c r="F22" i="10"/>
  <c r="F3" i="10"/>
  <c r="C3" i="10" a="1"/>
  <c r="C3" i="10" s="1"/>
  <c r="F27" i="10"/>
  <c r="C27" i="10" a="1"/>
  <c r="C27" i="10" s="1"/>
  <c r="F5" i="10"/>
  <c r="C5" i="10" a="1"/>
  <c r="C5" i="10" s="1"/>
  <c r="F8" i="10"/>
  <c r="C8" i="10" a="1"/>
  <c r="C8" i="10" s="1"/>
  <c r="F10" i="10"/>
  <c r="C10" i="10" a="1"/>
  <c r="C10" i="10" s="1"/>
  <c r="F24" i="10"/>
  <c r="C24" i="10" a="1"/>
  <c r="C24" i="10" s="1"/>
  <c r="F36" i="10"/>
  <c r="C36" i="10" a="1"/>
  <c r="C36" i="10" s="1"/>
  <c r="F32" i="10"/>
  <c r="C32" i="10" a="1"/>
  <c r="C32" i="10" s="1"/>
  <c r="F76" i="10"/>
  <c r="F47" i="10"/>
  <c r="F49" i="10"/>
  <c r="F52" i="10"/>
  <c r="F56" i="10"/>
  <c r="F61" i="10"/>
  <c r="F68" i="10"/>
  <c r="F82" i="10"/>
  <c r="F83" i="10"/>
  <c r="F79" i="10"/>
  <c r="F80" i="10"/>
  <c r="F26" i="10"/>
  <c r="F25" i="10"/>
  <c r="F7" i="10"/>
  <c r="F9" i="10"/>
  <c r="F23" i="10"/>
  <c r="F12" i="10"/>
  <c r="F13" i="10"/>
  <c r="F14" i="10"/>
  <c r="F15" i="10"/>
  <c r="F20" i="10"/>
  <c r="F6" i="10"/>
  <c r="F30" i="10"/>
  <c r="F29" i="10"/>
  <c r="F28" i="10"/>
  <c r="F33" i="10"/>
  <c r="F34" i="10"/>
  <c r="F41" i="10"/>
  <c r="F42" i="10"/>
  <c r="F43" i="10"/>
  <c r="F44" i="10"/>
  <c r="F46" i="10"/>
  <c r="F39" i="10"/>
  <c r="F37" i="10"/>
  <c r="F38" i="10"/>
  <c r="F45" i="10"/>
  <c r="F73" i="10"/>
  <c r="F81" i="10"/>
  <c r="F11" i="10"/>
  <c r="F2" i="10"/>
  <c r="F4" i="10"/>
  <c r="F35" i="10"/>
  <c r="F31" i="10"/>
  <c r="F40" i="10"/>
  <c r="F75" i="10"/>
  <c r="C44" i="10" a="1"/>
  <c r="C44" i="10" s="1"/>
  <c r="C43" i="10" a="1"/>
  <c r="C43" i="10" s="1"/>
  <c r="F74" i="10"/>
  <c r="C88" i="2" a="1"/>
  <c r="C88" i="2" s="1"/>
  <c r="E88" i="2"/>
  <c r="G70" i="14"/>
  <c r="C70" i="14" a="1"/>
  <c r="C70" i="14" s="1"/>
  <c r="E87" i="2"/>
  <c r="E86" i="2"/>
  <c r="C87" i="2" a="1"/>
  <c r="C87" i="2" s="1"/>
  <c r="C86" i="2" a="1"/>
  <c r="C86" i="2" s="1"/>
  <c r="J68" i="14"/>
  <c r="J69" i="14"/>
  <c r="G68" i="14"/>
  <c r="G69" i="14"/>
  <c r="C68" i="14" a="1"/>
  <c r="C68" i="14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2" i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E2" i="2"/>
  <c r="E69" i="2"/>
  <c r="C69" i="2" s="1" a="1"/>
  <c r="C69" i="2" s="1"/>
  <c r="E70" i="2"/>
  <c r="C70" i="2" s="1" a="1"/>
  <c r="C70" i="2" s="1"/>
  <c r="E71" i="2"/>
  <c r="C71" i="2" s="1" a="1"/>
  <c r="C71" i="2" s="1"/>
  <c r="E72" i="2"/>
  <c r="C72" i="2" s="1" a="1"/>
  <c r="C72" i="2" s="1"/>
  <c r="E73" i="2"/>
  <c r="E74" i="2"/>
  <c r="C74" i="2" s="1" a="1"/>
  <c r="C74" i="2" s="1"/>
  <c r="E75" i="2"/>
  <c r="C75" i="2" s="1" a="1"/>
  <c r="C75" i="2" s="1"/>
  <c r="E76" i="2"/>
  <c r="C76" i="2" s="1" a="1"/>
  <c r="C76" i="2" s="1"/>
  <c r="E77" i="2"/>
  <c r="C77" i="2" s="1" a="1"/>
  <c r="C77" i="2" s="1"/>
  <c r="E78" i="2"/>
  <c r="C78" i="2" s="1" a="1"/>
  <c r="C78" i="2" s="1"/>
  <c r="E79" i="2"/>
  <c r="C79" i="2" s="1" a="1"/>
  <c r="C79" i="2" s="1"/>
  <c r="C80" i="2" a="1"/>
  <c r="C80" i="2" s="1"/>
  <c r="E81" i="2"/>
  <c r="C81" i="2" s="1" a="1"/>
  <c r="C81" i="2" s="1"/>
  <c r="E82" i="2"/>
  <c r="C82" i="2" s="1" a="1"/>
  <c r="C82" i="2" s="1"/>
  <c r="E83" i="2"/>
  <c r="C83" i="2" s="1" a="1"/>
  <c r="C83" i="2" s="1"/>
  <c r="E84" i="2"/>
  <c r="C84" i="2" s="1" a="1"/>
  <c r="C84" i="2" s="1"/>
  <c r="E85" i="2"/>
  <c r="C85" i="2" s="1" a="1"/>
  <c r="C85" i="2" s="1"/>
  <c r="E68" i="2"/>
  <c r="C68" i="2" s="1" a="1"/>
  <c r="C68" i="2" s="1"/>
  <c r="C73" i="2" a="1"/>
  <c r="C73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3" i="2"/>
  <c r="K2" i="2"/>
  <c r="E4" i="2"/>
  <c r="C4" i="2" s="1" a="1"/>
  <c r="C4" i="2" s="1"/>
  <c r="E5" i="2"/>
  <c r="C5" i="2" s="1" a="1"/>
  <c r="C5" i="2" s="1"/>
  <c r="E6" i="2"/>
  <c r="C6" i="2" s="1" a="1"/>
  <c r="C6" i="2" s="1"/>
  <c r="E7" i="2"/>
  <c r="C7" i="2" s="1" a="1"/>
  <c r="C7" i="2" s="1"/>
  <c r="E8" i="2"/>
  <c r="C8" i="2" s="1" a="1"/>
  <c r="C8" i="2" s="1"/>
  <c r="E9" i="2"/>
  <c r="C9" i="2" s="1" a="1"/>
  <c r="C9" i="2" s="1"/>
  <c r="E10" i="2"/>
  <c r="C10" i="2" s="1" a="1"/>
  <c r="C10" i="2" s="1"/>
  <c r="E11" i="2"/>
  <c r="C11" i="2" s="1" a="1"/>
  <c r="C11" i="2" s="1"/>
  <c r="E12" i="2"/>
  <c r="C12" i="2" s="1" a="1"/>
  <c r="C12" i="2" s="1"/>
  <c r="E13" i="2"/>
  <c r="C13" i="2" s="1" a="1"/>
  <c r="C13" i="2" s="1"/>
  <c r="E14" i="2"/>
  <c r="C14" i="2" s="1" a="1"/>
  <c r="C14" i="2" s="1"/>
  <c r="E15" i="2"/>
  <c r="C15" i="2" s="1" a="1"/>
  <c r="C15" i="2" s="1"/>
  <c r="E16" i="2"/>
  <c r="C16" i="2" s="1" a="1"/>
  <c r="C16" i="2" s="1"/>
  <c r="E17" i="2"/>
  <c r="C17" i="2" s="1" a="1"/>
  <c r="C17" i="2" s="1"/>
  <c r="E18" i="2"/>
  <c r="C18" i="2" s="1" a="1"/>
  <c r="C18" i="2" s="1"/>
  <c r="E19" i="2"/>
  <c r="C19" i="2" s="1" a="1"/>
  <c r="C19" i="2" s="1"/>
  <c r="E20" i="2"/>
  <c r="C20" i="2" s="1" a="1"/>
  <c r="C20" i="2" s="1"/>
  <c r="E21" i="2"/>
  <c r="C21" i="2" s="1" a="1"/>
  <c r="C21" i="2" s="1"/>
  <c r="E22" i="2"/>
  <c r="C22" i="2" s="1" a="1"/>
  <c r="C22" i="2" s="1"/>
  <c r="E23" i="2"/>
  <c r="C23" i="2" s="1" a="1"/>
  <c r="C23" i="2" s="1"/>
  <c r="E24" i="2"/>
  <c r="C24" i="2" s="1" a="1"/>
  <c r="C24" i="2" s="1"/>
  <c r="E25" i="2"/>
  <c r="C25" i="2" s="1" a="1"/>
  <c r="C25" i="2" s="1"/>
  <c r="E26" i="2"/>
  <c r="C26" i="2" s="1" a="1"/>
  <c r="C26" i="2" s="1"/>
  <c r="E27" i="2"/>
  <c r="C27" i="2" s="1" a="1"/>
  <c r="C27" i="2" s="1"/>
  <c r="E28" i="2"/>
  <c r="C28" i="2" s="1" a="1"/>
  <c r="C28" i="2" s="1"/>
  <c r="E29" i="2"/>
  <c r="C29" i="2" s="1" a="1"/>
  <c r="C29" i="2" s="1"/>
  <c r="E30" i="2"/>
  <c r="C30" i="2" s="1" a="1"/>
  <c r="C30" i="2" s="1"/>
  <c r="E31" i="2"/>
  <c r="C31" i="2" s="1" a="1"/>
  <c r="C31" i="2" s="1"/>
  <c r="E32" i="2"/>
  <c r="C32" i="2" s="1" a="1"/>
  <c r="C32" i="2" s="1"/>
  <c r="E33" i="2"/>
  <c r="C33" i="2" s="1" a="1"/>
  <c r="C33" i="2" s="1"/>
  <c r="E34" i="2"/>
  <c r="C34" i="2" s="1" a="1"/>
  <c r="C34" i="2" s="1"/>
  <c r="E35" i="2"/>
  <c r="C35" i="2" s="1" a="1"/>
  <c r="C35" i="2" s="1"/>
  <c r="E36" i="2"/>
  <c r="C36" i="2" s="1" a="1"/>
  <c r="C36" i="2" s="1"/>
  <c r="E37" i="2"/>
  <c r="C37" i="2" s="1" a="1"/>
  <c r="C37" i="2" s="1"/>
  <c r="E38" i="2"/>
  <c r="C38" i="2" s="1" a="1"/>
  <c r="C38" i="2" s="1"/>
  <c r="E39" i="2"/>
  <c r="C39" i="2" s="1" a="1"/>
  <c r="C39" i="2" s="1"/>
  <c r="E40" i="2"/>
  <c r="C40" i="2" s="1" a="1"/>
  <c r="C40" i="2" s="1"/>
  <c r="E41" i="2"/>
  <c r="C41" i="2" s="1" a="1"/>
  <c r="C41" i="2" s="1"/>
  <c r="E42" i="2"/>
  <c r="C42" i="2" s="1" a="1"/>
  <c r="C42" i="2" s="1"/>
  <c r="E43" i="2"/>
  <c r="C43" i="2" s="1" a="1"/>
  <c r="C43" i="2" s="1"/>
  <c r="E44" i="2"/>
  <c r="C44" i="2" s="1" a="1"/>
  <c r="C44" i="2" s="1"/>
  <c r="E45" i="2"/>
  <c r="C45" i="2" s="1" a="1"/>
  <c r="C45" i="2" s="1"/>
  <c r="E46" i="2"/>
  <c r="C46" i="2" s="1" a="1"/>
  <c r="C46" i="2" s="1"/>
  <c r="E47" i="2"/>
  <c r="C47" i="2" s="1" a="1"/>
  <c r="C47" i="2" s="1"/>
  <c r="E48" i="2"/>
  <c r="C48" i="2" s="1" a="1"/>
  <c r="C48" i="2" s="1"/>
  <c r="E49" i="2"/>
  <c r="C49" i="2" s="1" a="1"/>
  <c r="C49" i="2" s="1"/>
  <c r="E50" i="2"/>
  <c r="C50" i="2" s="1" a="1"/>
  <c r="C50" i="2" s="1"/>
  <c r="E51" i="2"/>
  <c r="C51" i="2" s="1" a="1"/>
  <c r="C51" i="2" s="1"/>
  <c r="E52" i="2"/>
  <c r="C52" i="2" s="1" a="1"/>
  <c r="C52" i="2" s="1"/>
  <c r="E53" i="2"/>
  <c r="C53" i="2" s="1" a="1"/>
  <c r="C53" i="2" s="1"/>
  <c r="E54" i="2"/>
  <c r="C54" i="2" s="1" a="1"/>
  <c r="C54" i="2" s="1"/>
  <c r="E55" i="2"/>
  <c r="C55" i="2" s="1" a="1"/>
  <c r="C55" i="2" s="1"/>
  <c r="E56" i="2"/>
  <c r="C56" i="2" s="1" a="1"/>
  <c r="C56" i="2" s="1"/>
  <c r="E57" i="2"/>
  <c r="C57" i="2" s="1" a="1"/>
  <c r="C57" i="2" s="1"/>
  <c r="E58" i="2"/>
  <c r="C58" i="2" s="1" a="1"/>
  <c r="C58" i="2" s="1"/>
  <c r="E59" i="2"/>
  <c r="C59" i="2" s="1" a="1"/>
  <c r="C59" i="2" s="1"/>
  <c r="E60" i="2"/>
  <c r="C60" i="2" s="1" a="1"/>
  <c r="C60" i="2" s="1"/>
  <c r="E61" i="2"/>
  <c r="C61" i="2" s="1" a="1"/>
  <c r="C61" i="2" s="1"/>
  <c r="E62" i="2"/>
  <c r="C62" i="2" s="1" a="1"/>
  <c r="C62" i="2" s="1"/>
  <c r="E63" i="2"/>
  <c r="C63" i="2" s="1" a="1"/>
  <c r="C63" i="2" s="1"/>
  <c r="E64" i="2"/>
  <c r="C64" i="2" s="1" a="1"/>
  <c r="C64" i="2" s="1"/>
  <c r="E65" i="2"/>
  <c r="C65" i="2" s="1" a="1"/>
  <c r="C65" i="2" s="1"/>
  <c r="E66" i="2"/>
  <c r="C66" i="2" s="1" a="1"/>
  <c r="C66" i="2" s="1"/>
  <c r="E67" i="2"/>
  <c r="C67" i="2" s="1" a="1"/>
  <c r="C67" i="2" s="1"/>
  <c r="E3" i="2"/>
  <c r="J21" i="14" l="1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20" i="14"/>
  <c r="J19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" i="14"/>
  <c r="G5" i="14"/>
  <c r="C67" i="14" a="1"/>
  <c r="C67" i="14" s="1"/>
  <c r="C66" i="14" a="1"/>
  <c r="C66" i="14" s="1"/>
  <c r="C65" i="14" a="1"/>
  <c r="C65" i="14" s="1"/>
  <c r="C64" i="14" a="1"/>
  <c r="C64" i="14" s="1"/>
  <c r="C63" i="14" a="1"/>
  <c r="C63" i="14" s="1"/>
  <c r="C62" i="14" a="1"/>
  <c r="C62" i="14" s="1"/>
  <c r="C61" i="14" a="1"/>
  <c r="C61" i="14" s="1"/>
  <c r="C60" i="14" a="1"/>
  <c r="C60" i="14" s="1"/>
  <c r="C59" i="14" a="1"/>
  <c r="C59" i="14" s="1"/>
  <c r="C58" i="14" a="1"/>
  <c r="C58" i="14" s="1"/>
  <c r="C57" i="14" a="1"/>
  <c r="C57" i="14" s="1"/>
  <c r="C56" i="14" a="1"/>
  <c r="C56" i="14" s="1"/>
  <c r="C55" i="14" a="1"/>
  <c r="C55" i="14" s="1"/>
  <c r="C54" i="14" a="1"/>
  <c r="C54" i="14" s="1"/>
  <c r="C53" i="14" a="1"/>
  <c r="C53" i="14" s="1"/>
  <c r="C52" i="14" a="1"/>
  <c r="C52" i="14" s="1"/>
  <c r="C51" i="14" a="1"/>
  <c r="C51" i="14" s="1"/>
  <c r="C50" i="14" a="1"/>
  <c r="C50" i="14" s="1"/>
  <c r="C49" i="14" a="1"/>
  <c r="C49" i="14" s="1"/>
  <c r="C48" i="14" a="1"/>
  <c r="C48" i="14" s="1"/>
  <c r="C47" i="14" a="1"/>
  <c r="C47" i="14" s="1"/>
  <c r="C46" i="14" a="1"/>
  <c r="C46" i="14" s="1"/>
  <c r="C45" i="14" a="1"/>
  <c r="C45" i="14" s="1"/>
  <c r="C44" i="14" a="1"/>
  <c r="C44" i="14" s="1"/>
  <c r="C43" i="14" a="1"/>
  <c r="C43" i="14" s="1"/>
  <c r="C42" i="14" a="1"/>
  <c r="C42" i="14" s="1"/>
  <c r="C41" i="14" a="1"/>
  <c r="C41" i="14" s="1"/>
  <c r="C40" i="14" a="1"/>
  <c r="C40" i="14" s="1"/>
  <c r="C39" i="14" a="1"/>
  <c r="C39" i="14" s="1"/>
  <c r="C38" i="14" a="1"/>
  <c r="C38" i="14" s="1"/>
  <c r="C37" i="14" a="1"/>
  <c r="C37" i="14" s="1"/>
  <c r="C36" i="14" a="1"/>
  <c r="C36" i="14" s="1"/>
  <c r="C35" i="14" a="1"/>
  <c r="C35" i="14" s="1"/>
  <c r="C34" i="14" a="1"/>
  <c r="C34" i="14" s="1"/>
  <c r="C33" i="14" a="1"/>
  <c r="C33" i="14" s="1"/>
  <c r="C32" i="14" a="1"/>
  <c r="C32" i="14" s="1"/>
  <c r="C31" i="14" a="1"/>
  <c r="C31" i="14" s="1"/>
  <c r="C30" i="14" a="1"/>
  <c r="C30" i="14" s="1"/>
  <c r="C29" i="14" a="1"/>
  <c r="C29" i="14" s="1"/>
  <c r="C28" i="14" a="1"/>
  <c r="C28" i="14" s="1"/>
  <c r="C27" i="14" a="1"/>
  <c r="C27" i="14" s="1"/>
  <c r="C26" i="14" a="1"/>
  <c r="C26" i="14" s="1"/>
  <c r="C25" i="14" a="1"/>
  <c r="C25" i="14" s="1"/>
  <c r="C24" i="14" a="1"/>
  <c r="C24" i="14" s="1"/>
  <c r="C23" i="14" a="1"/>
  <c r="C23" i="14" s="1"/>
  <c r="C22" i="14" a="1"/>
  <c r="C22" i="14" s="1"/>
  <c r="C21" i="14" a="1"/>
  <c r="C21" i="14" s="1"/>
  <c r="C20" i="14" a="1"/>
  <c r="C20" i="14" s="1"/>
  <c r="C19" i="14" a="1"/>
  <c r="C19" i="14" s="1"/>
  <c r="C18" i="14" a="1"/>
  <c r="C18" i="14" s="1"/>
  <c r="C17" i="14" a="1"/>
  <c r="C17" i="14" s="1"/>
  <c r="C16" i="14" a="1"/>
  <c r="C16" i="14" s="1"/>
  <c r="C15" i="14" a="1"/>
  <c r="C15" i="14" s="1"/>
  <c r="C14" i="14" a="1"/>
  <c r="C14" i="14" s="1"/>
  <c r="C13" i="14" a="1"/>
  <c r="C13" i="14" s="1"/>
  <c r="C12" i="14" a="1"/>
  <c r="C12" i="14" s="1"/>
  <c r="C11" i="14" a="1"/>
  <c r="C11" i="14" s="1"/>
  <c r="C10" i="14" a="1"/>
  <c r="C10" i="14" s="1"/>
  <c r="C9" i="14" a="1"/>
  <c r="C9" i="14" s="1"/>
  <c r="C8" i="14" a="1"/>
  <c r="C8" i="14" s="1"/>
  <c r="C7" i="14" a="1"/>
  <c r="C7" i="14" s="1"/>
  <c r="C6" i="14" a="1"/>
  <c r="C6" i="14" s="1"/>
  <c r="C5" i="14" a="1"/>
  <c r="C5" i="14" s="1"/>
  <c r="O5" i="1"/>
  <c r="O6" i="1"/>
  <c r="O62" i="1"/>
  <c r="O63" i="1"/>
  <c r="O64" i="1"/>
  <c r="O65" i="1"/>
  <c r="O66" i="1"/>
  <c r="O6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J2" i="11"/>
  <c r="J3" i="11"/>
  <c r="J4" i="11"/>
  <c r="J5" i="11"/>
  <c r="J6" i="11"/>
  <c r="F3" i="11"/>
  <c r="F4" i="11"/>
  <c r="F5" i="11"/>
  <c r="B32" i="11" a="1"/>
  <c r="B32" i="11" s="1"/>
  <c r="B31" i="11" a="1"/>
  <c r="B31" i="11" s="1"/>
  <c r="B16" i="11" a="1"/>
  <c r="B16" i="11" s="1"/>
  <c r="B15" i="11" a="1"/>
  <c r="B15" i="11" s="1"/>
  <c r="B14" i="11" a="1"/>
  <c r="B14" i="11" s="1"/>
  <c r="B48" i="11" a="1"/>
  <c r="B48" i="11" s="1"/>
  <c r="B43" i="11" a="1"/>
  <c r="B43" i="11" s="1"/>
  <c r="B41" i="11" a="1"/>
  <c r="B41" i="11" s="1"/>
  <c r="B27" i="11" a="1"/>
  <c r="B27" i="11" s="1"/>
  <c r="B26" i="11" a="1"/>
  <c r="B26" i="11" s="1"/>
  <c r="B25" i="11" a="1"/>
  <c r="B25" i="11" s="1"/>
  <c r="B24" i="11" a="1"/>
  <c r="B24" i="11" s="1"/>
  <c r="B23" i="11" a="1"/>
  <c r="B23" i="11" s="1"/>
  <c r="B20" i="11" a="1"/>
  <c r="B20" i="11" s="1"/>
  <c r="B19" i="11" a="1"/>
  <c r="B19" i="11" s="1"/>
  <c r="B18" i="11" a="1"/>
  <c r="B18" i="11" s="1"/>
  <c r="B17" i="11" a="1"/>
  <c r="B17" i="11" s="1"/>
  <c r="B13" i="11" a="1"/>
  <c r="B13" i="11" s="1"/>
  <c r="B12" i="11" a="1"/>
  <c r="B12" i="11" s="1"/>
  <c r="B11" i="11" a="1"/>
  <c r="B11" i="11" s="1"/>
  <c r="B10" i="11" a="1"/>
  <c r="B10" i="11" s="1"/>
  <c r="B9" i="11" a="1"/>
  <c r="B9" i="11" s="1"/>
  <c r="B8" i="11" a="1"/>
  <c r="B8" i="11" s="1"/>
  <c r="B7" i="11" a="1"/>
  <c r="B7" i="11" s="1"/>
  <c r="B6" i="11" a="1"/>
  <c r="B6" i="11" s="1"/>
  <c r="B5" i="11" a="1"/>
  <c r="B5" i="11" s="1"/>
  <c r="B4" i="11" a="1"/>
  <c r="B4" i="11" s="1"/>
  <c r="B3" i="11" a="1"/>
  <c r="B3" i="11" s="1"/>
  <c r="B2" i="11" a="1"/>
  <c r="B2" i="11" s="1"/>
  <c r="B47" i="11" a="1"/>
  <c r="B47" i="11" s="1"/>
  <c r="B46" i="11" a="1"/>
  <c r="B46" i="11" s="1"/>
  <c r="B45" i="11" a="1"/>
  <c r="B45" i="11" s="1"/>
  <c r="B44" i="11" a="1"/>
  <c r="B44" i="11" s="1"/>
  <c r="B38" i="11" a="1"/>
  <c r="B38" i="11" s="1"/>
  <c r="B37" i="11" a="1"/>
  <c r="B37" i="11" s="1"/>
  <c r="B36" i="11" a="1"/>
  <c r="B36" i="11" s="1"/>
  <c r="B35" i="11" a="1"/>
  <c r="B35" i="11" s="1"/>
  <c r="B34" i="11" a="1"/>
  <c r="B34" i="11" s="1"/>
  <c r="B33" i="11" a="1"/>
  <c r="B33" i="11" s="1"/>
  <c r="B42" i="11" a="1"/>
  <c r="B42" i="11" s="1"/>
  <c r="B40" i="11" a="1"/>
  <c r="B40" i="11" s="1"/>
  <c r="B39" i="11" a="1"/>
  <c r="B39" i="11" s="1"/>
  <c r="C76" i="10" a="1"/>
  <c r="C76" i="10" s="1"/>
  <c r="C47" i="10" a="1"/>
  <c r="C47" i="10" s="1"/>
  <c r="C49" i="10" a="1"/>
  <c r="C49" i="10" s="1"/>
  <c r="C52" i="10" a="1"/>
  <c r="C52" i="10" s="1"/>
  <c r="C56" i="10" a="1"/>
  <c r="C56" i="10" s="1"/>
  <c r="C61" i="10" a="1"/>
  <c r="C61" i="10" s="1"/>
  <c r="C68" i="10" a="1"/>
  <c r="C68" i="10" s="1"/>
  <c r="C82" i="10" a="1"/>
  <c r="C82" i="10" s="1"/>
  <c r="C83" i="10" a="1"/>
  <c r="C83" i="10" s="1"/>
  <c r="C79" i="10" a="1"/>
  <c r="C79" i="10" s="1"/>
  <c r="C80" i="10" a="1"/>
  <c r="C80" i="10" s="1"/>
  <c r="C26" i="10" a="1"/>
  <c r="C26" i="10" s="1"/>
  <c r="C25" i="10" a="1"/>
  <c r="C25" i="10" s="1"/>
  <c r="C7" i="10" a="1"/>
  <c r="C7" i="10" s="1"/>
  <c r="C9" i="10" a="1"/>
  <c r="C9" i="10" s="1"/>
  <c r="C23" i="10" a="1"/>
  <c r="C23" i="10" s="1"/>
  <c r="C12" i="10" a="1"/>
  <c r="C12" i="10" s="1"/>
  <c r="C13" i="10" a="1"/>
  <c r="C13" i="10" s="1"/>
  <c r="C14" i="10" a="1"/>
  <c r="C14" i="10" s="1"/>
  <c r="C15" i="10" a="1"/>
  <c r="C15" i="10" s="1"/>
  <c r="C20" i="10" a="1"/>
  <c r="C20" i="10" s="1"/>
  <c r="C6" i="10" a="1"/>
  <c r="C6" i="10" s="1"/>
  <c r="C33" i="10" a="1"/>
  <c r="C33" i="10" s="1"/>
  <c r="C34" i="10" a="1"/>
  <c r="C34" i="10" s="1"/>
  <c r="C41" i="10" a="1"/>
  <c r="C41" i="10" s="1"/>
  <c r="C42" i="10" a="1"/>
  <c r="C42" i="10" s="1"/>
  <c r="C46" i="10" a="1"/>
  <c r="C46" i="10" s="1"/>
  <c r="C39" i="10" a="1"/>
  <c r="C39" i="10" s="1"/>
  <c r="C37" i="10" a="1"/>
  <c r="C37" i="10" s="1"/>
  <c r="C38" i="10" a="1"/>
  <c r="C38" i="10" s="1"/>
  <c r="C45" i="10" a="1"/>
  <c r="C45" i="10" s="1"/>
  <c r="C81" i="10" a="1"/>
  <c r="C81" i="10" s="1"/>
  <c r="C11" i="10" a="1"/>
  <c r="C11" i="10" s="1"/>
  <c r="C2" i="10" a="1"/>
  <c r="C2" i="10" s="1"/>
  <c r="C4" i="10" a="1"/>
  <c r="C4" i="10" s="1"/>
  <c r="C35" i="10" a="1"/>
  <c r="C35" i="10" s="1"/>
  <c r="C31" i="10" a="1"/>
  <c r="C31" i="10" s="1"/>
  <c r="C40" i="10" a="1"/>
  <c r="C40" i="10" s="1"/>
  <c r="Q40" i="6"/>
  <c r="Q2" i="6"/>
  <c r="Q3" i="6"/>
  <c r="Q4" i="6"/>
  <c r="Q5" i="6"/>
  <c r="Q25" i="6"/>
  <c r="Q26" i="6"/>
  <c r="Q27" i="6"/>
  <c r="Q28" i="6"/>
  <c r="Q29" i="6"/>
  <c r="Q30" i="6"/>
  <c r="Q31" i="6"/>
  <c r="Q32" i="6"/>
  <c r="Q33" i="6"/>
  <c r="Q34" i="6"/>
  <c r="Q35" i="6"/>
  <c r="Q36" i="6"/>
  <c r="Q22" i="6"/>
  <c r="Q23" i="6"/>
  <c r="Q24" i="6"/>
  <c r="Q10" i="6"/>
  <c r="Q11" i="6"/>
  <c r="Q12" i="6"/>
  <c r="Q13" i="6"/>
  <c r="Q14" i="6"/>
  <c r="Q15" i="6"/>
  <c r="Q16" i="6"/>
  <c r="Q17" i="6"/>
  <c r="Q18" i="6"/>
  <c r="Q9" i="6"/>
  <c r="Q6" i="6"/>
  <c r="Q37" i="6"/>
  <c r="Q38" i="6"/>
  <c r="Q39" i="6"/>
  <c r="Q8" i="6"/>
  <c r="Q7" i="6"/>
  <c r="K36" i="6"/>
  <c r="K29" i="6"/>
  <c r="K28" i="6"/>
  <c r="K27" i="6"/>
  <c r="K39" i="6"/>
  <c r="K26" i="6"/>
  <c r="K25" i="6"/>
  <c r="K38" i="6"/>
  <c r="K35" i="6"/>
  <c r="K34" i="6"/>
  <c r="K33" i="6"/>
  <c r="K32" i="6"/>
  <c r="K31" i="6"/>
  <c r="K37" i="6"/>
  <c r="K30" i="6"/>
  <c r="K5" i="6"/>
  <c r="K4" i="6"/>
  <c r="K40" i="6"/>
  <c r="K8" i="6"/>
  <c r="K9" i="6"/>
  <c r="K7" i="6"/>
  <c r="K24" i="6"/>
  <c r="K23" i="6"/>
  <c r="K22" i="6"/>
  <c r="K6" i="6"/>
  <c r="K3" i="6"/>
  <c r="K2" i="6"/>
  <c r="C5" i="6" a="1"/>
  <c r="C5" i="6" s="1"/>
  <c r="C4" i="6" a="1"/>
  <c r="C4" i="6" s="1"/>
  <c r="C40" i="6" a="1"/>
  <c r="C40" i="6" s="1"/>
  <c r="C8" i="6" a="1"/>
  <c r="C8" i="6" s="1"/>
  <c r="C9" i="6" a="1"/>
  <c r="C9" i="6" s="1"/>
  <c r="C7" i="6" a="1"/>
  <c r="C7" i="6" s="1"/>
  <c r="C24" i="6" a="1"/>
  <c r="C24" i="6" s="1"/>
  <c r="C23" i="6" a="1"/>
  <c r="C23" i="6" s="1"/>
  <c r="C22" i="6" a="1"/>
  <c r="C22" i="6" s="1"/>
  <c r="C6" i="6" a="1"/>
  <c r="C6" i="6" s="1"/>
  <c r="C3" i="6" a="1"/>
  <c r="C3" i="6" s="1"/>
  <c r="C2" i="6" a="1"/>
  <c r="C2" i="6" s="1"/>
  <c r="C29" i="6" a="1"/>
  <c r="C29" i="6" s="1"/>
  <c r="C28" i="6" a="1"/>
  <c r="C28" i="6" s="1"/>
  <c r="C27" i="6" a="1"/>
  <c r="C27" i="6" s="1"/>
  <c r="C39" i="6" a="1"/>
  <c r="C39" i="6" s="1"/>
  <c r="C26" i="6" a="1"/>
  <c r="C26" i="6" s="1"/>
  <c r="C25" i="6" a="1"/>
  <c r="C25" i="6" s="1"/>
  <c r="C38" i="6" a="1"/>
  <c r="C38" i="6" s="1"/>
  <c r="C35" i="6" a="1"/>
  <c r="C35" i="6" s="1"/>
  <c r="C34" i="6" a="1"/>
  <c r="C34" i="6" s="1"/>
  <c r="C33" i="6" a="1"/>
  <c r="C33" i="6" s="1"/>
  <c r="C32" i="6" a="1"/>
  <c r="C32" i="6" s="1"/>
  <c r="C31" i="6" a="1"/>
  <c r="C31" i="6" s="1"/>
  <c r="C37" i="6" a="1"/>
  <c r="C37" i="6" s="1"/>
  <c r="C30" i="6" a="1"/>
  <c r="C30" i="6" s="1"/>
  <c r="C36" i="6" a="1"/>
  <c r="C36" i="6" s="1"/>
  <c r="K14" i="6"/>
  <c r="K13" i="6"/>
  <c r="K12" i="6"/>
  <c r="K11" i="6"/>
  <c r="K10" i="6"/>
  <c r="K17" i="6"/>
  <c r="K16" i="6"/>
  <c r="K15" i="6"/>
  <c r="K18" i="6"/>
  <c r="C2" i="15" a="1"/>
  <c r="C2" i="15" s="1"/>
  <c r="C3" i="2" a="1"/>
  <c r="C3" i="2" s="1"/>
  <c r="C3" i="4" a="1"/>
  <c r="C3" i="4" s="1"/>
  <c r="C2" i="4" a="1"/>
  <c r="C2" i="4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C14" i="6" a="1"/>
  <c r="C14" i="6" s="1"/>
  <c r="C13" i="6" a="1"/>
  <c r="C13" i="6" s="1"/>
  <c r="C12" i="6" a="1"/>
  <c r="C12" i="6" s="1"/>
  <c r="C11" i="6" a="1"/>
  <c r="C11" i="6" s="1"/>
  <c r="C10" i="6" a="1"/>
  <c r="C10" i="6" s="1"/>
  <c r="C17" i="6" a="1"/>
  <c r="C17" i="6" s="1"/>
  <c r="C16" i="6" a="1"/>
  <c r="C16" i="6" s="1"/>
  <c r="C15" i="6" a="1"/>
  <c r="C15" i="6" s="1"/>
  <c r="C18" i="6" a="1"/>
  <c r="C18" i="6" s="1"/>
  <c r="C3" i="14" a="1"/>
  <c r="C3" i="14" s="1"/>
  <c r="C4" i="14" a="1"/>
  <c r="C4" i="14" s="1"/>
  <c r="C2" i="14" a="1"/>
  <c r="C2" i="14" s="1"/>
  <c r="O7" i="1"/>
  <c r="O4" i="1"/>
  <c r="J4" i="14"/>
  <c r="G4" i="14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12" i="15" a="1"/>
  <c r="C12" i="15" s="1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" i="15" a="1"/>
  <c r="C3" i="15" s="1"/>
  <c r="C4" i="15" a="1"/>
  <c r="C4" i="15" s="1"/>
  <c r="C5" i="15" a="1"/>
  <c r="C5" i="15" s="1"/>
  <c r="C6" i="15" a="1"/>
  <c r="C6" i="15" s="1"/>
  <c r="C7" i="15" a="1"/>
  <c r="C7" i="15" s="1"/>
  <c r="C8" i="15" a="1"/>
  <c r="C8" i="15" s="1"/>
  <c r="C9" i="15" a="1"/>
  <c r="C9" i="15" s="1"/>
  <c r="C10" i="15" a="1"/>
  <c r="C10" i="15" s="1"/>
  <c r="C11" i="15" a="1"/>
  <c r="C11" i="15" s="1"/>
  <c r="C2" i="2" a="1"/>
  <c r="C2" i="2" s="1"/>
  <c r="J3" i="14"/>
  <c r="J2" i="14"/>
  <c r="O2" i="1"/>
  <c r="O3" i="1"/>
  <c r="G3" i="14"/>
  <c r="G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P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<sst xmlns="http://schemas.openxmlformats.org/spreadsheetml/2006/main" count="4764" uniqueCount="627">
  <si>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</si>
  <si>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</si>
  <si>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</si>
  <si>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</si>
  <si>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</si>
  <si>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</si>
  <si>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</si>
  <si>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</si>
  <si>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</si>
  <si>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</si>
  <si>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</si>
  <si>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</si>
  <si>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</si>
  <si>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</si>
  <si>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</si>
  <si>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</si>
  <si>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</si>
  <si>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</si>
  <si>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</si>
  <si>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</si>
  <si>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</si>
  <si>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</si>
  <si>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</si>
  <si>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</si>
  <si>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</si>
  <si>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</si>
  <si>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</si>
  <si>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</si>
  <si>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</si>
  <si>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</si>
  <si>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</si>
  <si>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</si>
  <si>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</si>
  <si>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</si>
  <si>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</si>
  <si>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</si>
  <si>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</si>
  <si>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</si>
  <si>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</si>
  <si>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</si>
  <si>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</si>
  <si>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</si>
  <si>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</si>
  <si>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</si>
  <si>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</si>
  <si>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</si>
  <si>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</si>
  <si>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</si>
  <si>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</si>
  <si>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</si>
  <si>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</si>
  <si>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</si>
  <si>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</si>
  <si>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</si>
  <si>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</si>
  <si>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</si>
  <si>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</si>
  <si>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</si>
  <si>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</si>
  <si>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</si>
  <si>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</si>
  <si>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</si>
  <si>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</si>
  <si>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</si>
  <si>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</si>
  <si>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</si>
  <si>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</si>
  <si>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</si>
  <si>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</si>
  <si>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</si>
  <si>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</si>
  <si>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</si>
  <si>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</si>
  <si>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</si>
  <si>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</si>
  <si>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</si>
  <si>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</si>
  <si>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</si>
  <si>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</si>
  <si>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</si>
  <si>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</si>
  <si>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</si>
  <si>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</si>
  <si>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</si>
  <si>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</si>
  <si>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</si>
  <si>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</si>
  <si>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</si>
  <si>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</si>
  <si>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</si>
  <si>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</si>
  <si>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</si>
  <si>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</si>
  <si>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</si>
  <si>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</si>
  <si>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</si>
  <si>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</si>
  <si>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</si>
  <si>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</si>
  <si>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</si>
  <si>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</si>
  <si>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</si>
  <si>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</si>
  <si>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</si>
  <si>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</si>
  <si>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</si>
  <si>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</si>
  <si>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</si>
  <si>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</si>
  <si>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</si>
  <si>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</si>
  <si>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</si>
  <si>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</si>
  <si>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</si>
  <si>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</si>
  <si>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</si>
  <si>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</si>
  <si>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</si>
  <si>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</si>
  <si>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</si>
  <si>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</si>
  <si>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</si>
  <si>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</si>
  <si>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</si>
  <si>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</si>
  <si>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</si>
  <si>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</si>
  <si>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</si>
  <si>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</si>
  <si>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</si>
  <si>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</si>
  <si>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</si>
  <si>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</si>
  <si>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</si>
  <si>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</si>
  <si>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</si>
  <si>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</si>
  <si>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</si>
  <si>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</si>
  <si>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</si>
  <si>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</si>
  <si>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</si>
  <si>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</si>
  <si>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</si>
  <si>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</si>
  <si>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</si>
  <si>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</si>
  <si>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</si>
  <si>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</si>
  <si>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</si>
  <si>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</si>
  <si>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</si>
  <si>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</si>
  <si>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</si>
  <si>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</si>
  <si>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</si>
  <si>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</si>
  <si>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</si>
  <si>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</si>
  <si>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</si>
  <si>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</si>
  <si>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</si>
  <si>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</si>
  <si>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</si>
  <si>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</si>
  <si>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</si>
  <si>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</si>
  <si>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</si>
  <si>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</si>
  <si>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</si>
  <si>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</si>
  <si>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</si>
  <si>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</si>
  <si>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</si>
  <si>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</si>
  <si>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</si>
  <si>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</si>
  <si>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</si>
  <si>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</si>
  <si>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D2s_v5</t>
    <phoneticPr fontId="1" type="noConversion"/>
  </si>
  <si>
    <t>Linux</t>
  </si>
  <si>
    <t>StandardSSD_LRS</t>
    <phoneticPr fontId="1" type="noConversion"/>
  </si>
  <si>
    <t>TEST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</si>
  <si>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</si>
  <si>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</si>
  <si>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</si>
  <si>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</si>
  <si>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</si>
  <si>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</si>
  <si>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</si>
  <si>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</si>
  <si>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</si>
  <si>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</si>
  <si>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</si>
  <si>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</si>
  <si>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</si>
  <si>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</si>
  <si>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</si>
  <si>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hazr-t-dch-rg</t>
    <phoneticPr fontId="1" type="noConversion"/>
  </si>
  <si>
    <t>hazr-t-dch-ext-vnet</t>
    <phoneticPr fontId="1" type="noConversion"/>
  </si>
  <si>
    <t>hazr-t-dch-int-vnet</t>
    <phoneticPr fontId="1" type="noConversion"/>
  </si>
  <si>
    <t>hazr-t-com-rg</t>
  </si>
  <si>
    <t>hazr-t-dis-rg</t>
  </si>
  <si>
    <t>hazr-t-dtg-rg</t>
  </si>
  <si>
    <t>hazr-t-bdp-rg</t>
  </si>
  <si>
    <t>hazr-t-cs-rg</t>
    <phoneticPr fontId="1" type="noConversion"/>
  </si>
  <si>
    <t>hazr-t-cs-chtweb01</t>
    <phoneticPr fontId="1" type="noConversion"/>
  </si>
  <si>
    <t>hazr-t-cs-chtintweb01</t>
    <phoneticPr fontId="1" type="noConversion"/>
  </si>
  <si>
    <t>t-cs-ap-sbn</t>
    <phoneticPr fontId="1" type="noConversion"/>
  </si>
  <si>
    <t>t-cs-web-sbn</t>
    <phoneticPr fontId="1" type="noConversion"/>
  </si>
  <si>
    <t>hazr-t-dch-des</t>
    <phoneticPr fontId="1" type="noConversion"/>
  </si>
  <si>
    <t>10.157.136.11</t>
    <phoneticPr fontId="1" type="noConversion"/>
  </si>
  <si>
    <t>10.157.168.11</t>
    <phoneticPr fontId="1" type="noConversion"/>
  </si>
  <si>
    <t>t-cs-db-sbn</t>
    <phoneticPr fontId="1" type="noConversion"/>
  </si>
  <si>
    <t>t-cs-pe-sbn</t>
    <phoneticPr fontId="1" type="noConversion"/>
  </si>
  <si>
    <t>t-dch-ext-vnet-udr</t>
    <phoneticPr fontId="1" type="noConversion"/>
  </si>
  <si>
    <t>t-dch-int-vnet-udr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</si>
  <si>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</si>
  <si>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</si>
  <si>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</si>
  <si>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</si>
  <si>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</si>
  <si>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</si>
  <si>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</si>
  <si>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</si>
  <si>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</si>
  <si>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</si>
  <si>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</si>
  <si>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</si>
  <si>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</si>
  <si>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</si>
  <si>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</si>
  <si>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</si>
  <si>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</si>
  <si>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</si>
  <si>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</si>
  <si>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</si>
  <si>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</si>
  <si>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</si>
  <si>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</si>
  <si>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</si>
  <si>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</si>
  <si>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10.0.0.0/8</t>
  </si>
  <si>
    <t>172.16.0.0/16</t>
  </si>
  <si>
    <t>172.18.0.0/16</t>
  </si>
  <si>
    <t>172.20.0.0/16</t>
  </si>
  <si>
    <t>172.26.0.0/16</t>
  </si>
  <si>
    <t>172.28.0.0/16</t>
  </si>
  <si>
    <t>172.29.0.0/16</t>
  </si>
  <si>
    <t>172.30.0.0/16</t>
  </si>
  <si>
    <t>172.31.0.0/16</t>
  </si>
  <si>
    <t>172.32.0.0/16</t>
  </si>
  <si>
    <t>NextHopType</t>
    <phoneticPr fontId="1" type="noConversion"/>
  </si>
  <si>
    <t>VirtualAppliance</t>
  </si>
  <si>
    <t>NextHopIpAddress</t>
    <phoneticPr fontId="1" type="noConversion"/>
  </si>
  <si>
    <t>10.155.200.4</t>
  </si>
  <si>
    <t>hazr-lt-sec-int-vnet</t>
    <phoneticPr fontId="1" type="noConversion"/>
  </si>
  <si>
    <t>10.155.193.128/26</t>
    <phoneticPr fontId="1" type="noConversion"/>
  </si>
  <si>
    <t>hazr-t-dch-int-vnet_1</t>
  </si>
  <si>
    <t>hazr-t-dch-int-vnet_2</t>
  </si>
  <si>
    <t>hazr-t-dch-int-vnet_3</t>
  </si>
  <si>
    <t>10.157.148.0/24</t>
  </si>
  <si>
    <t>10.157.149.0/24</t>
  </si>
  <si>
    <t>10.157.150.0/24</t>
  </si>
  <si>
    <t>10.157.151.0/24</t>
  </si>
  <si>
    <t>10.157.152.0/24</t>
  </si>
  <si>
    <t>10.157.153.0/24</t>
  </si>
  <si>
    <t>10.157.154.0/24</t>
  </si>
  <si>
    <t>10.157.155.0/24</t>
  </si>
  <si>
    <t>10.157.157.0/24</t>
  </si>
  <si>
    <t>10.157.158.0/24</t>
  </si>
  <si>
    <t>10.157.159.0/24</t>
  </si>
  <si>
    <t>10.157.160.0/24</t>
  </si>
  <si>
    <t>10.157.161.0/24</t>
  </si>
  <si>
    <t>10.157.162.0/24</t>
  </si>
  <si>
    <t>10.157.163.0/24</t>
  </si>
  <si>
    <t>10.157.164.0/24</t>
  </si>
  <si>
    <t>10.157.165.0/24</t>
  </si>
  <si>
    <t>10.157.166.0/24</t>
  </si>
  <si>
    <t>10.157.167.0/24</t>
  </si>
  <si>
    <t>10.157.168.0/24</t>
  </si>
  <si>
    <t>10.157.169.0/24</t>
  </si>
  <si>
    <t>hazr-l-comm-vnet</t>
    <phoneticPr fontId="1" type="noConversion"/>
  </si>
  <si>
    <t>hazr-d-dch-ext-vnet_1</t>
    <phoneticPr fontId="1" type="noConversion"/>
  </si>
  <si>
    <t>hazr-t-cs-chtap01</t>
    <phoneticPr fontId="1" type="noConversion"/>
  </si>
  <si>
    <t>10.157.168.21</t>
    <phoneticPr fontId="1" type="noConversion"/>
  </si>
  <si>
    <t>hazr-t-dis-rg</t>
    <phoneticPr fontId="1" type="noConversion"/>
  </si>
  <si>
    <t>hazr-t-dis-ap-lb</t>
    <phoneticPr fontId="1" type="noConversion"/>
  </si>
  <si>
    <t>t-dis-ap-sbn</t>
    <phoneticPr fontId="1" type="noConversion"/>
  </si>
  <si>
    <t>hazr-t-dis-web-lb</t>
    <phoneticPr fontId="1" type="noConversion"/>
  </si>
  <si>
    <t>t-dis-web-sbn</t>
    <phoneticPr fontId="1" type="noConversion"/>
  </si>
  <si>
    <t>10.157.128.10</t>
    <phoneticPr fontId="1" type="noConversion"/>
  </si>
  <si>
    <t>10.157.144.0/20</t>
    <phoneticPr fontId="1" type="noConversion"/>
  </si>
  <si>
    <t>10.157.160.0/20</t>
    <phoneticPr fontId="1" type="noConversion"/>
  </si>
  <si>
    <t>10.157.176.0/20</t>
    <phoneticPr fontId="1" type="noConversion"/>
  </si>
  <si>
    <t>t-dis-db-sbn</t>
    <phoneticPr fontId="1" type="noConversion"/>
  </si>
  <si>
    <t>10.157.144.0/24</t>
  </si>
  <si>
    <t>10.157.145.0/24</t>
  </si>
  <si>
    <t>10.157.146.0/24</t>
  </si>
  <si>
    <t>10.157.147.0/24</t>
  </si>
  <si>
    <t>10.157.156.0/24</t>
  </si>
  <si>
    <t>10.157.170.0/24</t>
  </si>
  <si>
    <t>t-dis-pe-sbn</t>
    <phoneticPr fontId="1" type="noConversion"/>
  </si>
  <si>
    <t>t-puls-ap-sbn</t>
    <phoneticPr fontId="1" type="noConversion"/>
  </si>
  <si>
    <t>t-plus-db-sbn</t>
    <phoneticPr fontId="1" type="noConversion"/>
  </si>
  <si>
    <t>t-puls-pe-sbn</t>
    <phoneticPr fontId="1" type="noConversion"/>
  </si>
  <si>
    <t>t-doip-ap-sbn</t>
    <phoneticPr fontId="1" type="noConversion"/>
  </si>
  <si>
    <t>t-doip-db-sbn</t>
    <phoneticPr fontId="1" type="noConversion"/>
  </si>
  <si>
    <t>t-doip-pe-sbn</t>
    <phoneticPr fontId="1" type="noConversion"/>
  </si>
  <si>
    <t>t-dtg-db-sbn</t>
    <phoneticPr fontId="1" type="noConversion"/>
  </si>
  <si>
    <t>t-dtg-ap-sbn</t>
    <phoneticPr fontId="1" type="noConversion"/>
  </si>
  <si>
    <t>t-dtg-pe-sbn</t>
    <phoneticPr fontId="1" type="noConversion"/>
  </si>
  <si>
    <t>t-bdp-db-sbn</t>
    <phoneticPr fontId="1" type="noConversion"/>
  </si>
  <si>
    <t>t-bdp-ap-sbn</t>
    <phoneticPr fontId="1" type="noConversion"/>
  </si>
  <si>
    <t>t-bdp-pe-sbn</t>
    <phoneticPr fontId="1" type="noConversion"/>
  </si>
  <si>
    <t>t-dip-ap-sbn</t>
    <phoneticPr fontId="1" type="noConversion"/>
  </si>
  <si>
    <t>t-dip-db-sbn</t>
    <phoneticPr fontId="1" type="noConversion"/>
  </si>
  <si>
    <t>t-dip-pe-sbn</t>
    <phoneticPr fontId="1" type="noConversion"/>
  </si>
  <si>
    <t>t-com-ap-sbn</t>
    <phoneticPr fontId="1" type="noConversion"/>
  </si>
  <si>
    <t>t-com-db-sbn</t>
    <phoneticPr fontId="1" type="noConversion"/>
  </si>
  <si>
    <t>t-com-pe-sbn</t>
    <phoneticPr fontId="1" type="noConversion"/>
  </si>
  <si>
    <t>t-if-ap-sbn</t>
    <phoneticPr fontId="1" type="noConversion"/>
  </si>
  <si>
    <t>t-if-db-sbn</t>
    <phoneticPr fontId="1" type="noConversion"/>
  </si>
  <si>
    <t>t-if-pe-sbn</t>
    <phoneticPr fontId="1" type="noConversion"/>
  </si>
  <si>
    <t>10.157.128.0/20</t>
    <phoneticPr fontId="1" type="noConversion"/>
  </si>
  <si>
    <t>10.157.128.0/24</t>
    <phoneticPr fontId="1" type="noConversion"/>
  </si>
  <si>
    <t>t-puls-web-sbn</t>
    <phoneticPr fontId="1" type="noConversion"/>
  </si>
  <si>
    <t>10.157.129.0/24</t>
    <phoneticPr fontId="1" type="noConversion"/>
  </si>
  <si>
    <t>t-doip-web-sbn</t>
    <phoneticPr fontId="1" type="noConversion"/>
  </si>
  <si>
    <t>10.157.130.0/24</t>
    <phoneticPr fontId="1" type="noConversion"/>
  </si>
  <si>
    <t>t-dtg-web-sbn</t>
    <phoneticPr fontId="1" type="noConversion"/>
  </si>
  <si>
    <t>10.157.131.0/24</t>
    <phoneticPr fontId="1" type="noConversion"/>
  </si>
  <si>
    <t>t-bdp-web-sbn</t>
    <phoneticPr fontId="1" type="noConversion"/>
  </si>
  <si>
    <t>10.157.132.0/24</t>
    <phoneticPr fontId="1" type="noConversion"/>
  </si>
  <si>
    <t>t-dip-web-sbn</t>
    <phoneticPr fontId="1" type="noConversion"/>
  </si>
  <si>
    <t>10.157.133.0/24</t>
    <phoneticPr fontId="1" type="noConversion"/>
  </si>
  <si>
    <t>t-com-web-sbn</t>
    <phoneticPr fontId="1" type="noConversion"/>
  </si>
  <si>
    <t>10.157.134.0/24</t>
    <phoneticPr fontId="1" type="noConversion"/>
  </si>
  <si>
    <t>t-if-web-sbn</t>
    <phoneticPr fontId="1" type="noConversion"/>
  </si>
  <si>
    <t>10.157.135.0/24</t>
    <phoneticPr fontId="1" type="noConversion"/>
  </si>
  <si>
    <t>10.157.136.0/24</t>
    <phoneticPr fontId="1" type="noConversion"/>
  </si>
  <si>
    <t>hazr-t-dis-adm-lb</t>
    <phoneticPr fontId="1" type="noConversion"/>
  </si>
  <si>
    <t>hazr-t-dis-bbiweb-lb</t>
    <phoneticPr fontId="1" type="noConversion"/>
  </si>
  <si>
    <t>hazr-t-dis-bbicltap-lb</t>
    <phoneticPr fontId="1" type="noConversion"/>
  </si>
  <si>
    <t>hazr-t-dis-bbimsgap-lb</t>
    <phoneticPr fontId="1" type="noConversion"/>
  </si>
  <si>
    <t>hazr-t-dis-drvcltap-lb</t>
    <phoneticPr fontId="1" type="noConversion"/>
  </si>
  <si>
    <t>hazr-t-dis-drvmsgap-lb</t>
    <phoneticPr fontId="1" type="noConversion"/>
  </si>
  <si>
    <t>hazr-t-dis-cmsadm-lb</t>
    <phoneticPr fontId="1" type="noConversion"/>
  </si>
  <si>
    <t>hazr-t-dis-cmsap-lb</t>
    <phoneticPr fontId="1" type="noConversion"/>
  </si>
  <si>
    <t>hazr-t-dis-cmsweb-lb</t>
    <phoneticPr fontId="1" type="noConversion"/>
  </si>
  <si>
    <t>hazr-t-dis-cmbsap-lb</t>
    <phoneticPr fontId="1" type="noConversion"/>
  </si>
  <si>
    <t>hazr-t-dtg-ingap-lb</t>
    <phoneticPr fontId="1" type="noConversion"/>
  </si>
  <si>
    <t>hazr-t-dtg-ap-lb</t>
    <phoneticPr fontId="1" type="noConversion"/>
  </si>
  <si>
    <t>hazr-t-dtg-extgeoap-lb</t>
    <phoneticPr fontId="1" type="noConversion"/>
  </si>
  <si>
    <t>hazr-t-dtg-geoap-lb</t>
    <phoneticPr fontId="1" type="noConversion"/>
  </si>
  <si>
    <t>hazr-t-dtg-mq-lb</t>
    <phoneticPr fontId="1" type="noConversion"/>
  </si>
  <si>
    <t>hazr-t-dtg-admweb-lb</t>
    <phoneticPr fontId="1" type="noConversion"/>
  </si>
  <si>
    <t>hazr-t-dtg-admap-lb</t>
    <phoneticPr fontId="1" type="noConversion"/>
  </si>
  <si>
    <t>hazr-t-dtg-web-lb</t>
    <phoneticPr fontId="1" type="noConversion"/>
  </si>
  <si>
    <t>hazr-t-dtg-cdmlap-lb</t>
    <phoneticPr fontId="1" type="noConversion"/>
  </si>
  <si>
    <t>hazr-t-dtg-cdstap-lb</t>
    <phoneticPr fontId="1" type="noConversion"/>
  </si>
  <si>
    <t>hazr-t-dtg-cdsvadm-lb</t>
    <phoneticPr fontId="1" type="noConversion"/>
  </si>
  <si>
    <t>hazr-t-dtg-diosap-lb</t>
    <phoneticPr fontId="1" type="noConversion"/>
  </si>
  <si>
    <t>hazr-t-dtg-diosweb-lb</t>
    <phoneticPr fontId="1" type="noConversion"/>
  </si>
  <si>
    <t>hazr-t-dtg-dprweb-lb</t>
    <phoneticPr fontId="1" type="noConversion"/>
  </si>
  <si>
    <t>hazr-t-dtg-dprap-lb</t>
    <phoneticPr fontId="1" type="noConversion"/>
  </si>
  <si>
    <t>hazr-t-bdp-cxmadm-lb</t>
    <phoneticPr fontId="1" type="noConversion"/>
  </si>
  <si>
    <t>hazr-t-bdp-slap-lb</t>
    <phoneticPr fontId="1" type="noConversion"/>
  </si>
  <si>
    <t>hazr-t-dip-adm-lb</t>
    <phoneticPr fontId="1" type="noConversion"/>
  </si>
  <si>
    <t>hazr-t-dip-ap-lb</t>
    <phoneticPr fontId="1" type="noConversion"/>
  </si>
  <si>
    <t>hazr-t-dip-geoap-lb</t>
    <phoneticPr fontId="1" type="noConversion"/>
  </si>
  <si>
    <t>hazr-t-dip-mqap-lb</t>
    <phoneticPr fontId="1" type="noConversion"/>
  </si>
  <si>
    <t>hazr-t-dip-mqweb-lb</t>
    <phoneticPr fontId="1" type="noConversion"/>
  </si>
  <si>
    <t>hazr-t-dip-web-lb</t>
    <phoneticPr fontId="1" type="noConversion"/>
  </si>
  <si>
    <t>hazr-t-cs-chtap-lb</t>
    <phoneticPr fontId="1" type="noConversion"/>
  </si>
  <si>
    <t>hazr-t-cs-chtweb-lb</t>
    <phoneticPr fontId="1" type="noConversion"/>
  </si>
  <si>
    <t>hazr-t-cs-chtintweb-lb</t>
    <phoneticPr fontId="1" type="noConversion"/>
  </si>
  <si>
    <t>hazr-t-doip-web-lb</t>
    <phoneticPr fontId="1" type="noConversion"/>
  </si>
  <si>
    <t>hazr-t-doip-ap-lb</t>
    <phoneticPr fontId="1" type="noConversion"/>
  </si>
  <si>
    <t>hazr-t-doip-adm-lb</t>
    <phoneticPr fontId="1" type="noConversion"/>
  </si>
  <si>
    <t>hazr-t-bdp-crkweb-lb</t>
    <phoneticPr fontId="1" type="noConversion"/>
  </si>
  <si>
    <t>hazr-t-bdp-crkap-lb</t>
    <phoneticPr fontId="1" type="noConversion"/>
  </si>
  <si>
    <t>hazr-t-bdp-crkml-lb</t>
    <phoneticPr fontId="1" type="noConversion"/>
  </si>
  <si>
    <t>hazr-t-dtg-rg</t>
    <phoneticPr fontId="1" type="noConversion"/>
  </si>
  <si>
    <t>hazr-t-bdp-rg</t>
    <phoneticPr fontId="1" type="noConversion"/>
  </si>
  <si>
    <t>hazr-t-dip-rg</t>
    <phoneticPr fontId="1" type="noConversion"/>
  </si>
  <si>
    <t>hazr-t-doip-rg</t>
    <phoneticPr fontId="1" type="noConversion"/>
  </si>
  <si>
    <t>t-dis-ap-sbn</t>
  </si>
  <si>
    <t>10.157.144.11</t>
  </si>
  <si>
    <t>10.157.144.21</t>
  </si>
  <si>
    <t>t-dis-web-sbn</t>
  </si>
  <si>
    <t>10.157.128.11</t>
  </si>
  <si>
    <t>10.157.144.41</t>
  </si>
  <si>
    <t>10.157.144.81</t>
  </si>
  <si>
    <t>10.157.144.101</t>
  </si>
  <si>
    <t>10.157.144.111</t>
  </si>
  <si>
    <t>10.157.128.41</t>
  </si>
  <si>
    <t>10.157.144.121</t>
  </si>
  <si>
    <t>t-dtg-ap-sbn</t>
  </si>
  <si>
    <t>10.157.153.11</t>
  </si>
  <si>
    <t>10.157.153.21</t>
  </si>
  <si>
    <t>10.157.153.31</t>
  </si>
  <si>
    <t>10.157.153.41</t>
  </si>
  <si>
    <t>t-dtg-web-sbn</t>
  </si>
  <si>
    <t>10.157.131.11</t>
  </si>
  <si>
    <t>10.157.153.51</t>
  </si>
  <si>
    <t>10.157.153.61</t>
  </si>
  <si>
    <t>10.157.131.21</t>
  </si>
  <si>
    <t>10.157.153.111</t>
  </si>
  <si>
    <t>10.157.153.121</t>
  </si>
  <si>
    <t>10.157.153.131</t>
  </si>
  <si>
    <t>10.157.153.141</t>
  </si>
  <si>
    <t>10.157.153.151</t>
  </si>
  <si>
    <t>10.157.131.31</t>
  </si>
  <si>
    <t>10.157.153.161</t>
  </si>
  <si>
    <t>t-bdp-ap-sbn</t>
  </si>
  <si>
    <t>10.157.156.11</t>
  </si>
  <si>
    <t>10.157.156.31</t>
  </si>
  <si>
    <t>10.157.156.41</t>
  </si>
  <si>
    <t>t-dip-ap-sbn</t>
  </si>
  <si>
    <t>10.157.159.11</t>
  </si>
  <si>
    <t>10.157.159.21</t>
  </si>
  <si>
    <t>10.157.159.31</t>
  </si>
  <si>
    <t>10.157.159.32</t>
  </si>
  <si>
    <t>10.157.159.33</t>
  </si>
  <si>
    <t>10.157.159.41</t>
  </si>
  <si>
    <t>10.157.159.61</t>
  </si>
  <si>
    <t>10.157.159.71</t>
  </si>
  <si>
    <t>10.157.159.91</t>
  </si>
  <si>
    <t>t-doip-ap-sbn</t>
  </si>
  <si>
    <t>10.157.150.11</t>
  </si>
  <si>
    <t>10.157.150.21</t>
  </si>
  <si>
    <t>10.157.150.31</t>
  </si>
  <si>
    <t>t-bdp-web-sbn</t>
  </si>
  <si>
    <t>10.157.132.11</t>
  </si>
  <si>
    <t>10.157.156.51</t>
  </si>
  <si>
    <t>10.157.156.61</t>
  </si>
  <si>
    <t>10.157.144.10</t>
    <phoneticPr fontId="1" type="noConversion"/>
  </si>
  <si>
    <t>10.157.144.20</t>
    <phoneticPr fontId="1" type="noConversion"/>
  </si>
  <si>
    <t>10.157.144.30</t>
    <phoneticPr fontId="1" type="noConversion"/>
  </si>
  <si>
    <t>10.157.144.40</t>
    <phoneticPr fontId="1" type="noConversion"/>
  </si>
  <si>
    <t>10.157.144.80</t>
    <phoneticPr fontId="1" type="noConversion"/>
  </si>
  <si>
    <t>10.157.144.90</t>
    <phoneticPr fontId="1" type="noConversion"/>
  </si>
  <si>
    <t>10.157.128.30</t>
    <phoneticPr fontId="1" type="noConversion"/>
  </si>
  <si>
    <t>10.157.144.100</t>
    <phoneticPr fontId="1" type="noConversion"/>
  </si>
  <si>
    <t>10.157.144.110</t>
    <phoneticPr fontId="1" type="noConversion"/>
  </si>
  <si>
    <t>10.157.128.40</t>
    <phoneticPr fontId="1" type="noConversion"/>
  </si>
  <si>
    <t>10.157.144.120</t>
    <phoneticPr fontId="1" type="noConversion"/>
  </si>
  <si>
    <t>10.157.153.10</t>
    <phoneticPr fontId="1" type="noConversion"/>
  </si>
  <si>
    <t>10.157.153.20</t>
    <phoneticPr fontId="1" type="noConversion"/>
  </si>
  <si>
    <t>10.157.153.30</t>
    <phoneticPr fontId="1" type="noConversion"/>
  </si>
  <si>
    <t>10.157.153.40</t>
    <phoneticPr fontId="1" type="noConversion"/>
  </si>
  <si>
    <t>10.157.131.10</t>
    <phoneticPr fontId="1" type="noConversion"/>
  </si>
  <si>
    <t>10.157.153.50</t>
    <phoneticPr fontId="1" type="noConversion"/>
  </si>
  <si>
    <t>10.157.153.60</t>
    <phoneticPr fontId="1" type="noConversion"/>
  </si>
  <si>
    <t>10.157.131.20</t>
    <phoneticPr fontId="1" type="noConversion"/>
  </si>
  <si>
    <t>10.157.153.110</t>
    <phoneticPr fontId="1" type="noConversion"/>
  </si>
  <si>
    <t>10.157.153.120</t>
    <phoneticPr fontId="1" type="noConversion"/>
  </si>
  <si>
    <t>10.157.153.130</t>
    <phoneticPr fontId="1" type="noConversion"/>
  </si>
  <si>
    <t>10.157.153.140</t>
    <phoneticPr fontId="1" type="noConversion"/>
  </si>
  <si>
    <t>10.157.153.150</t>
    <phoneticPr fontId="1" type="noConversion"/>
  </si>
  <si>
    <t>10.157.131.30</t>
    <phoneticPr fontId="1" type="noConversion"/>
  </si>
  <si>
    <t>10.157.153.160</t>
    <phoneticPr fontId="1" type="noConversion"/>
  </si>
  <si>
    <t>10.157.156.30</t>
    <phoneticPr fontId="1" type="noConversion"/>
  </si>
  <si>
    <t>10.157.156.40</t>
    <phoneticPr fontId="1" type="noConversion"/>
  </si>
  <si>
    <t>10.157.168.10</t>
    <phoneticPr fontId="1" type="noConversion"/>
  </si>
  <si>
    <t>10.157.136.10</t>
    <phoneticPr fontId="1" type="noConversion"/>
  </si>
  <si>
    <t>10.157.168.20</t>
    <phoneticPr fontId="1" type="noConversion"/>
  </si>
  <si>
    <t>10.157.150.10</t>
    <phoneticPr fontId="1" type="noConversion"/>
  </si>
  <si>
    <t>10.157.150.20</t>
    <phoneticPr fontId="1" type="noConversion"/>
  </si>
  <si>
    <t>10.157.150.30</t>
    <phoneticPr fontId="1" type="noConversion"/>
  </si>
  <si>
    <t>10.157.132.10</t>
    <phoneticPr fontId="1" type="noConversion"/>
  </si>
  <si>
    <t>10.157.156.50</t>
    <phoneticPr fontId="1" type="noConversion"/>
  </si>
  <si>
    <t>10.157.156.60</t>
    <phoneticPr fontId="1" type="noConversion"/>
  </si>
  <si>
    <t>hazr-t-if-rg</t>
    <phoneticPr fontId="1" type="noConversion"/>
  </si>
  <si>
    <t>hazr-t-puls-rg</t>
    <phoneticPr fontId="1" type="noConversion"/>
  </si>
  <si>
    <t>hazr-t-dch-int-vnet</t>
  </si>
  <si>
    <t>hazr-t-dch-ext-vnet</t>
  </si>
  <si>
    <t>10.157.144.60</t>
  </si>
  <si>
    <t>10.157.144.91</t>
  </si>
  <si>
    <t>10.157.128.31</t>
  </si>
  <si>
    <t>10.157.144.130</t>
  </si>
  <si>
    <t>10.157.153.70</t>
  </si>
  <si>
    <t>t-dtg-db-sbn</t>
  </si>
  <si>
    <t>10.157.154.10</t>
  </si>
  <si>
    <t>10.157.153.81</t>
  </si>
  <si>
    <t>10.157.153.82</t>
  </si>
  <si>
    <t>10.157.153.83</t>
  </si>
  <si>
    <t>10.157.153.91</t>
  </si>
  <si>
    <t>10.157.153.92</t>
  </si>
  <si>
    <t>10.157.153.93</t>
  </si>
  <si>
    <t>10.157.153.100</t>
  </si>
  <si>
    <t>10.157.156.20</t>
  </si>
  <si>
    <t>10.157.159.51</t>
  </si>
  <si>
    <t>10.157.159.52</t>
  </si>
  <si>
    <t>10.157.159.53</t>
  </si>
  <si>
    <t>10.157.159.80</t>
  </si>
  <si>
    <t>t-if-ap-sbn</t>
  </si>
  <si>
    <t>10.157.165.10</t>
  </si>
  <si>
    <t>hazr-t-dis-ap01</t>
    <phoneticPr fontId="1" type="noConversion"/>
  </si>
  <si>
    <t>hazr-t-dis-adm01</t>
    <phoneticPr fontId="1" type="noConversion"/>
  </si>
  <si>
    <t>hazr-t-dis-bbiweb01</t>
    <phoneticPr fontId="1" type="noConversion"/>
  </si>
  <si>
    <t>hazr-t-dis-bbicltap01</t>
    <phoneticPr fontId="1" type="noConversion"/>
  </si>
  <si>
    <t>hazr-t-dis-bbimsgap01</t>
    <phoneticPr fontId="1" type="noConversion"/>
  </si>
  <si>
    <t>hazr-t-dis-bat01</t>
    <phoneticPr fontId="1" type="noConversion"/>
  </si>
  <si>
    <t>hazr-t-dis-drvcltap01</t>
    <phoneticPr fontId="1" type="noConversion"/>
  </si>
  <si>
    <t>hazr-t-dis-drvmsgap01</t>
    <phoneticPr fontId="1" type="noConversion"/>
  </si>
  <si>
    <t>hazr-t-dis-web01</t>
    <phoneticPr fontId="1" type="noConversion"/>
  </si>
  <si>
    <t>hazr-t-dis-cmsadm01</t>
    <phoneticPr fontId="1" type="noConversion"/>
  </si>
  <si>
    <t>hazr-t-dis-cmsap01</t>
    <phoneticPr fontId="1" type="noConversion"/>
  </si>
  <si>
    <t>hazr-t-dis-cmsweb01</t>
    <phoneticPr fontId="1" type="noConversion"/>
  </si>
  <si>
    <t>hazr-t-dis-cmbsap01</t>
    <phoneticPr fontId="1" type="noConversion"/>
  </si>
  <si>
    <t>hazr-t-dis-dfir01</t>
    <phoneticPr fontId="1" type="noConversion"/>
  </si>
  <si>
    <t>hazr-t-dtg-ingap01</t>
    <phoneticPr fontId="1" type="noConversion"/>
  </si>
  <si>
    <t>hazr-t-dtg-ap01</t>
    <phoneticPr fontId="1" type="noConversion"/>
  </si>
  <si>
    <t>hazr-t-dtg-extgeoap01</t>
    <phoneticPr fontId="1" type="noConversion"/>
  </si>
  <si>
    <t>hazr-t-dtg-geoap01</t>
    <phoneticPr fontId="1" type="noConversion"/>
  </si>
  <si>
    <t>hazr-t-dtg-mq01</t>
    <phoneticPr fontId="1" type="noConversion"/>
  </si>
  <si>
    <t>hazr-t-dtg-admweb01</t>
    <phoneticPr fontId="1" type="noConversion"/>
  </si>
  <si>
    <t>hazr-t-dtg-admap01</t>
    <phoneticPr fontId="1" type="noConversion"/>
  </si>
  <si>
    <t>hazr-t-dtg-dtoms01</t>
    <phoneticPr fontId="1" type="noConversion"/>
  </si>
  <si>
    <t>hazr-t-dtg-tsdb01</t>
    <phoneticPr fontId="1" type="noConversion"/>
  </si>
  <si>
    <t>hazr-t-dtg-web01</t>
    <phoneticPr fontId="1" type="noConversion"/>
  </si>
  <si>
    <t>hazr-t-dtg-zkp01</t>
    <phoneticPr fontId="1" type="noConversion"/>
  </si>
  <si>
    <t>hazr-t-dtg-zkp02</t>
    <phoneticPr fontId="1" type="noConversion"/>
  </si>
  <si>
    <t>hazr-t-dtg-zkp03</t>
    <phoneticPr fontId="1" type="noConversion"/>
  </si>
  <si>
    <t>hazr-t-dtg-kfk01</t>
    <phoneticPr fontId="1" type="noConversion"/>
  </si>
  <si>
    <t>hazr-t-dtg-kfk02</t>
    <phoneticPr fontId="1" type="noConversion"/>
  </si>
  <si>
    <t>hazr-t-dtg-kfk03</t>
    <phoneticPr fontId="1" type="noConversion"/>
  </si>
  <si>
    <t>hazr-t-dtg-mdoms01</t>
    <phoneticPr fontId="1" type="noConversion"/>
  </si>
  <si>
    <t>hazr-t-dtg-cdmlap01</t>
    <phoneticPr fontId="1" type="noConversion"/>
  </si>
  <si>
    <t>hazr-t-dtg-cdstap01</t>
    <phoneticPr fontId="1" type="noConversion"/>
  </si>
  <si>
    <t>hazr-t-dtg-cdsvadm01</t>
    <phoneticPr fontId="1" type="noConversion"/>
  </si>
  <si>
    <t>hazr-t-dtg-diosap01</t>
    <phoneticPr fontId="1" type="noConversion"/>
  </si>
  <si>
    <t>hazr-t-dtg-diosweb01</t>
    <phoneticPr fontId="1" type="noConversion"/>
  </si>
  <si>
    <t>hazr-t-dtg-dprweb01</t>
    <phoneticPr fontId="1" type="noConversion"/>
  </si>
  <si>
    <t>hazr-t-dtg-dprap01</t>
    <phoneticPr fontId="1" type="noConversion"/>
  </si>
  <si>
    <t>hazr-t-bdp-airfw01</t>
    <phoneticPr fontId="1" type="noConversion"/>
  </si>
  <si>
    <t>hazr-t-bdp-kepler01</t>
    <phoneticPr fontId="1" type="noConversion"/>
  </si>
  <si>
    <t>hazr-t-bdp-cxmadm01</t>
    <phoneticPr fontId="1" type="noConversion"/>
  </si>
  <si>
    <t>hazr-t-bdp-slap01</t>
    <phoneticPr fontId="1" type="noConversion"/>
  </si>
  <si>
    <t>hazr-t-dip-adm01</t>
    <phoneticPr fontId="1" type="noConversion"/>
  </si>
  <si>
    <t>hazr-t-dip-ap01</t>
    <phoneticPr fontId="1" type="noConversion"/>
  </si>
  <si>
    <t>hazr-t-dip-flk01</t>
    <phoneticPr fontId="1" type="noConversion"/>
  </si>
  <si>
    <t>hazr-t-dip-flk02</t>
    <phoneticPr fontId="1" type="noConversion"/>
  </si>
  <si>
    <t>hazr-t-dip-flk03</t>
    <phoneticPr fontId="1" type="noConversion"/>
  </si>
  <si>
    <t>hazr-t-dip-geoap01</t>
    <phoneticPr fontId="1" type="noConversion"/>
  </si>
  <si>
    <t>hazr-t-dip-kfk01</t>
    <phoneticPr fontId="1" type="noConversion"/>
  </si>
  <si>
    <t>hazr-t-dip-kfk02</t>
    <phoneticPr fontId="1" type="noConversion"/>
  </si>
  <si>
    <t>hazr-t-dip-kfk03</t>
    <phoneticPr fontId="1" type="noConversion"/>
  </si>
  <si>
    <t>hazr-t-dip-mqap01</t>
    <phoneticPr fontId="1" type="noConversion"/>
  </si>
  <si>
    <t>hazr-t-dip-mqweb01</t>
    <phoneticPr fontId="1" type="noConversion"/>
  </si>
  <si>
    <t>hazr-t-dip-oms01</t>
    <phoneticPr fontId="1" type="noConversion"/>
  </si>
  <si>
    <t>hazr-t-dip-web01</t>
    <phoneticPr fontId="1" type="noConversion"/>
  </si>
  <si>
    <t>hazr-t-if-gramon01</t>
    <phoneticPr fontId="1" type="noConversion"/>
  </si>
  <si>
    <t>hazr-t-doip-web01</t>
    <phoneticPr fontId="1" type="noConversion"/>
  </si>
  <si>
    <t>hazr-t-doip-ap01</t>
    <phoneticPr fontId="1" type="noConversion"/>
  </si>
  <si>
    <t>hazr-t-doip-adm01</t>
    <phoneticPr fontId="1" type="noConversion"/>
  </si>
  <si>
    <t>hazr-t-bdp-crkweb01</t>
    <phoneticPr fontId="1" type="noConversion"/>
  </si>
  <si>
    <t>hazr-t-bdp-crkap01</t>
    <phoneticPr fontId="1" type="noConversion"/>
  </si>
  <si>
    <t>hazr-t-bdp-crkml01</t>
    <phoneticPr fontId="1" type="noConversion"/>
  </si>
  <si>
    <t>D2s_v5</t>
  </si>
  <si>
    <t>E4s_v5</t>
    <phoneticPr fontId="1" type="noConversion"/>
  </si>
  <si>
    <t>Gksthschlrh!2#4</t>
  </si>
  <si>
    <t>Windows</t>
    <phoneticPr fontId="1" type="noConversion"/>
  </si>
  <si>
    <t>-</t>
    <phoneticPr fontId="1" type="noConversion"/>
  </si>
  <si>
    <t>O</t>
    <phoneticPr fontId="1" type="noConversion"/>
  </si>
  <si>
    <t>NicRG</t>
    <phoneticPr fontId="1" type="noConversion"/>
  </si>
  <si>
    <t>/subscriptions/b73b1d70-b43f-41b5-bb3f-34b9236d2ed9/resourceGroups/hazr-l-mgmt-rg/providers/Microsoft.Compute/galleries/hazrlmgmtgal/images/Windows_Server_2025_Base_Image/versions/0.0.1</t>
    <phoneticPr fontId="1" type="noConversion"/>
  </si>
  <si>
    <t>10.157.144.31</t>
    <phoneticPr fontId="1" type="noConversion"/>
  </si>
  <si>
    <t>X</t>
    <phoneticPr fontId="1" type="noConversion"/>
  </si>
  <si>
    <t>t-puls-db-sbn</t>
    <phoneticPr fontId="1" type="noConversion"/>
  </si>
  <si>
    <t>hazr-l-mon-rg</t>
    <phoneticPr fontId="1" type="noConversion"/>
  </si>
  <si>
    <t>Linux</t>
    <phoneticPr fontId="1" type="noConversion"/>
  </si>
  <si>
    <t>D8s_v5</t>
    <phoneticPr fontId="1" type="noConversion"/>
  </si>
  <si>
    <t>10.155.161.68</t>
    <phoneticPr fontId="1" type="noConversion"/>
  </si>
  <si>
    <t>10.155.161.69</t>
    <phoneticPr fontId="1" type="noConversion"/>
  </si>
  <si>
    <t>l-mon-ap-sbn</t>
    <phoneticPr fontId="1" type="noConversion"/>
  </si>
  <si>
    <t>hazr-l-mon-whtap02</t>
    <phoneticPr fontId="1" type="noConversion"/>
  </si>
  <si>
    <t>hazr-l-mon-whtap01</t>
    <phoneticPr fontId="1" type="noConversion"/>
  </si>
  <si>
    <t>hazr-l-comm-rg</t>
    <phoneticPr fontId="1" type="noConversion"/>
  </si>
  <si>
    <t>MON</t>
    <phoneticPr fontId="1" type="noConversion"/>
  </si>
  <si>
    <t>l-mon-whtap01-nic</t>
  </si>
  <si>
    <t>l-mon-whtap02-nic</t>
  </si>
  <si>
    <t>hazr-l-comm-double-des</t>
  </si>
  <si>
    <t>hazr-l-comm-double-des</t>
    <phoneticPr fontId="1" type="noConversion"/>
  </si>
  <si>
    <t>TEMP</t>
    <phoneticPr fontId="1" type="noConversion"/>
  </si>
  <si>
    <t>hazr-l-mon-whtap03</t>
  </si>
  <si>
    <t>hazr-l-mon-whtap03</t>
    <phoneticPr fontId="1" type="noConversion"/>
  </si>
  <si>
    <t>10.155.161.70</t>
    <phoneticPr fontId="1" type="noConversion"/>
  </si>
  <si>
    <t>l-mon-whtap03-nic</t>
  </si>
  <si>
    <t>5/19 요청</t>
    <phoneticPr fontId="1" type="noConversion"/>
  </si>
  <si>
    <t>5/15 요청</t>
    <phoneticPr fontId="1" type="noConversion"/>
  </si>
  <si>
    <t>PBPort</t>
    <phoneticPr fontId="1" type="noConversion"/>
  </si>
  <si>
    <t>PBProtocol</t>
    <phoneticPr fontId="1" type="noConversion"/>
  </si>
  <si>
    <t>hazr-t-if-icsweb01</t>
    <phoneticPr fontId="1" type="noConversion"/>
  </si>
  <si>
    <t>10.157.135.10</t>
    <phoneticPr fontId="1" type="noConversion"/>
  </si>
  <si>
    <t>6/5 요청</t>
    <phoneticPr fontId="1" type="noConversion"/>
  </si>
  <si>
    <t>TCP</t>
  </si>
  <si>
    <t>hazr-t-if-auth01</t>
    <phoneticPr fontId="1" type="noConversion"/>
  </si>
  <si>
    <t>hazr-t-if-auth-lb</t>
    <phoneticPr fontId="1" type="noConversion"/>
  </si>
  <si>
    <t>10.157.165.21</t>
    <phoneticPr fontId="1" type="noConversion"/>
  </si>
  <si>
    <t>t-if-ap-sbn</t>
    <phoneticPr fontId="1" type="noConversion"/>
  </si>
  <si>
    <t>10.157.165.20</t>
    <phoneticPr fontId="1" type="noConversion"/>
  </si>
  <si>
    <t>hazr-t-if-rg</t>
  </si>
  <si>
    <t>hazr-t-if-auth-lb</t>
  </si>
  <si>
    <t>Z</t>
    <phoneticPr fontId="1" type="noConversion"/>
  </si>
  <si>
    <t>10.155.200.4</t>
    <phoneticPr fontId="1" type="noConversion"/>
  </si>
  <si>
    <t>10.155.201.4</t>
    <phoneticPr fontId="1" type="noConversion"/>
  </si>
  <si>
    <t>1,2,3</t>
    <phoneticPr fontId="1" type="noConversion"/>
  </si>
  <si>
    <t>ZoneRedundant</t>
    <phoneticPr fontId="1" type="noConversion"/>
  </si>
  <si>
    <t>/subscriptions/b73b1d70-b43f-41b5-bb3f-34b9236d2ed9/resourceGroups/hazr-l-mgmt-rg/providers/Microsoft.Compute/galleries/hazrlmgmtgal/images/RHEL_9.6_nginx_Base_Image/versions/0.0.9</t>
  </si>
  <si>
    <t>/subscriptions/b73b1d70-b43f-41b5-bb3f-34b9236d2ed9/resourceGroups/hazr-l-mgmt-rg/providers/Microsoft.Compute/galleries/hazrlmgmtgal/images/RHEL_9.6_Base_Image/versions/0.1.1</t>
  </si>
  <si>
    <t>hazr-t-com-rg</t>
    <phoneticPr fontId="1" type="noConversion"/>
  </si>
  <si>
    <t>hazr-t-com-esnweb01</t>
    <phoneticPr fontId="1" type="noConversion"/>
  </si>
  <si>
    <t>hazr-t-com-esnwas01</t>
    <phoneticPr fontId="1" type="noConversion"/>
  </si>
  <si>
    <t>10.157.134.10</t>
    <phoneticPr fontId="1" type="noConversion"/>
  </si>
  <si>
    <t>10.157.162.10</t>
    <phoneticPr fontId="1" type="noConversion"/>
  </si>
  <si>
    <t>/subscriptions/b73b1d70-b43f-41b5-bb3f-34b9236d2ed9/resourceGroups/hazr-l-mgmt-rg/providers/Microsoft.Compute/galleries/hazrlmgmtgal/images/RHEL_9.6_Base_Image/versions/0.1.1</t>
    <phoneticPr fontId="1" type="noConversion"/>
  </si>
  <si>
    <t>DTG</t>
    <phoneticPr fontId="1" type="noConversion"/>
  </si>
  <si>
    <t>10.157.153.170</t>
    <phoneticPr fontId="1" type="noConversion"/>
  </si>
  <si>
    <t>10.157.153.171</t>
    <phoneticPr fontId="1" type="noConversion"/>
  </si>
  <si>
    <t>hazr-t-dtg-bbigeoap01</t>
    <phoneticPr fontId="1" type="noConversion"/>
  </si>
  <si>
    <t>Noe</t>
    <phoneticPr fontId="1" type="noConversion"/>
  </si>
  <si>
    <t>7/3 요청</t>
    <phoneticPr fontId="1" type="noConversion"/>
  </si>
  <si>
    <t>7/7 요청</t>
    <phoneticPr fontId="1" type="noConversion"/>
  </si>
  <si>
    <t>hazr-t-dtg-bbigeoap-lb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</si>
</sst>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theme="0" tint="-0.14999847407452621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6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0" fillId="7" borderId="0" xfId="0" applyFill="1" applyAlignment="1">
      <alignment horizontal="center" vertical="center"/>
    </xf>
    <xf numFmtId="0" fontId="15" fillId="7" borderId="0" xfId="0" applyFont="1" applyFill="1">
      <alignment vertical="center"/>
    </xf>
    <xf numFmtId="0" fontId="14" fillId="7" borderId="0" xfId="0" applyFont="1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0" fillId="7" borderId="20" xfId="0" applyFill="1" applyBorder="1">
      <alignment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/>
    </xf>
    <xf numFmtId="0" fontId="0" fillId="10" borderId="0" xfId="0" applyFill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5" xfId="0" applyNumberFormat="1" applyFont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</cellXfs>
  <cellStyles count="1">
    <cellStyle name="표준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74" totalsRowShown="0" headerRowDxfId="33" dataDxfId="32">
  <autoFilter ref="B1:AF74" xr:uid="{00000000-0009-0000-0100-000001000000}"/>
  <tableColumns count="31">
    <tableColumn id="1" xr3:uid="{00000000-0010-0000-0000-000001000000}" name="Stage" dataDxfId="31"/>
    <tableColumn id="2" xr3:uid="{DD2076C4-D866-4329-BEA8-1D816DAF3627}" name="Role" dataDxfId="30"/>
    <tableColumn id="3" xr3:uid="{00000000-0010-0000-0000-000003000000}" name="RGname" dataDxfId="29"/>
    <tableColumn id="4" xr3:uid="{00000000-0010-0000-0000-000004000000}" name="Location" dataDxfId="28"/>
    <tableColumn id="5" xr3:uid="{00000000-0010-0000-0000-000005000000}" name="Name" dataDxfId="27"/>
    <tableColumn id="6" xr3:uid="{00000000-0010-0000-0000-000006000000}" name="PrivateIP" dataDxfId="26"/>
    <tableColumn id="22" xr3:uid="{00000000-0010-0000-0000-000016000000}" name="VmSize" dataDxfId="25"/>
    <tableColumn id="23" xr3:uid="{00000000-0010-0000-0000-000017000000}" name="CPU" dataDxfId="24"/>
    <tableColumn id="34" xr3:uid="{00000000-0010-0000-0000-000022000000}" name="RAM" dataDxfId="23"/>
    <tableColumn id="7" xr3:uid="{00000000-0010-0000-0000-000007000000}" name="AdminUsername" dataDxfId="22"/>
    <tableColumn id="8" xr3:uid="{00000000-0010-0000-0000-000008000000}" name="AdminPassword" dataDxfId="21"/>
    <tableColumn id="9" xr3:uid="{00000000-0010-0000-0000-000009000000}" name="OsType" dataDxfId="20"/>
    <tableColumn id="10" xr3:uid="{5C5FDBAD-A0A4-4C75-968A-8587646674EE}" name="ImageResourceId" dataDxfId="19"/>
    <tableColumn id="12" xr3:uid="{00000000-0010-0000-0000-00000C000000}" name="OsDiskName" dataDxfId="18">
      <calculatedColumnFormula>SUBSTITUTE(F2,"hazr-","")&amp;"-osdisk"</calculatedColumnFormula>
    </tableColumn>
    <tableColumn id="13" xr3:uid="{00000000-0010-0000-0000-00000D000000}" name="OsDiskSize" dataDxfId="17"/>
    <tableColumn id="14" xr3:uid="{00000000-0010-0000-0000-00000E000000}" name="OsDiskStorageType" dataDxfId="16"/>
    <tableColumn id="24" xr3:uid="{00000000-0010-0000-0000-000018000000}" name="DataDiskName" dataDxfId="15"/>
    <tableColumn id="25" xr3:uid="{00000000-0010-0000-0000-000019000000}" name="DataDiskSize" dataDxfId="14"/>
    <tableColumn id="26" xr3:uid="{00000000-0010-0000-0000-00001A000000}" name="DataDiskStorageType" dataDxfId="13"/>
    <tableColumn id="15" xr3:uid="{00000000-0010-0000-0000-00000F000000}" name="NicName" dataDxfId="12">
      <calculatedColumnFormula>SUBSTITUTE(F2,"hazr-","")&amp;"-nic"</calculatedColumnFormula>
    </tableColumn>
    <tableColumn id="27" xr3:uid="{6FD9A0A6-7008-49AB-B2C9-4BEDF1811434}" name="EnableAcceleratedNetworking" dataDxfId="11"/>
    <tableColumn id="17" xr3:uid="{00000000-0010-0000-0000-000011000000}" name="IsStatic" dataDxfId="10"/>
    <tableColumn id="11" xr3:uid="{65903CF2-1AF4-4B86-A9E4-474DE495E3CB}" name="VnetRG" dataDxfId="9"/>
    <tableColumn id="18" xr3:uid="{00000000-0010-0000-0000-000012000000}" name="VnetName" dataDxfId="8"/>
    <tableColumn id="19" xr3:uid="{00000000-0010-0000-0000-000013000000}" name="SubnetName" dataDxfId="7"/>
    <tableColumn id="28" xr3:uid="{73185387-6B41-497F-9EB6-5675CC43B3E3}" name="UseOsDiskDoubleEncryption " dataDxfId="6"/>
    <tableColumn id="21" xr3:uid="{804782E7-599A-496A-B10D-EFCB52F3E7DB}" name="DESRG" dataDxfId="5"/>
    <tableColumn id="16" xr3:uid="{1ED2A695-2028-4644-8B0B-7B32A8F548C4}" name="DESName" dataDxfId="4"/>
    <tableColumn id="36" xr3:uid="{9EB3DACA-84E4-4D05-8E76-433A4A9E33E7}" name="Zones" dataDxfId="3"/>
    <tableColumn id="20" xr3:uid="{00000000-0010-0000-0000-000014000000}" name="SubscriptionName" dataDxfId="2"/>
    <tableColumn id="35" xr3:uid="{A2E4758D-942B-4C99-96CE-9F1494B6961B}" name="Description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0"/>
  <sheetViews>
    <sheetView workbookViewId="0">
      <selection activeCell="P3" sqref="P3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7" t="s">
        <v>87</v>
      </c>
      <c r="G1" s="47" t="s">
        <v>88</v>
      </c>
      <c r="H1" s="49" t="s">
        <v>89</v>
      </c>
      <c r="I1" s="49" t="s">
        <v>90</v>
      </c>
      <c r="J1" s="47" t="s">
        <v>79</v>
      </c>
      <c r="K1" s="47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130</v>
      </c>
      <c r="Q1" s="49" t="s">
        <v>131</v>
      </c>
      <c r="R1" s="49" t="s">
        <v>132</v>
      </c>
      <c r="S1" s="49" t="s">
        <v>133</v>
      </c>
      <c r="T1" s="49" t="s">
        <v>134</v>
      </c>
      <c r="U1" s="49" t="s">
        <v>135</v>
      </c>
      <c r="V1" s="49" t="s">
        <v>136</v>
      </c>
      <c r="W1" s="49" t="s">
        <v>137</v>
      </c>
      <c r="X1" s="49" t="s">
        <v>138</v>
      </c>
      <c r="Y1" s="49" t="s">
        <v>139</v>
      </c>
      <c r="Z1" s="49" t="s">
        <v>140</v>
      </c>
      <c r="AA1" s="49" t="s">
        <v>141</v>
      </c>
      <c r="AB1" s="49" t="s">
        <v>142</v>
      </c>
      <c r="AC1" s="49" t="s">
        <v>143</v>
      </c>
      <c r="AD1" s="49" t="s">
        <v>144</v>
      </c>
      <c r="AE1" s="49" t="s">
        <v>145</v>
      </c>
      <c r="AF1" s="49" t="s">
        <v>146</v>
      </c>
      <c r="AG1" s="49" t="s">
        <v>147</v>
      </c>
      <c r="AH1" s="49" t="s">
        <v>148</v>
      </c>
      <c r="AI1" s="49" t="s">
        <v>149</v>
      </c>
      <c r="AJ1" s="49" t="s">
        <v>150</v>
      </c>
      <c r="AK1" s="49" t="s">
        <v>151</v>
      </c>
      <c r="AL1" s="49" t="s">
        <v>152</v>
      </c>
      <c r="AM1" s="49" t="s">
        <v>153</v>
      </c>
      <c r="AN1" s="49" t="s">
        <v>154</v>
      </c>
      <c r="AO1" s="49" t="s">
        <v>155</v>
      </c>
      <c r="AP1" s="49" t="s">
        <v>156</v>
      </c>
      <c r="AQ1" s="49" t="s">
        <v>157</v>
      </c>
      <c r="AR1" s="49" t="s">
        <v>158</v>
      </c>
      <c r="AS1" s="49" t="s">
        <v>159</v>
      </c>
      <c r="AT1" s="49" t="s">
        <v>160</v>
      </c>
      <c r="AU1" s="49" t="s">
        <v>161</v>
      </c>
      <c r="AV1" s="49" t="s">
        <v>162</v>
      </c>
      <c r="AW1" s="49" t="s">
        <v>163</v>
      </c>
      <c r="AX1" s="49" t="s">
        <v>164</v>
      </c>
      <c r="AY1" s="49" t="s">
        <v>165</v>
      </c>
      <c r="AZ1" s="49" t="s">
        <v>166</v>
      </c>
      <c r="BA1" s="49" t="s">
        <v>167</v>
      </c>
      <c r="BB1" s="49" t="s">
        <v>168</v>
      </c>
      <c r="BC1" s="49" t="s">
        <v>169</v>
      </c>
      <c r="BD1" s="49" t="s">
        <v>170</v>
      </c>
      <c r="BE1" s="49" t="s">
        <v>171</v>
      </c>
      <c r="BF1" s="49" t="s">
        <v>172</v>
      </c>
      <c r="BG1" s="49" t="s">
        <v>173</v>
      </c>
      <c r="BH1" s="49" t="s">
        <v>174</v>
      </c>
      <c r="BI1" s="49" t="s">
        <v>175</v>
      </c>
      <c r="BJ1" s="49" t="s">
        <v>176</v>
      </c>
      <c r="BK1" s="49" t="s">
        <v>177</v>
      </c>
    </row>
    <row r="2" spans="1:63" x14ac:dyDescent="0.3">
      <c r="A2" s="69"/>
      <c r="B2" s="50" t="s">
        <v>182</v>
      </c>
      <c r="C2" s="50" t="str" cm="1">
        <f t="array" ref="C2">UPPER(INDEX(_xlfn.TEXTSPLIT($D2, "-"), 3))</f>
        <v>DCH</v>
      </c>
      <c r="D2" s="50" t="s">
        <v>198</v>
      </c>
      <c r="E2" s="50" t="s">
        <v>24</v>
      </c>
      <c r="F2" s="50" t="s">
        <v>199</v>
      </c>
      <c r="G2" s="50" t="s">
        <v>324</v>
      </c>
      <c r="H2" s="50"/>
      <c r="I2" s="50"/>
      <c r="J2" s="50" t="s">
        <v>290</v>
      </c>
      <c r="K2" s="50" t="s">
        <v>325</v>
      </c>
      <c r="L2" s="50" t="s">
        <v>326</v>
      </c>
      <c r="M2" s="50" t="s">
        <v>327</v>
      </c>
      <c r="N2" s="50" t="s">
        <v>328</v>
      </c>
      <c r="O2" s="50" t="s">
        <v>329</v>
      </c>
      <c r="P2" s="50" t="s">
        <v>330</v>
      </c>
      <c r="Q2" s="50" t="s">
        <v>331</v>
      </c>
      <c r="R2" s="50" t="s">
        <v>332</v>
      </c>
      <c r="S2" s="50" t="s">
        <v>333</v>
      </c>
      <c r="T2" s="50" t="s">
        <v>334</v>
      </c>
      <c r="U2" s="50" t="s">
        <v>335</v>
      </c>
      <c r="V2" s="50" t="s">
        <v>336</v>
      </c>
      <c r="W2" s="50" t="s">
        <v>337</v>
      </c>
      <c r="X2" s="50" t="s">
        <v>338</v>
      </c>
      <c r="Y2" s="50" t="s">
        <v>339</v>
      </c>
      <c r="Z2" s="50" t="s">
        <v>209</v>
      </c>
      <c r="AA2" s="50" t="s">
        <v>340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 x14ac:dyDescent="0.3">
      <c r="A3" s="70"/>
      <c r="B3" s="51" t="s">
        <v>182</v>
      </c>
      <c r="C3" s="51" t="str" cm="1">
        <f t="array" ref="C3">UPPER(INDEX(_xlfn.TEXTSPLIT($D3, "-"), 3))</f>
        <v>DCH</v>
      </c>
      <c r="D3" s="51" t="s">
        <v>198</v>
      </c>
      <c r="E3" s="51" t="s">
        <v>24</v>
      </c>
      <c r="F3" s="51" t="s">
        <v>200</v>
      </c>
      <c r="G3" s="51" t="s">
        <v>292</v>
      </c>
      <c r="H3" s="51" t="s">
        <v>293</v>
      </c>
      <c r="I3" s="51" t="s">
        <v>294</v>
      </c>
      <c r="J3" s="51" t="s">
        <v>288</v>
      </c>
      <c r="K3" s="51" t="s">
        <v>296</v>
      </c>
      <c r="L3" s="51" t="s">
        <v>295</v>
      </c>
      <c r="M3" s="51" t="s">
        <v>297</v>
      </c>
      <c r="N3" s="51" t="s">
        <v>302</v>
      </c>
      <c r="O3" s="51" t="s">
        <v>298</v>
      </c>
      <c r="P3" s="51" t="s">
        <v>303</v>
      </c>
      <c r="Q3" s="51" t="s">
        <v>299</v>
      </c>
      <c r="R3" s="51" t="s">
        <v>304</v>
      </c>
      <c r="S3" s="51" t="s">
        <v>261</v>
      </c>
      <c r="T3" s="51" t="s">
        <v>305</v>
      </c>
      <c r="U3" s="51" t="s">
        <v>262</v>
      </c>
      <c r="V3" s="51" t="s">
        <v>306</v>
      </c>
      <c r="W3" s="51" t="s">
        <v>263</v>
      </c>
      <c r="X3" s="51" t="s">
        <v>307</v>
      </c>
      <c r="Y3" s="51" t="s">
        <v>264</v>
      </c>
      <c r="Z3" s="51" t="s">
        <v>308</v>
      </c>
      <c r="AA3" s="51" t="s">
        <v>265</v>
      </c>
      <c r="AB3" s="51" t="s">
        <v>310</v>
      </c>
      <c r="AC3" s="51" t="s">
        <v>266</v>
      </c>
      <c r="AD3" s="51" t="s">
        <v>309</v>
      </c>
      <c r="AE3" s="51" t="s">
        <v>267</v>
      </c>
      <c r="AF3" s="51" t="s">
        <v>311</v>
      </c>
      <c r="AG3" s="51" t="s">
        <v>268</v>
      </c>
      <c r="AH3" s="51" t="s">
        <v>313</v>
      </c>
      <c r="AI3" s="51" t="s">
        <v>300</v>
      </c>
      <c r="AJ3" s="51" t="s">
        <v>312</v>
      </c>
      <c r="AK3" s="51" t="s">
        <v>269</v>
      </c>
      <c r="AL3" s="51" t="s">
        <v>314</v>
      </c>
      <c r="AM3" s="51" t="s">
        <v>270</v>
      </c>
      <c r="AN3" s="51" t="s">
        <v>315</v>
      </c>
      <c r="AO3" s="51" t="s">
        <v>271</v>
      </c>
      <c r="AP3" s="51" t="s">
        <v>316</v>
      </c>
      <c r="AQ3" s="51" t="s">
        <v>272</v>
      </c>
      <c r="AR3" s="51" t="s">
        <v>317</v>
      </c>
      <c r="AS3" s="51" t="s">
        <v>273</v>
      </c>
      <c r="AT3" s="51" t="s">
        <v>318</v>
      </c>
      <c r="AU3" s="51" t="s">
        <v>274</v>
      </c>
      <c r="AV3" s="51" t="s">
        <v>319</v>
      </c>
      <c r="AW3" s="51" t="s">
        <v>275</v>
      </c>
      <c r="AX3" s="51" t="s">
        <v>320</v>
      </c>
      <c r="AY3" s="51" t="s">
        <v>276</v>
      </c>
      <c r="AZ3" s="51" t="s">
        <v>321</v>
      </c>
      <c r="BA3" s="51" t="s">
        <v>277</v>
      </c>
      <c r="BB3" s="51" t="s">
        <v>322</v>
      </c>
      <c r="BC3" s="51" t="s">
        <v>278</v>
      </c>
      <c r="BD3" s="51" t="s">
        <v>323</v>
      </c>
      <c r="BE3" s="51" t="s">
        <v>279</v>
      </c>
      <c r="BF3" s="51" t="s">
        <v>208</v>
      </c>
      <c r="BG3" s="51" t="s">
        <v>280</v>
      </c>
      <c r="BH3" s="51" t="s">
        <v>213</v>
      </c>
      <c r="BI3" s="51" t="s">
        <v>281</v>
      </c>
      <c r="BJ3" s="51" t="s">
        <v>214</v>
      </c>
      <c r="BK3" s="51" t="s">
        <v>301</v>
      </c>
    </row>
    <row r="4" spans="1:63" x14ac:dyDescent="0.3">
      <c r="J4" s="1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69"/>
  <sheetViews>
    <sheetView workbookViewId="0">
      <selection activeCell="A2" sqref="A2:A10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9" t="s">
        <v>78</v>
      </c>
    </row>
    <row r="2" spans="1:6" x14ac:dyDescent="0.3">
      <c r="A2" s="69"/>
      <c r="B2" s="50" t="s">
        <v>182</v>
      </c>
      <c r="C2" s="50" t="str" cm="1">
        <f t="array" ref="C2">UPPER(INDEX(_xlfn.TEXTSPLIT($D2, "-"), 3))</f>
        <v>DCH</v>
      </c>
      <c r="D2" s="50" t="s">
        <v>198</v>
      </c>
      <c r="E2" s="50" t="s">
        <v>24</v>
      </c>
      <c r="F2" s="50"/>
    </row>
    <row r="3" spans="1:6" x14ac:dyDescent="0.3">
      <c r="A3" s="70"/>
      <c r="B3" s="51" t="s">
        <v>182</v>
      </c>
      <c r="C3" s="51" t="str" cm="1">
        <f t="array" ref="C3">UPPER(INDEX(_xlfn.TEXTSPLIT($D3, "-"), 3))</f>
        <v>COM</v>
      </c>
      <c r="D3" s="51" t="s">
        <v>201</v>
      </c>
      <c r="E3" s="51" t="s">
        <v>24</v>
      </c>
      <c r="F3" s="51"/>
    </row>
    <row r="4" spans="1:6" x14ac:dyDescent="0.3">
      <c r="A4" s="69"/>
      <c r="B4" s="50" t="s">
        <v>182</v>
      </c>
      <c r="C4" s="50" t="str" cm="1">
        <f t="array" ref="C4">UPPER(INDEX(_xlfn.TEXTSPLIT($D4, "-"), 3))</f>
        <v>CS</v>
      </c>
      <c r="D4" s="50" t="s">
        <v>205</v>
      </c>
      <c r="E4" s="50" t="s">
        <v>24</v>
      </c>
      <c r="F4" s="50"/>
    </row>
    <row r="5" spans="1:6" x14ac:dyDescent="0.3">
      <c r="A5" s="70"/>
      <c r="B5" s="51" t="s">
        <v>182</v>
      </c>
      <c r="C5" s="51" t="str" cm="1">
        <f t="array" ref="C5">UPPER(INDEX(_xlfn.TEXTSPLIT($D5, "-"), 3))</f>
        <v>DIS</v>
      </c>
      <c r="D5" s="51" t="s">
        <v>202</v>
      </c>
      <c r="E5" s="51" t="s">
        <v>24</v>
      </c>
      <c r="F5" s="51"/>
    </row>
    <row r="6" spans="1:6" x14ac:dyDescent="0.3">
      <c r="A6" s="69"/>
      <c r="B6" s="50" t="s">
        <v>182</v>
      </c>
      <c r="C6" s="50" t="str" cm="1">
        <f t="array" ref="C6">UPPER(INDEX(_xlfn.TEXTSPLIT($D6, "-"), 3))</f>
        <v>DOIP</v>
      </c>
      <c r="D6" s="50" t="s">
        <v>386</v>
      </c>
      <c r="E6" s="50" t="s">
        <v>24</v>
      </c>
      <c r="F6" s="50"/>
    </row>
    <row r="7" spans="1:6" x14ac:dyDescent="0.3">
      <c r="A7" s="70"/>
      <c r="B7" s="51" t="s">
        <v>182</v>
      </c>
      <c r="C7" s="51" t="str" cm="1">
        <f t="array" ref="C7">UPPER(INDEX(_xlfn.TEXTSPLIT($D7, "-"), 3))</f>
        <v>DTG</v>
      </c>
      <c r="D7" s="51" t="s">
        <v>203</v>
      </c>
      <c r="E7" s="51" t="s">
        <v>24</v>
      </c>
      <c r="F7" s="51"/>
    </row>
    <row r="8" spans="1:6" x14ac:dyDescent="0.3">
      <c r="A8" s="69"/>
      <c r="B8" s="50" t="s">
        <v>182</v>
      </c>
      <c r="C8" s="50" t="str" cm="1">
        <f t="array" ref="C8">UPPER(INDEX(_xlfn.TEXTSPLIT($D8, "-"), 3))</f>
        <v>IF</v>
      </c>
      <c r="D8" s="50" t="s">
        <v>474</v>
      </c>
      <c r="E8" s="50" t="s">
        <v>24</v>
      </c>
      <c r="F8" s="50"/>
    </row>
    <row r="9" spans="1:6" x14ac:dyDescent="0.3">
      <c r="A9" s="69"/>
      <c r="B9" s="51" t="s">
        <v>182</v>
      </c>
      <c r="C9" s="51" t="str" cm="1">
        <f t="array" ref="C9">UPPER(INDEX(_xlfn.TEXTSPLIT($D9, "-"), 3))</f>
        <v>BDP</v>
      </c>
      <c r="D9" s="51" t="s">
        <v>204</v>
      </c>
      <c r="E9" s="51" t="s">
        <v>24</v>
      </c>
      <c r="F9" s="51"/>
    </row>
    <row r="10" spans="1:6" x14ac:dyDescent="0.3">
      <c r="A10" s="70"/>
      <c r="B10" s="50" t="s">
        <v>182</v>
      </c>
      <c r="C10" s="50" t="str" cm="1">
        <f t="array" ref="C10">UPPER(INDEX(_xlfn.TEXTSPLIT($D10, "-"), 3))</f>
        <v>PULS</v>
      </c>
      <c r="D10" s="50" t="s">
        <v>475</v>
      </c>
      <c r="E10" s="50" t="s">
        <v>24</v>
      </c>
      <c r="F10" s="50"/>
    </row>
    <row r="69" spans="1:1" x14ac:dyDescent="0.3">
      <c r="A69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74"/>
  <sheetViews>
    <sheetView zoomScaleNormal="100" zoomScaleSheetLayoutView="100" workbookViewId="0">
      <pane xSplit="6" ySplit="1" topLeftCell="G52" activePane="bottomRight" state="frozen"/>
      <selection activeCell="F105" sqref="E105:F105"/>
      <selection pane="topRight" activeCell="F105" sqref="E105:F105"/>
      <selection pane="bottomLeft" activeCell="F105" sqref="E105:F105"/>
      <selection pane="bottomRight" activeCell="F74" sqref="F74"/>
    </sheetView>
  </sheetViews>
  <sheetFormatPr defaultRowHeight="16.5" x14ac:dyDescent="0.3"/>
  <cols>
    <col min="1" max="1" width="1.25" customWidth="1"/>
    <col min="2" max="2" width="7.25" customWidth="1"/>
    <col min="3" max="3" width="11" customWidth="1"/>
    <col min="4" max="4" width="16.125" bestFit="1" customWidth="1"/>
    <col min="5" max="5" width="12.25" bestFit="1" customWidth="1"/>
    <col min="6" max="6" width="17.875" style="1" bestFit="1" customWidth="1"/>
    <col min="7" max="7" width="14" bestFit="1" customWidth="1"/>
    <col min="8" max="8" width="11.125" bestFit="1" customWidth="1"/>
    <col min="9" max="9" width="6.75" bestFit="1" customWidth="1"/>
    <col min="10" max="10" width="7.25" bestFit="1" customWidth="1"/>
    <col min="11" max="11" width="16.875" bestFit="1" customWidth="1"/>
    <col min="12" max="12" width="15.875" customWidth="1"/>
    <col min="13" max="13" width="16.25" style="2" bestFit="1" customWidth="1"/>
    <col min="14" max="14" width="155.75" style="113" bestFit="1" customWidth="1"/>
    <col min="15" max="15" width="19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6.875" bestFit="1" customWidth="1"/>
    <col min="26" max="26" width="18.75" bestFit="1" customWidth="1"/>
    <col min="27" max="27" width="27.75" bestFit="1" customWidth="1"/>
    <col min="28" max="28" width="15.625" bestFit="1" customWidth="1"/>
    <col min="29" max="29" width="21.125" bestFit="1" customWidth="1"/>
    <col min="30" max="30" width="13.5" bestFit="1" customWidth="1"/>
    <col min="31" max="31" width="15" customWidth="1"/>
    <col min="32" max="32" width="17" customWidth="1"/>
  </cols>
  <sheetData>
    <row r="1" spans="1:32" x14ac:dyDescent="0.3">
      <c r="A1" s="48"/>
      <c r="B1" s="93" t="s">
        <v>0</v>
      </c>
      <c r="C1" s="93" t="s">
        <v>1</v>
      </c>
      <c r="D1" s="103" t="s">
        <v>2</v>
      </c>
      <c r="E1" s="103" t="s">
        <v>3</v>
      </c>
      <c r="F1" s="103" t="s">
        <v>4</v>
      </c>
      <c r="G1" s="103" t="s">
        <v>5</v>
      </c>
      <c r="H1" s="103" t="s">
        <v>6</v>
      </c>
      <c r="I1" s="93" t="s">
        <v>7</v>
      </c>
      <c r="J1" s="93" t="s">
        <v>8</v>
      </c>
      <c r="K1" s="103" t="s">
        <v>9</v>
      </c>
      <c r="L1" s="104" t="s">
        <v>10</v>
      </c>
      <c r="M1" s="103" t="s">
        <v>86</v>
      </c>
      <c r="N1" s="103" t="s">
        <v>28</v>
      </c>
      <c r="O1" s="103" t="s">
        <v>11</v>
      </c>
      <c r="P1" s="103" t="s">
        <v>12</v>
      </c>
      <c r="Q1" s="103" t="s">
        <v>13</v>
      </c>
      <c r="R1" s="93" t="s">
        <v>14</v>
      </c>
      <c r="S1" s="93" t="s">
        <v>15</v>
      </c>
      <c r="T1" s="93" t="s">
        <v>16</v>
      </c>
      <c r="U1" s="103" t="s">
        <v>17</v>
      </c>
      <c r="V1" s="103" t="s">
        <v>196</v>
      </c>
      <c r="W1" s="103" t="s">
        <v>18</v>
      </c>
      <c r="X1" s="103" t="s">
        <v>85</v>
      </c>
      <c r="Y1" s="103" t="s">
        <v>19</v>
      </c>
      <c r="Z1" s="103" t="s">
        <v>20</v>
      </c>
      <c r="AA1" s="103" t="s">
        <v>197</v>
      </c>
      <c r="AB1" s="103" t="s">
        <v>195</v>
      </c>
      <c r="AC1" s="103" t="s">
        <v>129</v>
      </c>
      <c r="AD1" s="103" t="s">
        <v>25</v>
      </c>
      <c r="AE1" s="93" t="s">
        <v>21</v>
      </c>
      <c r="AF1" s="93" t="s">
        <v>22</v>
      </c>
    </row>
    <row r="2" spans="1:32" x14ac:dyDescent="0.3">
      <c r="A2" s="102"/>
      <c r="B2" s="74" t="s">
        <v>182</v>
      </c>
      <c r="C2" s="74" t="str" cm="1">
        <f t="array" ref="C2">UPPER(INDEX(_xlfn.TEXTSPLIT($D2, "-"), 3))</f>
        <v>CS</v>
      </c>
      <c r="D2" s="74" t="s">
        <v>205</v>
      </c>
      <c r="E2" s="74" t="s">
        <v>24</v>
      </c>
      <c r="F2" s="74" t="s">
        <v>206</v>
      </c>
      <c r="G2" s="74" t="s">
        <v>211</v>
      </c>
      <c r="H2" s="105" t="s">
        <v>179</v>
      </c>
      <c r="I2" s="74">
        <v>2</v>
      </c>
      <c r="J2" s="74">
        <v>8</v>
      </c>
      <c r="K2" s="74" t="s">
        <v>183</v>
      </c>
      <c r="L2" s="74" t="s">
        <v>178</v>
      </c>
      <c r="M2" s="74" t="s">
        <v>180</v>
      </c>
      <c r="N2" s="111" t="s">
        <v>611</v>
      </c>
      <c r="O2" s="74" t="str">
        <f t="shared" ref="O2:O6" si="0">SUBSTITUTE(F2,"hazr-","")&amp;"-osdisk"</f>
        <v>t-cs-chtweb01-osdisk</v>
      </c>
      <c r="P2" s="74">
        <v>64</v>
      </c>
      <c r="Q2" s="74" t="s">
        <v>181</v>
      </c>
      <c r="R2" s="74"/>
      <c r="S2" s="74"/>
      <c r="T2" s="74"/>
      <c r="U2" s="74" t="str">
        <f>SUBSTITUTE(F2,"hazr-","")&amp;"-nic"</f>
        <v>t-cs-chtweb01-nic</v>
      </c>
      <c r="V2" s="74" t="b">
        <v>1</v>
      </c>
      <c r="W2" s="74" t="b">
        <v>1</v>
      </c>
      <c r="X2" s="74" t="s">
        <v>198</v>
      </c>
      <c r="Y2" s="74" t="s">
        <v>199</v>
      </c>
      <c r="Z2" s="74" t="s">
        <v>209</v>
      </c>
      <c r="AA2" s="74" t="b">
        <v>1</v>
      </c>
      <c r="AB2" s="74" t="s">
        <v>198</v>
      </c>
      <c r="AC2" s="74" t="s">
        <v>210</v>
      </c>
      <c r="AD2" s="74">
        <v>3</v>
      </c>
      <c r="AE2" s="74"/>
      <c r="AF2" s="74"/>
    </row>
    <row r="3" spans="1:32" x14ac:dyDescent="0.3">
      <c r="A3" s="102"/>
      <c r="B3" s="74" t="s">
        <v>182</v>
      </c>
      <c r="C3" s="74" t="str" cm="1">
        <f t="array" ref="C3">UPPER(INDEX(_xlfn.TEXTSPLIT($D3, "-"), 3))</f>
        <v>CS</v>
      </c>
      <c r="D3" s="74" t="s">
        <v>205</v>
      </c>
      <c r="E3" s="74" t="s">
        <v>24</v>
      </c>
      <c r="F3" s="74" t="s">
        <v>207</v>
      </c>
      <c r="G3" s="74" t="s">
        <v>285</v>
      </c>
      <c r="H3" s="105" t="s">
        <v>179</v>
      </c>
      <c r="I3" s="74">
        <v>2</v>
      </c>
      <c r="J3" s="74">
        <v>8</v>
      </c>
      <c r="K3" s="74" t="s">
        <v>183</v>
      </c>
      <c r="L3" s="106" t="s">
        <v>178</v>
      </c>
      <c r="M3" s="74" t="s">
        <v>180</v>
      </c>
      <c r="N3" s="111" t="s">
        <v>611</v>
      </c>
      <c r="O3" s="74" t="str">
        <f t="shared" si="0"/>
        <v>t-cs-chtintweb01-osdisk</v>
      </c>
      <c r="P3" s="74">
        <v>64</v>
      </c>
      <c r="Q3" s="74" t="s">
        <v>181</v>
      </c>
      <c r="R3" s="74"/>
      <c r="S3" s="74"/>
      <c r="T3" s="74"/>
      <c r="U3" s="74" t="str">
        <f t="shared" ref="U3:U63" si="1">SUBSTITUTE(F3,"hazr-","")&amp;"-nic"</f>
        <v>t-cs-chtintweb01-nic</v>
      </c>
      <c r="V3" s="74" t="b">
        <v>1</v>
      </c>
      <c r="W3" s="74" t="b">
        <v>1</v>
      </c>
      <c r="X3" s="74" t="s">
        <v>198</v>
      </c>
      <c r="Y3" s="74" t="s">
        <v>200</v>
      </c>
      <c r="Z3" s="74" t="s">
        <v>208</v>
      </c>
      <c r="AA3" s="74" t="b">
        <v>1</v>
      </c>
      <c r="AB3" s="74" t="s">
        <v>198</v>
      </c>
      <c r="AC3" s="74" t="s">
        <v>210</v>
      </c>
      <c r="AD3" s="74">
        <v>3</v>
      </c>
      <c r="AE3" s="74"/>
      <c r="AF3" s="74"/>
    </row>
    <row r="4" spans="1:32" x14ac:dyDescent="0.3">
      <c r="A4" s="97"/>
      <c r="B4" s="74" t="s">
        <v>182</v>
      </c>
      <c r="C4" s="74" t="str" cm="1">
        <f t="array" ref="C4">UPPER(INDEX(_xlfn.TEXTSPLIT($D4, "-"), 3))</f>
        <v>CS</v>
      </c>
      <c r="D4" s="74" t="s">
        <v>205</v>
      </c>
      <c r="E4" s="74" t="s">
        <v>24</v>
      </c>
      <c r="F4" s="74" t="s">
        <v>284</v>
      </c>
      <c r="G4" s="74" t="s">
        <v>212</v>
      </c>
      <c r="H4" s="105" t="s">
        <v>179</v>
      </c>
      <c r="I4" s="74">
        <v>2</v>
      </c>
      <c r="J4" s="74">
        <v>8</v>
      </c>
      <c r="K4" s="74" t="s">
        <v>183</v>
      </c>
      <c r="L4" s="74" t="s">
        <v>178</v>
      </c>
      <c r="M4" s="74" t="s">
        <v>180</v>
      </c>
      <c r="N4" s="111" t="s">
        <v>612</v>
      </c>
      <c r="O4" s="74" t="str">
        <f t="shared" si="0"/>
        <v>t-cs-chtap01-osdisk</v>
      </c>
      <c r="P4" s="74">
        <v>64</v>
      </c>
      <c r="Q4" s="74" t="s">
        <v>181</v>
      </c>
      <c r="R4" s="74"/>
      <c r="S4" s="74"/>
      <c r="T4" s="74"/>
      <c r="U4" s="74" t="str">
        <f t="shared" si="1"/>
        <v>t-cs-chtap01-nic</v>
      </c>
      <c r="V4" s="74" t="b">
        <v>1</v>
      </c>
      <c r="W4" s="74" t="b">
        <v>1</v>
      </c>
      <c r="X4" s="74" t="s">
        <v>198</v>
      </c>
      <c r="Y4" s="74" t="s">
        <v>200</v>
      </c>
      <c r="Z4" s="74" t="s">
        <v>208</v>
      </c>
      <c r="AA4" s="74" t="b">
        <v>1</v>
      </c>
      <c r="AB4" s="74" t="s">
        <v>198</v>
      </c>
      <c r="AC4" s="74" t="s">
        <v>210</v>
      </c>
      <c r="AD4" s="74">
        <v>3</v>
      </c>
      <c r="AE4" s="74"/>
      <c r="AF4" s="74"/>
    </row>
    <row r="5" spans="1:32" x14ac:dyDescent="0.3">
      <c r="A5" s="97"/>
      <c r="B5" s="74" t="s">
        <v>182</v>
      </c>
      <c r="C5" s="74" t="str" cm="1">
        <f t="array" ref="C5">UPPER(INDEX(_xlfn.TEXTSPLIT($D5, "-"), 3))</f>
        <v>DIS</v>
      </c>
      <c r="D5" s="74" t="s">
        <v>286</v>
      </c>
      <c r="E5" s="74" t="s">
        <v>24</v>
      </c>
      <c r="F5" s="74" t="s">
        <v>499</v>
      </c>
      <c r="G5" s="74" t="s">
        <v>388</v>
      </c>
      <c r="H5" s="74" t="s">
        <v>179</v>
      </c>
      <c r="I5" s="74">
        <v>2</v>
      </c>
      <c r="J5" s="74">
        <v>8</v>
      </c>
      <c r="K5" s="74" t="s">
        <v>183</v>
      </c>
      <c r="L5" s="106" t="s">
        <v>563</v>
      </c>
      <c r="M5" s="74" t="s">
        <v>180</v>
      </c>
      <c r="N5" s="111" t="s">
        <v>612</v>
      </c>
      <c r="O5" s="74" t="str">
        <f t="shared" si="0"/>
        <v>t-dis-ap01-osdisk</v>
      </c>
      <c r="P5" s="74">
        <v>64</v>
      </c>
      <c r="Q5" s="74" t="s">
        <v>181</v>
      </c>
      <c r="R5" s="74"/>
      <c r="S5" s="74"/>
      <c r="T5" s="74"/>
      <c r="U5" s="74" t="str">
        <f t="shared" si="1"/>
        <v>t-dis-ap01-nic</v>
      </c>
      <c r="V5" s="74" t="b">
        <v>1</v>
      </c>
      <c r="W5" s="74" t="b">
        <v>1</v>
      </c>
      <c r="X5" s="74" t="s">
        <v>198</v>
      </c>
      <c r="Y5" s="74" t="s">
        <v>476</v>
      </c>
      <c r="Z5" s="74" t="s">
        <v>387</v>
      </c>
      <c r="AA5" s="74" t="b">
        <v>1</v>
      </c>
      <c r="AB5" s="74" t="s">
        <v>198</v>
      </c>
      <c r="AC5" s="74" t="s">
        <v>210</v>
      </c>
      <c r="AD5" s="74">
        <v>3</v>
      </c>
      <c r="AE5" s="74"/>
      <c r="AF5" s="74"/>
    </row>
    <row r="6" spans="1:32" x14ac:dyDescent="0.3">
      <c r="A6" s="97"/>
      <c r="B6" s="74" t="s">
        <v>182</v>
      </c>
      <c r="C6" s="74" t="str" cm="1">
        <f t="array" ref="C6">UPPER(INDEX(_xlfn.TEXTSPLIT($D6, "-"), 3))</f>
        <v>DIS</v>
      </c>
      <c r="D6" s="74" t="s">
        <v>286</v>
      </c>
      <c r="E6" s="74" t="s">
        <v>24</v>
      </c>
      <c r="F6" s="74" t="s">
        <v>500</v>
      </c>
      <c r="G6" s="74" t="s">
        <v>389</v>
      </c>
      <c r="H6" s="74" t="s">
        <v>179</v>
      </c>
      <c r="I6" s="74">
        <v>2</v>
      </c>
      <c r="J6" s="74">
        <v>8</v>
      </c>
      <c r="K6" s="74" t="s">
        <v>183</v>
      </c>
      <c r="L6" s="74" t="s">
        <v>563</v>
      </c>
      <c r="M6" s="74" t="s">
        <v>180</v>
      </c>
      <c r="N6" s="111" t="s">
        <v>611</v>
      </c>
      <c r="O6" s="74" t="str">
        <f t="shared" si="0"/>
        <v>t-dis-adm01-osdisk</v>
      </c>
      <c r="P6" s="74">
        <v>64</v>
      </c>
      <c r="Q6" s="74" t="s">
        <v>181</v>
      </c>
      <c r="R6" s="74"/>
      <c r="S6" s="74"/>
      <c r="T6" s="74"/>
      <c r="U6" s="74" t="str">
        <f t="shared" si="1"/>
        <v>t-dis-adm01-nic</v>
      </c>
      <c r="V6" s="74" t="b">
        <v>1</v>
      </c>
      <c r="W6" s="74" t="b">
        <v>1</v>
      </c>
      <c r="X6" s="74" t="s">
        <v>198</v>
      </c>
      <c r="Y6" s="74" t="s">
        <v>476</v>
      </c>
      <c r="Z6" s="74" t="s">
        <v>387</v>
      </c>
      <c r="AA6" s="74" t="b">
        <v>1</v>
      </c>
      <c r="AB6" s="74" t="s">
        <v>198</v>
      </c>
      <c r="AC6" s="74" t="s">
        <v>210</v>
      </c>
      <c r="AD6" s="74">
        <v>3</v>
      </c>
      <c r="AE6" s="74"/>
      <c r="AF6" s="74"/>
    </row>
    <row r="7" spans="1:32" x14ac:dyDescent="0.3">
      <c r="A7" s="97"/>
      <c r="B7" s="74" t="s">
        <v>182</v>
      </c>
      <c r="C7" s="74" t="str" cm="1">
        <f t="array" ref="C7">UPPER(INDEX(_xlfn.TEXTSPLIT($D7, "-"), 3))</f>
        <v>DIS</v>
      </c>
      <c r="D7" s="74" t="s">
        <v>286</v>
      </c>
      <c r="E7" s="74" t="s">
        <v>24</v>
      </c>
      <c r="F7" s="74" t="s">
        <v>501</v>
      </c>
      <c r="G7" s="74" t="s">
        <v>391</v>
      </c>
      <c r="H7" s="74" t="s">
        <v>179</v>
      </c>
      <c r="I7" s="74">
        <v>2</v>
      </c>
      <c r="J7" s="74">
        <v>8</v>
      </c>
      <c r="K7" s="74" t="s">
        <v>183</v>
      </c>
      <c r="L7" s="106" t="s">
        <v>563</v>
      </c>
      <c r="M7" s="74" t="s">
        <v>180</v>
      </c>
      <c r="N7" s="111" t="s">
        <v>611</v>
      </c>
      <c r="O7" s="74" t="str">
        <f>SUBSTITUTE(F7,"hazr-","")&amp;"-osdisk"</f>
        <v>t-dis-bbiweb01-osdisk</v>
      </c>
      <c r="P7" s="74">
        <v>64</v>
      </c>
      <c r="Q7" s="74" t="s">
        <v>181</v>
      </c>
      <c r="R7" s="74"/>
      <c r="S7" s="74"/>
      <c r="T7" s="74"/>
      <c r="U7" s="74" t="str">
        <f t="shared" si="1"/>
        <v>t-dis-bbiweb01-nic</v>
      </c>
      <c r="V7" s="74" t="b">
        <v>1</v>
      </c>
      <c r="W7" s="74" t="b">
        <v>1</v>
      </c>
      <c r="X7" s="74" t="s">
        <v>198</v>
      </c>
      <c r="Y7" s="74" t="s">
        <v>477</v>
      </c>
      <c r="Z7" s="74" t="s">
        <v>390</v>
      </c>
      <c r="AA7" s="74" t="b">
        <v>1</v>
      </c>
      <c r="AB7" s="74" t="s">
        <v>198</v>
      </c>
      <c r="AC7" s="74" t="s">
        <v>210</v>
      </c>
      <c r="AD7" s="74">
        <v>3</v>
      </c>
      <c r="AE7" s="74"/>
      <c r="AF7" s="74"/>
    </row>
    <row r="8" spans="1:32" x14ac:dyDescent="0.3">
      <c r="A8" s="97"/>
      <c r="B8" s="74" t="s">
        <v>182</v>
      </c>
      <c r="C8" s="74" t="str" cm="1">
        <f t="array" ref="C8">UPPER(INDEX(_xlfn.TEXTSPLIT($D8, "-"), 3))</f>
        <v>DIS</v>
      </c>
      <c r="D8" s="74" t="s">
        <v>286</v>
      </c>
      <c r="E8" s="74" t="s">
        <v>24</v>
      </c>
      <c r="F8" s="74" t="s">
        <v>502</v>
      </c>
      <c r="G8" s="74" t="s">
        <v>569</v>
      </c>
      <c r="H8" s="74" t="s">
        <v>179</v>
      </c>
      <c r="I8" s="74">
        <v>2</v>
      </c>
      <c r="J8" s="74">
        <v>8</v>
      </c>
      <c r="K8" s="74" t="s">
        <v>183</v>
      </c>
      <c r="L8" s="74" t="s">
        <v>563</v>
      </c>
      <c r="M8" s="74" t="s">
        <v>180</v>
      </c>
      <c r="N8" s="111" t="s">
        <v>612</v>
      </c>
      <c r="O8" s="74" t="str">
        <f t="shared" ref="O8:O37" si="2">SUBSTITUTE(F8,"hazr-","")&amp;"-osdisk"</f>
        <v>t-dis-bbicltap01-osdisk</v>
      </c>
      <c r="P8" s="74">
        <v>64</v>
      </c>
      <c r="Q8" s="74" t="s">
        <v>181</v>
      </c>
      <c r="R8" s="74"/>
      <c r="S8" s="74"/>
      <c r="T8" s="74"/>
      <c r="U8" s="74" t="str">
        <f t="shared" si="1"/>
        <v>t-dis-bbicltap01-nic</v>
      </c>
      <c r="V8" s="74" t="b">
        <v>1</v>
      </c>
      <c r="W8" s="74" t="b">
        <v>1</v>
      </c>
      <c r="X8" s="74" t="s">
        <v>198</v>
      </c>
      <c r="Y8" s="74" t="s">
        <v>476</v>
      </c>
      <c r="Z8" s="74" t="s">
        <v>387</v>
      </c>
      <c r="AA8" s="74" t="b">
        <v>1</v>
      </c>
      <c r="AB8" s="74" t="s">
        <v>198</v>
      </c>
      <c r="AC8" s="74" t="s">
        <v>210</v>
      </c>
      <c r="AD8" s="74">
        <v>3</v>
      </c>
      <c r="AE8" s="74"/>
      <c r="AF8" s="74"/>
    </row>
    <row r="9" spans="1:32" x14ac:dyDescent="0.3">
      <c r="A9" s="97"/>
      <c r="B9" s="74" t="s">
        <v>182</v>
      </c>
      <c r="C9" s="74" t="str" cm="1">
        <f t="array" ref="C9">UPPER(INDEX(_xlfn.TEXTSPLIT($D9, "-"), 3))</f>
        <v>DIS</v>
      </c>
      <c r="D9" s="74" t="s">
        <v>286</v>
      </c>
      <c r="E9" s="74" t="s">
        <v>24</v>
      </c>
      <c r="F9" s="74" t="s">
        <v>503</v>
      </c>
      <c r="G9" s="74" t="s">
        <v>392</v>
      </c>
      <c r="H9" s="74" t="s">
        <v>179</v>
      </c>
      <c r="I9" s="74">
        <v>2</v>
      </c>
      <c r="J9" s="74">
        <v>8</v>
      </c>
      <c r="K9" s="74" t="s">
        <v>183</v>
      </c>
      <c r="L9" s="106" t="s">
        <v>563</v>
      </c>
      <c r="M9" s="74" t="s">
        <v>180</v>
      </c>
      <c r="N9" s="111" t="s">
        <v>612</v>
      </c>
      <c r="O9" s="74" t="str">
        <f t="shared" si="2"/>
        <v>t-dis-bbimsgap01-osdisk</v>
      </c>
      <c r="P9" s="74">
        <v>64</v>
      </c>
      <c r="Q9" s="74" t="s">
        <v>181</v>
      </c>
      <c r="R9" s="74"/>
      <c r="S9" s="74"/>
      <c r="T9" s="74"/>
      <c r="U9" s="74" t="str">
        <f t="shared" si="1"/>
        <v>t-dis-bbimsgap01-nic</v>
      </c>
      <c r="V9" s="74" t="b">
        <v>1</v>
      </c>
      <c r="W9" s="74" t="b">
        <v>1</v>
      </c>
      <c r="X9" s="74" t="s">
        <v>198</v>
      </c>
      <c r="Y9" s="74" t="s">
        <v>476</v>
      </c>
      <c r="Z9" s="74" t="s">
        <v>387</v>
      </c>
      <c r="AA9" s="74" t="b">
        <v>1</v>
      </c>
      <c r="AB9" s="74" t="s">
        <v>198</v>
      </c>
      <c r="AC9" s="74" t="s">
        <v>210</v>
      </c>
      <c r="AD9" s="74">
        <v>3</v>
      </c>
      <c r="AE9" s="74"/>
      <c r="AF9" s="74"/>
    </row>
    <row r="10" spans="1:32" x14ac:dyDescent="0.3">
      <c r="A10" s="97"/>
      <c r="B10" s="74" t="s">
        <v>182</v>
      </c>
      <c r="C10" s="74" t="str" cm="1">
        <f t="array" ref="C10">UPPER(INDEX(_xlfn.TEXTSPLIT($D10, "-"), 3))</f>
        <v>DIS</v>
      </c>
      <c r="D10" s="74" t="s">
        <v>286</v>
      </c>
      <c r="E10" s="74" t="s">
        <v>24</v>
      </c>
      <c r="F10" s="74" t="s">
        <v>504</v>
      </c>
      <c r="G10" s="74" t="s">
        <v>478</v>
      </c>
      <c r="H10" s="74" t="s">
        <v>179</v>
      </c>
      <c r="I10" s="74">
        <v>2</v>
      </c>
      <c r="J10" s="74">
        <v>8</v>
      </c>
      <c r="K10" s="74" t="s">
        <v>183</v>
      </c>
      <c r="L10" s="106" t="s">
        <v>563</v>
      </c>
      <c r="M10" s="74" t="s">
        <v>180</v>
      </c>
      <c r="N10" s="111" t="s">
        <v>612</v>
      </c>
      <c r="O10" s="74" t="str">
        <f t="shared" si="2"/>
        <v>t-dis-bat01-osdisk</v>
      </c>
      <c r="P10" s="74">
        <v>64</v>
      </c>
      <c r="Q10" s="74" t="s">
        <v>181</v>
      </c>
      <c r="R10" s="74"/>
      <c r="S10" s="74"/>
      <c r="T10" s="74"/>
      <c r="U10" s="74" t="str">
        <f t="shared" si="1"/>
        <v>t-dis-bat01-nic</v>
      </c>
      <c r="V10" s="74" t="b">
        <v>1</v>
      </c>
      <c r="W10" s="74" t="b">
        <v>1</v>
      </c>
      <c r="X10" s="74" t="s">
        <v>198</v>
      </c>
      <c r="Y10" s="74" t="s">
        <v>476</v>
      </c>
      <c r="Z10" s="74" t="s">
        <v>387</v>
      </c>
      <c r="AA10" s="74" t="b">
        <v>1</v>
      </c>
      <c r="AB10" s="74" t="s">
        <v>198</v>
      </c>
      <c r="AC10" s="74" t="s">
        <v>210</v>
      </c>
      <c r="AD10" s="74">
        <v>3</v>
      </c>
      <c r="AE10" s="74"/>
      <c r="AF10" s="74"/>
    </row>
    <row r="11" spans="1:32" x14ac:dyDescent="0.3">
      <c r="A11" s="97"/>
      <c r="B11" s="74" t="s">
        <v>182</v>
      </c>
      <c r="C11" s="74" t="str" cm="1">
        <f t="array" ref="C11">UPPER(INDEX(_xlfn.TEXTSPLIT($D11, "-"), 3))</f>
        <v>DIS</v>
      </c>
      <c r="D11" s="74" t="s">
        <v>286</v>
      </c>
      <c r="E11" s="74" t="s">
        <v>24</v>
      </c>
      <c r="F11" s="74" t="s">
        <v>505</v>
      </c>
      <c r="G11" s="74" t="s">
        <v>393</v>
      </c>
      <c r="H11" s="74" t="s">
        <v>179</v>
      </c>
      <c r="I11" s="74">
        <v>2</v>
      </c>
      <c r="J11" s="74">
        <v>8</v>
      </c>
      <c r="K11" s="74" t="s">
        <v>183</v>
      </c>
      <c r="L11" s="74" t="s">
        <v>563</v>
      </c>
      <c r="M11" s="74" t="s">
        <v>180</v>
      </c>
      <c r="N11" s="111" t="s">
        <v>612</v>
      </c>
      <c r="O11" s="74" t="str">
        <f t="shared" si="2"/>
        <v>t-dis-drvcltap01-osdisk</v>
      </c>
      <c r="P11" s="74">
        <v>64</v>
      </c>
      <c r="Q11" s="74" t="s">
        <v>181</v>
      </c>
      <c r="R11" s="74"/>
      <c r="S11" s="74"/>
      <c r="T11" s="74"/>
      <c r="U11" s="74" t="str">
        <f t="shared" si="1"/>
        <v>t-dis-drvcltap01-nic</v>
      </c>
      <c r="V11" s="74" t="b">
        <v>1</v>
      </c>
      <c r="W11" s="74" t="b">
        <v>1</v>
      </c>
      <c r="X11" s="74" t="s">
        <v>198</v>
      </c>
      <c r="Y11" s="74" t="s">
        <v>476</v>
      </c>
      <c r="Z11" s="74" t="s">
        <v>387</v>
      </c>
      <c r="AA11" s="74" t="b">
        <v>1</v>
      </c>
      <c r="AB11" s="74" t="s">
        <v>198</v>
      </c>
      <c r="AC11" s="74" t="s">
        <v>210</v>
      </c>
      <c r="AD11" s="74">
        <v>3</v>
      </c>
      <c r="AE11" s="74"/>
      <c r="AF11" s="74"/>
    </row>
    <row r="12" spans="1:32" x14ac:dyDescent="0.3">
      <c r="A12" s="97"/>
      <c r="B12" s="74" t="s">
        <v>182</v>
      </c>
      <c r="C12" s="74" t="str" cm="1">
        <f t="array" ref="C12">UPPER(INDEX(_xlfn.TEXTSPLIT($D12, "-"), 3))</f>
        <v>DIS</v>
      </c>
      <c r="D12" s="74" t="s">
        <v>286</v>
      </c>
      <c r="E12" s="74" t="s">
        <v>24</v>
      </c>
      <c r="F12" s="74" t="s">
        <v>506</v>
      </c>
      <c r="G12" s="74" t="s">
        <v>479</v>
      </c>
      <c r="H12" s="74" t="s">
        <v>179</v>
      </c>
      <c r="I12" s="74">
        <v>2</v>
      </c>
      <c r="J12" s="74">
        <v>8</v>
      </c>
      <c r="K12" s="74" t="s">
        <v>183</v>
      </c>
      <c r="L12" s="74" t="s">
        <v>563</v>
      </c>
      <c r="M12" s="74" t="s">
        <v>180</v>
      </c>
      <c r="N12" s="111" t="s">
        <v>612</v>
      </c>
      <c r="O12" s="74" t="str">
        <f t="shared" si="2"/>
        <v>t-dis-drvmsgap01-osdisk</v>
      </c>
      <c r="P12" s="74">
        <v>64</v>
      </c>
      <c r="Q12" s="74" t="s">
        <v>181</v>
      </c>
      <c r="R12" s="74"/>
      <c r="S12" s="74"/>
      <c r="T12" s="74"/>
      <c r="U12" s="74" t="str">
        <f t="shared" si="1"/>
        <v>t-dis-drvmsgap01-nic</v>
      </c>
      <c r="V12" s="74" t="b">
        <v>1</v>
      </c>
      <c r="W12" s="74" t="b">
        <v>1</v>
      </c>
      <c r="X12" s="74" t="s">
        <v>198</v>
      </c>
      <c r="Y12" s="74" t="s">
        <v>476</v>
      </c>
      <c r="Z12" s="74" t="s">
        <v>387</v>
      </c>
      <c r="AA12" s="74" t="b">
        <v>1</v>
      </c>
      <c r="AB12" s="74" t="s">
        <v>198</v>
      </c>
      <c r="AC12" s="74" t="s">
        <v>210</v>
      </c>
      <c r="AD12" s="74">
        <v>3</v>
      </c>
      <c r="AE12" s="74"/>
      <c r="AF12" s="74"/>
    </row>
    <row r="13" spans="1:32" x14ac:dyDescent="0.3">
      <c r="A13" s="97"/>
      <c r="B13" s="74" t="s">
        <v>182</v>
      </c>
      <c r="C13" s="74" t="str" cm="1">
        <f t="array" ref="C13">UPPER(INDEX(_xlfn.TEXTSPLIT($D13, "-"), 3))</f>
        <v>DIS</v>
      </c>
      <c r="D13" s="74" t="s">
        <v>286</v>
      </c>
      <c r="E13" s="74" t="s">
        <v>24</v>
      </c>
      <c r="F13" s="74" t="s">
        <v>507</v>
      </c>
      <c r="G13" s="74" t="s">
        <v>480</v>
      </c>
      <c r="H13" s="74" t="s">
        <v>179</v>
      </c>
      <c r="I13" s="74">
        <v>2</v>
      </c>
      <c r="J13" s="74">
        <v>8</v>
      </c>
      <c r="K13" s="74" t="s">
        <v>183</v>
      </c>
      <c r="L13" s="106" t="s">
        <v>563</v>
      </c>
      <c r="M13" s="74" t="s">
        <v>180</v>
      </c>
      <c r="N13" s="111" t="s">
        <v>611</v>
      </c>
      <c r="O13" s="74" t="str">
        <f t="shared" si="2"/>
        <v>t-dis-web01-osdisk</v>
      </c>
      <c r="P13" s="74">
        <v>64</v>
      </c>
      <c r="Q13" s="74" t="s">
        <v>181</v>
      </c>
      <c r="R13" s="74"/>
      <c r="S13" s="74"/>
      <c r="T13" s="74"/>
      <c r="U13" s="74" t="str">
        <f t="shared" si="1"/>
        <v>t-dis-web01-nic</v>
      </c>
      <c r="V13" s="74" t="b">
        <v>1</v>
      </c>
      <c r="W13" s="74" t="b">
        <v>1</v>
      </c>
      <c r="X13" s="74" t="s">
        <v>198</v>
      </c>
      <c r="Y13" s="74" t="s">
        <v>477</v>
      </c>
      <c r="Z13" s="74" t="s">
        <v>390</v>
      </c>
      <c r="AA13" s="74" t="b">
        <v>1</v>
      </c>
      <c r="AB13" s="74" t="s">
        <v>198</v>
      </c>
      <c r="AC13" s="74" t="s">
        <v>210</v>
      </c>
      <c r="AD13" s="74">
        <v>3</v>
      </c>
      <c r="AE13" s="74"/>
      <c r="AF13" s="74"/>
    </row>
    <row r="14" spans="1:32" x14ac:dyDescent="0.3">
      <c r="A14" s="97"/>
      <c r="B14" s="74" t="s">
        <v>182</v>
      </c>
      <c r="C14" s="74" t="str" cm="1">
        <f t="array" ref="C14">UPPER(INDEX(_xlfn.TEXTSPLIT($D14, "-"), 3))</f>
        <v>DIS</v>
      </c>
      <c r="D14" s="74" t="s">
        <v>286</v>
      </c>
      <c r="E14" s="74" t="s">
        <v>24</v>
      </c>
      <c r="F14" s="74" t="s">
        <v>508</v>
      </c>
      <c r="G14" s="74" t="s">
        <v>394</v>
      </c>
      <c r="H14" s="74" t="s">
        <v>179</v>
      </c>
      <c r="I14" s="74">
        <v>2</v>
      </c>
      <c r="J14" s="74">
        <v>8</v>
      </c>
      <c r="K14" s="74" t="s">
        <v>183</v>
      </c>
      <c r="L14" s="74" t="s">
        <v>563</v>
      </c>
      <c r="M14" s="74" t="s">
        <v>180</v>
      </c>
      <c r="N14" s="111" t="s">
        <v>611</v>
      </c>
      <c r="O14" s="74" t="str">
        <f t="shared" si="2"/>
        <v>t-dis-cmsadm01-osdisk</v>
      </c>
      <c r="P14" s="74">
        <v>64</v>
      </c>
      <c r="Q14" s="74" t="s">
        <v>181</v>
      </c>
      <c r="R14" s="74"/>
      <c r="S14" s="74"/>
      <c r="T14" s="74"/>
      <c r="U14" s="74" t="str">
        <f t="shared" si="1"/>
        <v>t-dis-cmsadm01-nic</v>
      </c>
      <c r="V14" s="74" t="b">
        <v>1</v>
      </c>
      <c r="W14" s="74" t="b">
        <v>1</v>
      </c>
      <c r="X14" s="74" t="s">
        <v>198</v>
      </c>
      <c r="Y14" s="74" t="s">
        <v>476</v>
      </c>
      <c r="Z14" s="74" t="s">
        <v>387</v>
      </c>
      <c r="AA14" s="74" t="b">
        <v>1</v>
      </c>
      <c r="AB14" s="74" t="s">
        <v>198</v>
      </c>
      <c r="AC14" s="74" t="s">
        <v>210</v>
      </c>
      <c r="AD14" s="74">
        <v>3</v>
      </c>
      <c r="AE14" s="74"/>
      <c r="AF14" s="74"/>
    </row>
    <row r="15" spans="1:32" x14ac:dyDescent="0.3">
      <c r="A15" s="97"/>
      <c r="B15" s="74" t="s">
        <v>182</v>
      </c>
      <c r="C15" s="74" t="str" cm="1">
        <f t="array" ref="C15">UPPER(INDEX(_xlfn.TEXTSPLIT($D15, "-"), 3))</f>
        <v>DIS</v>
      </c>
      <c r="D15" s="74" t="s">
        <v>286</v>
      </c>
      <c r="E15" s="74" t="s">
        <v>24</v>
      </c>
      <c r="F15" s="74" t="s">
        <v>509</v>
      </c>
      <c r="G15" s="74" t="s">
        <v>395</v>
      </c>
      <c r="H15" s="74" t="s">
        <v>179</v>
      </c>
      <c r="I15" s="74">
        <v>2</v>
      </c>
      <c r="J15" s="74">
        <v>8</v>
      </c>
      <c r="K15" s="74" t="s">
        <v>183</v>
      </c>
      <c r="L15" s="106" t="s">
        <v>563</v>
      </c>
      <c r="M15" s="74" t="s">
        <v>180</v>
      </c>
      <c r="N15" s="111" t="s">
        <v>612</v>
      </c>
      <c r="O15" s="74" t="str">
        <f t="shared" si="2"/>
        <v>t-dis-cmsap01-osdisk</v>
      </c>
      <c r="P15" s="74">
        <v>64</v>
      </c>
      <c r="Q15" s="74" t="s">
        <v>181</v>
      </c>
      <c r="R15" s="74"/>
      <c r="S15" s="74"/>
      <c r="T15" s="74"/>
      <c r="U15" s="74" t="str">
        <f t="shared" si="1"/>
        <v>t-dis-cmsap01-nic</v>
      </c>
      <c r="V15" s="74" t="b">
        <v>1</v>
      </c>
      <c r="W15" s="74" t="b">
        <v>1</v>
      </c>
      <c r="X15" s="74" t="s">
        <v>198</v>
      </c>
      <c r="Y15" s="74" t="s">
        <v>476</v>
      </c>
      <c r="Z15" s="74" t="s">
        <v>387</v>
      </c>
      <c r="AA15" s="74" t="b">
        <v>1</v>
      </c>
      <c r="AB15" s="74" t="s">
        <v>198</v>
      </c>
      <c r="AC15" s="74" t="s">
        <v>210</v>
      </c>
      <c r="AD15" s="74">
        <v>3</v>
      </c>
      <c r="AE15" s="74"/>
      <c r="AF15" s="74"/>
    </row>
    <row r="16" spans="1:32" x14ac:dyDescent="0.3">
      <c r="A16" s="97"/>
      <c r="B16" s="74" t="s">
        <v>182</v>
      </c>
      <c r="C16" s="74" t="str" cm="1">
        <f t="array" ref="C16">UPPER(INDEX(_xlfn.TEXTSPLIT($D16, "-"), 3))</f>
        <v>DIS</v>
      </c>
      <c r="D16" s="74" t="s">
        <v>286</v>
      </c>
      <c r="E16" s="74" t="s">
        <v>24</v>
      </c>
      <c r="F16" s="74" t="s">
        <v>510</v>
      </c>
      <c r="G16" s="74" t="s">
        <v>396</v>
      </c>
      <c r="H16" s="74" t="s">
        <v>179</v>
      </c>
      <c r="I16" s="74">
        <v>2</v>
      </c>
      <c r="J16" s="74">
        <v>8</v>
      </c>
      <c r="K16" s="74" t="s">
        <v>183</v>
      </c>
      <c r="L16" s="74" t="s">
        <v>563</v>
      </c>
      <c r="M16" s="74" t="s">
        <v>180</v>
      </c>
      <c r="N16" s="111" t="s">
        <v>611</v>
      </c>
      <c r="O16" s="74" t="str">
        <f t="shared" si="2"/>
        <v>t-dis-cmsweb01-osdisk</v>
      </c>
      <c r="P16" s="74">
        <v>64</v>
      </c>
      <c r="Q16" s="74" t="s">
        <v>181</v>
      </c>
      <c r="R16" s="74"/>
      <c r="S16" s="74"/>
      <c r="T16" s="74"/>
      <c r="U16" s="74" t="str">
        <f t="shared" si="1"/>
        <v>t-dis-cmsweb01-nic</v>
      </c>
      <c r="V16" s="74" t="b">
        <v>1</v>
      </c>
      <c r="W16" s="74" t="b">
        <v>1</v>
      </c>
      <c r="X16" s="74" t="s">
        <v>198</v>
      </c>
      <c r="Y16" s="74" t="s">
        <v>477</v>
      </c>
      <c r="Z16" s="74" t="s">
        <v>390</v>
      </c>
      <c r="AA16" s="74" t="b">
        <v>1</v>
      </c>
      <c r="AB16" s="74" t="s">
        <v>198</v>
      </c>
      <c r="AC16" s="74" t="s">
        <v>210</v>
      </c>
      <c r="AD16" s="74">
        <v>3</v>
      </c>
      <c r="AE16" s="74"/>
      <c r="AF16" s="74"/>
    </row>
    <row r="17" spans="1:32" x14ac:dyDescent="0.3">
      <c r="A17" s="97"/>
      <c r="B17" s="74" t="s">
        <v>182</v>
      </c>
      <c r="C17" s="74" t="str" cm="1">
        <f t="array" ref="C17">UPPER(INDEX(_xlfn.TEXTSPLIT($D17, "-"), 3))</f>
        <v>DIS</v>
      </c>
      <c r="D17" s="74" t="s">
        <v>286</v>
      </c>
      <c r="E17" s="74" t="s">
        <v>24</v>
      </c>
      <c r="F17" s="74" t="s">
        <v>511</v>
      </c>
      <c r="G17" s="74" t="s">
        <v>397</v>
      </c>
      <c r="H17" s="74" t="s">
        <v>179</v>
      </c>
      <c r="I17" s="74">
        <v>2</v>
      </c>
      <c r="J17" s="74">
        <v>8</v>
      </c>
      <c r="K17" s="74" t="s">
        <v>183</v>
      </c>
      <c r="L17" s="106" t="s">
        <v>563</v>
      </c>
      <c r="M17" s="74" t="s">
        <v>180</v>
      </c>
      <c r="N17" s="111" t="s">
        <v>612</v>
      </c>
      <c r="O17" s="74" t="str">
        <f t="shared" si="2"/>
        <v>t-dis-cmbsap01-osdisk</v>
      </c>
      <c r="P17" s="74">
        <v>64</v>
      </c>
      <c r="Q17" s="74" t="s">
        <v>181</v>
      </c>
      <c r="R17" s="74"/>
      <c r="S17" s="74"/>
      <c r="T17" s="74"/>
      <c r="U17" s="74" t="str">
        <f t="shared" si="1"/>
        <v>t-dis-cmbsap01-nic</v>
      </c>
      <c r="V17" s="74" t="b">
        <v>1</v>
      </c>
      <c r="W17" s="74" t="b">
        <v>1</v>
      </c>
      <c r="X17" s="74" t="s">
        <v>198</v>
      </c>
      <c r="Y17" s="74" t="s">
        <v>476</v>
      </c>
      <c r="Z17" s="74" t="s">
        <v>387</v>
      </c>
      <c r="AA17" s="74" t="b">
        <v>1</v>
      </c>
      <c r="AB17" s="74" t="s">
        <v>198</v>
      </c>
      <c r="AC17" s="74" t="s">
        <v>210</v>
      </c>
      <c r="AD17" s="74">
        <v>3</v>
      </c>
      <c r="AE17" s="74"/>
      <c r="AF17" s="74"/>
    </row>
    <row r="18" spans="1:32" x14ac:dyDescent="0.3">
      <c r="A18" s="97"/>
      <c r="B18" s="74" t="s">
        <v>182</v>
      </c>
      <c r="C18" s="74" t="str" cm="1">
        <f t="array" ref="C18">UPPER(INDEX(_xlfn.TEXTSPLIT($D18, "-"), 3))</f>
        <v>DIS</v>
      </c>
      <c r="D18" s="74" t="s">
        <v>286</v>
      </c>
      <c r="E18" s="74" t="s">
        <v>24</v>
      </c>
      <c r="F18" s="74" t="s">
        <v>512</v>
      </c>
      <c r="G18" s="74" t="s">
        <v>481</v>
      </c>
      <c r="H18" s="74" t="s">
        <v>179</v>
      </c>
      <c r="I18" s="74">
        <v>2</v>
      </c>
      <c r="J18" s="74">
        <v>8</v>
      </c>
      <c r="K18" s="74" t="s">
        <v>183</v>
      </c>
      <c r="L18" s="74" t="s">
        <v>563</v>
      </c>
      <c r="M18" s="74" t="s">
        <v>564</v>
      </c>
      <c r="N18" s="111" t="s">
        <v>568</v>
      </c>
      <c r="O18" s="74" t="str">
        <f t="shared" si="2"/>
        <v>t-dis-dfir01-osdisk</v>
      </c>
      <c r="P18" s="74">
        <v>128</v>
      </c>
      <c r="Q18" s="74" t="s">
        <v>181</v>
      </c>
      <c r="R18" s="74"/>
      <c r="S18" s="74"/>
      <c r="T18" s="74"/>
      <c r="U18" s="74" t="str">
        <f t="shared" si="1"/>
        <v>t-dis-dfir01-nic</v>
      </c>
      <c r="V18" s="74" t="b">
        <v>1</v>
      </c>
      <c r="W18" s="74" t="b">
        <v>1</v>
      </c>
      <c r="X18" s="74" t="s">
        <v>198</v>
      </c>
      <c r="Y18" s="74" t="s">
        <v>476</v>
      </c>
      <c r="Z18" s="74" t="s">
        <v>387</v>
      </c>
      <c r="AA18" s="74" t="b">
        <v>1</v>
      </c>
      <c r="AB18" s="74" t="s">
        <v>198</v>
      </c>
      <c r="AC18" s="74" t="s">
        <v>210</v>
      </c>
      <c r="AD18" s="74">
        <v>3</v>
      </c>
      <c r="AE18" s="74"/>
      <c r="AF18" s="74"/>
    </row>
    <row r="19" spans="1:32" x14ac:dyDescent="0.3">
      <c r="A19" s="97"/>
      <c r="B19" s="74" t="s">
        <v>182</v>
      </c>
      <c r="C19" s="74" t="str" cm="1">
        <f t="array" ref="C19">UPPER(INDEX(_xlfn.TEXTSPLIT($D19, "-"), 3))</f>
        <v>DTG</v>
      </c>
      <c r="D19" s="74" t="s">
        <v>383</v>
      </c>
      <c r="E19" s="74" t="s">
        <v>24</v>
      </c>
      <c r="F19" s="74" t="s">
        <v>513</v>
      </c>
      <c r="G19" s="74" t="s">
        <v>399</v>
      </c>
      <c r="H19" s="74" t="s">
        <v>561</v>
      </c>
      <c r="I19" s="74">
        <v>2</v>
      </c>
      <c r="J19" s="74">
        <v>8</v>
      </c>
      <c r="K19" s="74" t="s">
        <v>183</v>
      </c>
      <c r="L19" s="106" t="s">
        <v>563</v>
      </c>
      <c r="M19" s="74" t="s">
        <v>180</v>
      </c>
      <c r="N19" s="111" t="s">
        <v>612</v>
      </c>
      <c r="O19" s="74" t="str">
        <f t="shared" si="2"/>
        <v>t-dtg-ingap01-osdisk</v>
      </c>
      <c r="P19" s="74">
        <v>64</v>
      </c>
      <c r="Q19" s="74" t="s">
        <v>181</v>
      </c>
      <c r="R19" s="74"/>
      <c r="S19" s="74"/>
      <c r="T19" s="74"/>
      <c r="U19" s="74" t="str">
        <f t="shared" si="1"/>
        <v>t-dtg-ingap01-nic</v>
      </c>
      <c r="V19" s="74" t="b">
        <v>1</v>
      </c>
      <c r="W19" s="74" t="b">
        <v>1</v>
      </c>
      <c r="X19" s="74" t="s">
        <v>198</v>
      </c>
      <c r="Y19" s="74" t="s">
        <v>476</v>
      </c>
      <c r="Z19" s="74" t="s">
        <v>398</v>
      </c>
      <c r="AA19" s="74" t="b">
        <v>1</v>
      </c>
      <c r="AB19" s="74" t="s">
        <v>198</v>
      </c>
      <c r="AC19" s="74" t="s">
        <v>210</v>
      </c>
      <c r="AD19" s="74">
        <v>3</v>
      </c>
      <c r="AE19" s="74"/>
      <c r="AF19" s="74"/>
    </row>
    <row r="20" spans="1:32" x14ac:dyDescent="0.3">
      <c r="A20" s="97"/>
      <c r="B20" s="74" t="s">
        <v>182</v>
      </c>
      <c r="C20" s="74" t="str" cm="1">
        <f t="array" ref="C20">UPPER(INDEX(_xlfn.TEXTSPLIT($D20, "-"), 3))</f>
        <v>DTG</v>
      </c>
      <c r="D20" s="74" t="s">
        <v>383</v>
      </c>
      <c r="E20" s="74" t="s">
        <v>24</v>
      </c>
      <c r="F20" s="74" t="s">
        <v>514</v>
      </c>
      <c r="G20" s="74" t="s">
        <v>400</v>
      </c>
      <c r="H20" s="74" t="s">
        <v>561</v>
      </c>
      <c r="I20" s="74">
        <v>2</v>
      </c>
      <c r="J20" s="74">
        <v>8</v>
      </c>
      <c r="K20" s="74" t="s">
        <v>183</v>
      </c>
      <c r="L20" s="74" t="s">
        <v>563</v>
      </c>
      <c r="M20" s="74" t="s">
        <v>180</v>
      </c>
      <c r="N20" s="111" t="s">
        <v>612</v>
      </c>
      <c r="O20" s="74" t="str">
        <f t="shared" si="2"/>
        <v>t-dtg-ap01-osdisk</v>
      </c>
      <c r="P20" s="74">
        <v>64</v>
      </c>
      <c r="Q20" s="74" t="s">
        <v>181</v>
      </c>
      <c r="R20" s="74"/>
      <c r="S20" s="74"/>
      <c r="T20" s="74"/>
      <c r="U20" s="74" t="str">
        <f t="shared" si="1"/>
        <v>t-dtg-ap01-nic</v>
      </c>
      <c r="V20" s="74" t="b">
        <v>1</v>
      </c>
      <c r="W20" s="74" t="b">
        <v>1</v>
      </c>
      <c r="X20" s="74" t="s">
        <v>198</v>
      </c>
      <c r="Y20" s="74" t="s">
        <v>476</v>
      </c>
      <c r="Z20" s="74" t="s">
        <v>398</v>
      </c>
      <c r="AA20" s="74" t="b">
        <v>1</v>
      </c>
      <c r="AB20" s="74" t="s">
        <v>198</v>
      </c>
      <c r="AC20" s="74" t="s">
        <v>210</v>
      </c>
      <c r="AD20" s="74">
        <v>3</v>
      </c>
      <c r="AE20" s="74"/>
      <c r="AF20" s="74"/>
    </row>
    <row r="21" spans="1:32" x14ac:dyDescent="0.3">
      <c r="A21" s="97"/>
      <c r="B21" s="74" t="s">
        <v>182</v>
      </c>
      <c r="C21" s="74" t="str" cm="1">
        <f t="array" ref="C21">UPPER(INDEX(_xlfn.TEXTSPLIT($D21, "-"), 3))</f>
        <v>DTG</v>
      </c>
      <c r="D21" s="74" t="s">
        <v>383</v>
      </c>
      <c r="E21" s="74" t="s">
        <v>24</v>
      </c>
      <c r="F21" s="74" t="s">
        <v>515</v>
      </c>
      <c r="G21" s="74" t="s">
        <v>401</v>
      </c>
      <c r="H21" s="74" t="s">
        <v>561</v>
      </c>
      <c r="I21" s="74">
        <v>2</v>
      </c>
      <c r="J21" s="74">
        <v>8</v>
      </c>
      <c r="K21" s="74" t="s">
        <v>183</v>
      </c>
      <c r="L21" s="106" t="s">
        <v>563</v>
      </c>
      <c r="M21" s="74" t="s">
        <v>180</v>
      </c>
      <c r="N21" s="111" t="s">
        <v>612</v>
      </c>
      <c r="O21" s="74" t="str">
        <f t="shared" si="2"/>
        <v>t-dtg-extgeoap01-osdisk</v>
      </c>
      <c r="P21" s="74">
        <v>64</v>
      </c>
      <c r="Q21" s="74" t="s">
        <v>181</v>
      </c>
      <c r="R21" s="74"/>
      <c r="S21" s="74"/>
      <c r="T21" s="74"/>
      <c r="U21" s="74" t="str">
        <f t="shared" si="1"/>
        <v>t-dtg-extgeoap01-nic</v>
      </c>
      <c r="V21" s="74" t="b">
        <v>1</v>
      </c>
      <c r="W21" s="74" t="b">
        <v>1</v>
      </c>
      <c r="X21" s="74" t="s">
        <v>198</v>
      </c>
      <c r="Y21" s="74" t="s">
        <v>476</v>
      </c>
      <c r="Z21" s="74" t="s">
        <v>398</v>
      </c>
      <c r="AA21" s="74" t="b">
        <v>1</v>
      </c>
      <c r="AB21" s="74" t="s">
        <v>198</v>
      </c>
      <c r="AC21" s="74" t="s">
        <v>210</v>
      </c>
      <c r="AD21" s="74">
        <v>3</v>
      </c>
      <c r="AE21" s="74"/>
      <c r="AF21" s="74"/>
    </row>
    <row r="22" spans="1:32" x14ac:dyDescent="0.3">
      <c r="A22" s="97"/>
      <c r="B22" s="74" t="s">
        <v>182</v>
      </c>
      <c r="C22" s="74" t="str" cm="1">
        <f t="array" ref="C22">UPPER(INDEX(_xlfn.TEXTSPLIT($D22, "-"), 3))</f>
        <v>DTG</v>
      </c>
      <c r="D22" s="74" t="s">
        <v>383</v>
      </c>
      <c r="E22" s="74" t="s">
        <v>24</v>
      </c>
      <c r="F22" s="74" t="s">
        <v>516</v>
      </c>
      <c r="G22" s="74" t="s">
        <v>402</v>
      </c>
      <c r="H22" s="74" t="s">
        <v>561</v>
      </c>
      <c r="I22" s="74">
        <v>2</v>
      </c>
      <c r="J22" s="74">
        <v>8</v>
      </c>
      <c r="K22" s="74" t="s">
        <v>183</v>
      </c>
      <c r="L22" s="74" t="s">
        <v>563</v>
      </c>
      <c r="M22" s="74" t="s">
        <v>180</v>
      </c>
      <c r="N22" s="111" t="s">
        <v>612</v>
      </c>
      <c r="O22" s="74" t="str">
        <f t="shared" si="2"/>
        <v>t-dtg-geoap01-osdisk</v>
      </c>
      <c r="P22" s="74">
        <v>64</v>
      </c>
      <c r="Q22" s="74" t="s">
        <v>181</v>
      </c>
      <c r="R22" s="74"/>
      <c r="S22" s="74"/>
      <c r="T22" s="74"/>
      <c r="U22" s="74" t="str">
        <f t="shared" si="1"/>
        <v>t-dtg-geoap01-nic</v>
      </c>
      <c r="V22" s="74" t="b">
        <v>1</v>
      </c>
      <c r="W22" s="74" t="b">
        <v>1</v>
      </c>
      <c r="X22" s="74" t="s">
        <v>198</v>
      </c>
      <c r="Y22" s="74" t="s">
        <v>476</v>
      </c>
      <c r="Z22" s="74" t="s">
        <v>398</v>
      </c>
      <c r="AA22" s="74" t="b">
        <v>1</v>
      </c>
      <c r="AB22" s="74" t="s">
        <v>198</v>
      </c>
      <c r="AC22" s="74" t="s">
        <v>210</v>
      </c>
      <c r="AD22" s="74">
        <v>3</v>
      </c>
      <c r="AE22" s="74"/>
      <c r="AF22" s="74"/>
    </row>
    <row r="23" spans="1:32" x14ac:dyDescent="0.3">
      <c r="A23" s="97"/>
      <c r="B23" s="74" t="s">
        <v>182</v>
      </c>
      <c r="C23" s="74" t="str" cm="1">
        <f t="array" ref="C23">UPPER(INDEX(_xlfn.TEXTSPLIT($D23, "-"), 3))</f>
        <v>DTG</v>
      </c>
      <c r="D23" s="74" t="s">
        <v>383</v>
      </c>
      <c r="E23" s="74" t="s">
        <v>24</v>
      </c>
      <c r="F23" s="74" t="s">
        <v>517</v>
      </c>
      <c r="G23" s="74" t="s">
        <v>404</v>
      </c>
      <c r="H23" s="74" t="s">
        <v>561</v>
      </c>
      <c r="I23" s="74">
        <v>2</v>
      </c>
      <c r="J23" s="74">
        <v>8</v>
      </c>
      <c r="K23" s="74" t="s">
        <v>183</v>
      </c>
      <c r="L23" s="106" t="s">
        <v>563</v>
      </c>
      <c r="M23" s="74" t="s">
        <v>180</v>
      </c>
      <c r="N23" s="111" t="s">
        <v>612</v>
      </c>
      <c r="O23" s="74" t="str">
        <f t="shared" si="2"/>
        <v>t-dtg-mq01-osdisk</v>
      </c>
      <c r="P23" s="74">
        <v>64</v>
      </c>
      <c r="Q23" s="74" t="s">
        <v>181</v>
      </c>
      <c r="R23" s="74"/>
      <c r="S23" s="74"/>
      <c r="T23" s="74"/>
      <c r="U23" s="74" t="str">
        <f t="shared" si="1"/>
        <v>t-dtg-mq01-nic</v>
      </c>
      <c r="V23" s="74" t="b">
        <v>1</v>
      </c>
      <c r="W23" s="74" t="b">
        <v>1</v>
      </c>
      <c r="X23" s="74" t="s">
        <v>198</v>
      </c>
      <c r="Y23" s="74" t="s">
        <v>477</v>
      </c>
      <c r="Z23" s="74" t="s">
        <v>403</v>
      </c>
      <c r="AA23" s="74" t="b">
        <v>1</v>
      </c>
      <c r="AB23" s="74" t="s">
        <v>198</v>
      </c>
      <c r="AC23" s="74" t="s">
        <v>210</v>
      </c>
      <c r="AD23" s="74">
        <v>3</v>
      </c>
      <c r="AE23" s="74"/>
      <c r="AF23" s="74"/>
    </row>
    <row r="24" spans="1:32" x14ac:dyDescent="0.3">
      <c r="A24" s="97"/>
      <c r="B24" s="74" t="s">
        <v>182</v>
      </c>
      <c r="C24" s="74" t="str" cm="1">
        <f t="array" ref="C24">UPPER(INDEX(_xlfn.TEXTSPLIT($D24, "-"), 3))</f>
        <v>DTG</v>
      </c>
      <c r="D24" s="74" t="s">
        <v>383</v>
      </c>
      <c r="E24" s="74" t="s">
        <v>24</v>
      </c>
      <c r="F24" s="74" t="s">
        <v>518</v>
      </c>
      <c r="G24" s="74" t="s">
        <v>405</v>
      </c>
      <c r="H24" s="74" t="s">
        <v>561</v>
      </c>
      <c r="I24" s="74">
        <v>2</v>
      </c>
      <c r="J24" s="74">
        <v>8</v>
      </c>
      <c r="K24" s="74" t="s">
        <v>183</v>
      </c>
      <c r="L24" s="74" t="s">
        <v>563</v>
      </c>
      <c r="M24" s="74" t="s">
        <v>180</v>
      </c>
      <c r="N24" s="111" t="s">
        <v>611</v>
      </c>
      <c r="O24" s="74" t="str">
        <f t="shared" si="2"/>
        <v>t-dtg-admweb01-osdisk</v>
      </c>
      <c r="P24" s="74">
        <v>64</v>
      </c>
      <c r="Q24" s="74" t="s">
        <v>181</v>
      </c>
      <c r="R24" s="74"/>
      <c r="S24" s="74"/>
      <c r="T24" s="74"/>
      <c r="U24" s="74" t="str">
        <f t="shared" si="1"/>
        <v>t-dtg-admweb01-nic</v>
      </c>
      <c r="V24" s="74" t="b">
        <v>1</v>
      </c>
      <c r="W24" s="74" t="b">
        <v>1</v>
      </c>
      <c r="X24" s="74" t="s">
        <v>198</v>
      </c>
      <c r="Y24" s="74" t="s">
        <v>476</v>
      </c>
      <c r="Z24" s="74" t="s">
        <v>398</v>
      </c>
      <c r="AA24" s="74" t="b">
        <v>1</v>
      </c>
      <c r="AB24" s="74" t="s">
        <v>198</v>
      </c>
      <c r="AC24" s="74" t="s">
        <v>210</v>
      </c>
      <c r="AD24" s="74">
        <v>3</v>
      </c>
      <c r="AE24" s="74"/>
      <c r="AF24" s="74"/>
    </row>
    <row r="25" spans="1:32" x14ac:dyDescent="0.3">
      <c r="A25" s="97"/>
      <c r="B25" s="74" t="s">
        <v>182</v>
      </c>
      <c r="C25" s="74" t="str" cm="1">
        <f t="array" ref="C25">UPPER(INDEX(_xlfn.TEXTSPLIT($D25, "-"), 3))</f>
        <v>DTG</v>
      </c>
      <c r="D25" s="74" t="s">
        <v>383</v>
      </c>
      <c r="E25" s="74" t="s">
        <v>24</v>
      </c>
      <c r="F25" s="74" t="s">
        <v>519</v>
      </c>
      <c r="G25" s="74" t="s">
        <v>406</v>
      </c>
      <c r="H25" s="74" t="s">
        <v>561</v>
      </c>
      <c r="I25" s="74">
        <v>2</v>
      </c>
      <c r="J25" s="74">
        <v>8</v>
      </c>
      <c r="K25" s="74" t="s">
        <v>183</v>
      </c>
      <c r="L25" s="106" t="s">
        <v>563</v>
      </c>
      <c r="M25" s="74" t="s">
        <v>180</v>
      </c>
      <c r="N25" s="111" t="s">
        <v>611</v>
      </c>
      <c r="O25" s="74" t="str">
        <f t="shared" si="2"/>
        <v>t-dtg-admap01-osdisk</v>
      </c>
      <c r="P25" s="74">
        <v>64</v>
      </c>
      <c r="Q25" s="74" t="s">
        <v>181</v>
      </c>
      <c r="R25" s="74"/>
      <c r="S25" s="74"/>
      <c r="T25" s="74"/>
      <c r="U25" s="74" t="str">
        <f t="shared" si="1"/>
        <v>t-dtg-admap01-nic</v>
      </c>
      <c r="V25" s="74" t="b">
        <v>1</v>
      </c>
      <c r="W25" s="74" t="b">
        <v>1</v>
      </c>
      <c r="X25" s="74" t="s">
        <v>198</v>
      </c>
      <c r="Y25" s="74" t="s">
        <v>476</v>
      </c>
      <c r="Z25" s="74" t="s">
        <v>398</v>
      </c>
      <c r="AA25" s="74" t="b">
        <v>1</v>
      </c>
      <c r="AB25" s="74" t="s">
        <v>198</v>
      </c>
      <c r="AC25" s="74" t="s">
        <v>210</v>
      </c>
      <c r="AD25" s="74">
        <v>3</v>
      </c>
      <c r="AE25" s="74"/>
      <c r="AF25" s="74"/>
    </row>
    <row r="26" spans="1:32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383</v>
      </c>
      <c r="E26" s="74" t="s">
        <v>24</v>
      </c>
      <c r="F26" s="74" t="s">
        <v>520</v>
      </c>
      <c r="G26" s="74" t="s">
        <v>482</v>
      </c>
      <c r="H26" s="74" t="s">
        <v>561</v>
      </c>
      <c r="I26" s="74">
        <v>2</v>
      </c>
      <c r="J26" s="74">
        <v>8</v>
      </c>
      <c r="K26" s="74" t="s">
        <v>183</v>
      </c>
      <c r="L26" s="74" t="s">
        <v>563</v>
      </c>
      <c r="M26" s="74" t="s">
        <v>180</v>
      </c>
      <c r="N26" s="111" t="s">
        <v>612</v>
      </c>
      <c r="O26" s="74" t="str">
        <f t="shared" si="2"/>
        <v>t-dtg-dtoms01-osdisk</v>
      </c>
      <c r="P26" s="74">
        <v>64</v>
      </c>
      <c r="Q26" s="74" t="s">
        <v>181</v>
      </c>
      <c r="R26" s="74"/>
      <c r="S26" s="74"/>
      <c r="T26" s="74"/>
      <c r="U26" s="74" t="str">
        <f t="shared" si="1"/>
        <v>t-dtg-dtoms01-nic</v>
      </c>
      <c r="V26" s="74" t="b">
        <v>1</v>
      </c>
      <c r="W26" s="74" t="b">
        <v>1</v>
      </c>
      <c r="X26" s="74" t="s">
        <v>198</v>
      </c>
      <c r="Y26" s="74" t="s">
        <v>476</v>
      </c>
      <c r="Z26" s="74" t="s">
        <v>398</v>
      </c>
      <c r="AA26" s="74" t="b">
        <v>1</v>
      </c>
      <c r="AB26" s="74" t="s">
        <v>198</v>
      </c>
      <c r="AC26" s="74" t="s">
        <v>210</v>
      </c>
      <c r="AD26" s="74">
        <v>3</v>
      </c>
      <c r="AE26" s="74"/>
      <c r="AF26" s="74"/>
    </row>
    <row r="27" spans="1:32" x14ac:dyDescent="0.3">
      <c r="A27" s="97"/>
      <c r="B27" s="74" t="s">
        <v>182</v>
      </c>
      <c r="C27" s="74" t="str" cm="1">
        <f t="array" ref="C27">UPPER(INDEX(_xlfn.TEXTSPLIT($D27, "-"), 3))</f>
        <v>DTG</v>
      </c>
      <c r="D27" s="74" t="s">
        <v>383</v>
      </c>
      <c r="E27" s="74" t="s">
        <v>24</v>
      </c>
      <c r="F27" s="74" t="s">
        <v>521</v>
      </c>
      <c r="G27" s="74" t="s">
        <v>484</v>
      </c>
      <c r="H27" s="74" t="s">
        <v>562</v>
      </c>
      <c r="I27" s="74">
        <v>4</v>
      </c>
      <c r="J27" s="74">
        <v>32</v>
      </c>
      <c r="K27" s="74" t="s">
        <v>183</v>
      </c>
      <c r="L27" s="106" t="s">
        <v>563</v>
      </c>
      <c r="M27" s="74" t="s">
        <v>180</v>
      </c>
      <c r="N27" s="111" t="s">
        <v>612</v>
      </c>
      <c r="O27" s="74" t="str">
        <f t="shared" si="2"/>
        <v>t-dtg-tsdb01-osdisk</v>
      </c>
      <c r="P27" s="74">
        <v>64</v>
      </c>
      <c r="Q27" s="74" t="s">
        <v>181</v>
      </c>
      <c r="R27" s="74"/>
      <c r="S27" s="74"/>
      <c r="T27" s="74"/>
      <c r="U27" s="74" t="str">
        <f t="shared" si="1"/>
        <v>t-dtg-tsdb01-nic</v>
      </c>
      <c r="V27" s="74" t="b">
        <v>1</v>
      </c>
      <c r="W27" s="74" t="b">
        <v>1</v>
      </c>
      <c r="X27" s="74" t="s">
        <v>198</v>
      </c>
      <c r="Y27" s="74" t="s">
        <v>476</v>
      </c>
      <c r="Z27" s="74" t="s">
        <v>483</v>
      </c>
      <c r="AA27" s="74" t="b">
        <v>1</v>
      </c>
      <c r="AB27" s="74" t="s">
        <v>198</v>
      </c>
      <c r="AC27" s="74" t="s">
        <v>210</v>
      </c>
      <c r="AD27" s="74">
        <v>3</v>
      </c>
      <c r="AE27" s="74"/>
      <c r="AF27" s="74"/>
    </row>
    <row r="28" spans="1:32" x14ac:dyDescent="0.3">
      <c r="A28" s="97"/>
      <c r="B28" s="74" t="s">
        <v>182</v>
      </c>
      <c r="C28" s="74" t="str" cm="1">
        <f t="array" ref="C28">UPPER(INDEX(_xlfn.TEXTSPLIT($D28, "-"), 3))</f>
        <v>DTG</v>
      </c>
      <c r="D28" s="74" t="s">
        <v>383</v>
      </c>
      <c r="E28" s="74" t="s">
        <v>24</v>
      </c>
      <c r="F28" s="74" t="s">
        <v>522</v>
      </c>
      <c r="G28" s="74" t="s">
        <v>407</v>
      </c>
      <c r="H28" s="74" t="s">
        <v>179</v>
      </c>
      <c r="I28" s="74">
        <v>2</v>
      </c>
      <c r="J28" s="74">
        <v>8</v>
      </c>
      <c r="K28" s="74" t="s">
        <v>183</v>
      </c>
      <c r="L28" s="74" t="s">
        <v>563</v>
      </c>
      <c r="M28" s="74" t="s">
        <v>180</v>
      </c>
      <c r="N28" s="111" t="s">
        <v>611</v>
      </c>
      <c r="O28" s="74" t="str">
        <f t="shared" si="2"/>
        <v>t-dtg-web01-osdisk</v>
      </c>
      <c r="P28" s="74">
        <v>64</v>
      </c>
      <c r="Q28" s="74" t="s">
        <v>181</v>
      </c>
      <c r="R28" s="74"/>
      <c r="S28" s="74"/>
      <c r="T28" s="74"/>
      <c r="U28" s="74" t="str">
        <f t="shared" si="1"/>
        <v>t-dtg-web01-nic</v>
      </c>
      <c r="V28" s="74" t="b">
        <v>1</v>
      </c>
      <c r="W28" s="74" t="b">
        <v>1</v>
      </c>
      <c r="X28" s="74" t="s">
        <v>198</v>
      </c>
      <c r="Y28" s="74" t="s">
        <v>477</v>
      </c>
      <c r="Z28" s="74" t="s">
        <v>403</v>
      </c>
      <c r="AA28" s="74" t="b">
        <v>1</v>
      </c>
      <c r="AB28" s="74" t="s">
        <v>198</v>
      </c>
      <c r="AC28" s="74" t="s">
        <v>210</v>
      </c>
      <c r="AD28" s="74">
        <v>3</v>
      </c>
      <c r="AE28" s="74"/>
      <c r="AF28" s="74"/>
    </row>
    <row r="29" spans="1:32" x14ac:dyDescent="0.3">
      <c r="A29" s="97"/>
      <c r="B29" s="74" t="s">
        <v>182</v>
      </c>
      <c r="C29" s="74" t="str" cm="1">
        <f t="array" ref="C29">UPPER(INDEX(_xlfn.TEXTSPLIT($D29, "-"), 3))</f>
        <v>DTG</v>
      </c>
      <c r="D29" s="74" t="s">
        <v>383</v>
      </c>
      <c r="E29" s="74" t="s">
        <v>24</v>
      </c>
      <c r="F29" s="74" t="s">
        <v>523</v>
      </c>
      <c r="G29" s="74" t="s">
        <v>485</v>
      </c>
      <c r="H29" s="74" t="s">
        <v>561</v>
      </c>
      <c r="I29" s="74">
        <v>2</v>
      </c>
      <c r="J29" s="74">
        <v>8</v>
      </c>
      <c r="K29" s="74" t="s">
        <v>183</v>
      </c>
      <c r="L29" s="106" t="s">
        <v>563</v>
      </c>
      <c r="M29" s="74" t="s">
        <v>180</v>
      </c>
      <c r="N29" s="111" t="s">
        <v>612</v>
      </c>
      <c r="O29" s="74" t="str">
        <f t="shared" si="2"/>
        <v>t-dtg-zkp01-osdisk</v>
      </c>
      <c r="P29" s="74">
        <v>64</v>
      </c>
      <c r="Q29" s="74" t="s">
        <v>181</v>
      </c>
      <c r="R29" s="74"/>
      <c r="S29" s="74"/>
      <c r="T29" s="74"/>
      <c r="U29" s="74" t="str">
        <f t="shared" si="1"/>
        <v>t-dtg-zkp01-nic</v>
      </c>
      <c r="V29" s="74" t="b">
        <v>1</v>
      </c>
      <c r="W29" s="74" t="b">
        <v>1</v>
      </c>
      <c r="X29" s="74" t="s">
        <v>198</v>
      </c>
      <c r="Y29" s="74" t="s">
        <v>476</v>
      </c>
      <c r="Z29" s="74" t="s">
        <v>398</v>
      </c>
      <c r="AA29" s="74" t="b">
        <v>1</v>
      </c>
      <c r="AB29" s="74" t="s">
        <v>198</v>
      </c>
      <c r="AC29" s="74" t="s">
        <v>210</v>
      </c>
      <c r="AD29" s="74">
        <v>3</v>
      </c>
      <c r="AE29" s="74"/>
      <c r="AF29" s="74"/>
    </row>
    <row r="30" spans="1:32" x14ac:dyDescent="0.3">
      <c r="A30" s="97"/>
      <c r="B30" s="74" t="s">
        <v>182</v>
      </c>
      <c r="C30" s="74" t="str" cm="1">
        <f t="array" ref="C30">UPPER(INDEX(_xlfn.TEXTSPLIT($D30, "-"), 3))</f>
        <v>DTG</v>
      </c>
      <c r="D30" s="74" t="s">
        <v>383</v>
      </c>
      <c r="E30" s="74" t="s">
        <v>24</v>
      </c>
      <c r="F30" s="74" t="s">
        <v>524</v>
      </c>
      <c r="G30" s="74" t="s">
        <v>486</v>
      </c>
      <c r="H30" s="74" t="s">
        <v>561</v>
      </c>
      <c r="I30" s="74">
        <v>2</v>
      </c>
      <c r="J30" s="74">
        <v>8</v>
      </c>
      <c r="K30" s="74" t="s">
        <v>183</v>
      </c>
      <c r="L30" s="74" t="s">
        <v>563</v>
      </c>
      <c r="M30" s="74" t="s">
        <v>180</v>
      </c>
      <c r="N30" s="111" t="s">
        <v>612</v>
      </c>
      <c r="O30" s="74" t="str">
        <f t="shared" si="2"/>
        <v>t-dtg-zkp02-osdisk</v>
      </c>
      <c r="P30" s="74">
        <v>64</v>
      </c>
      <c r="Q30" s="74" t="s">
        <v>181</v>
      </c>
      <c r="R30" s="74"/>
      <c r="S30" s="74"/>
      <c r="T30" s="74"/>
      <c r="U30" s="74" t="str">
        <f t="shared" si="1"/>
        <v>t-dtg-zkp02-nic</v>
      </c>
      <c r="V30" s="74" t="b">
        <v>1</v>
      </c>
      <c r="W30" s="74" t="b">
        <v>1</v>
      </c>
      <c r="X30" s="74" t="s">
        <v>198</v>
      </c>
      <c r="Y30" s="74" t="s">
        <v>476</v>
      </c>
      <c r="Z30" s="74" t="s">
        <v>398</v>
      </c>
      <c r="AA30" s="74" t="b">
        <v>1</v>
      </c>
      <c r="AB30" s="74" t="s">
        <v>198</v>
      </c>
      <c r="AC30" s="74" t="s">
        <v>210</v>
      </c>
      <c r="AD30" s="74">
        <v>3</v>
      </c>
      <c r="AE30" s="74"/>
      <c r="AF30" s="74"/>
    </row>
    <row r="31" spans="1:32" x14ac:dyDescent="0.3">
      <c r="A31" s="97"/>
      <c r="B31" s="74" t="s">
        <v>182</v>
      </c>
      <c r="C31" s="74" t="str" cm="1">
        <f t="array" ref="C31">UPPER(INDEX(_xlfn.TEXTSPLIT($D31, "-"), 3))</f>
        <v>DTG</v>
      </c>
      <c r="D31" s="74" t="s">
        <v>383</v>
      </c>
      <c r="E31" s="74" t="s">
        <v>24</v>
      </c>
      <c r="F31" s="74" t="s">
        <v>525</v>
      </c>
      <c r="G31" s="74" t="s">
        <v>487</v>
      </c>
      <c r="H31" s="74" t="s">
        <v>561</v>
      </c>
      <c r="I31" s="74">
        <v>2</v>
      </c>
      <c r="J31" s="74">
        <v>8</v>
      </c>
      <c r="K31" s="74" t="s">
        <v>183</v>
      </c>
      <c r="L31" s="106" t="s">
        <v>563</v>
      </c>
      <c r="M31" s="74" t="s">
        <v>180</v>
      </c>
      <c r="N31" s="111" t="s">
        <v>612</v>
      </c>
      <c r="O31" s="74" t="str">
        <f t="shared" si="2"/>
        <v>t-dtg-zkp03-osdisk</v>
      </c>
      <c r="P31" s="74">
        <v>64</v>
      </c>
      <c r="Q31" s="74" t="s">
        <v>181</v>
      </c>
      <c r="R31" s="74"/>
      <c r="S31" s="74"/>
      <c r="T31" s="74"/>
      <c r="U31" s="74" t="str">
        <f t="shared" si="1"/>
        <v>t-dtg-zkp03-nic</v>
      </c>
      <c r="V31" s="74" t="b">
        <v>1</v>
      </c>
      <c r="W31" s="74" t="b">
        <v>1</v>
      </c>
      <c r="X31" s="74" t="s">
        <v>198</v>
      </c>
      <c r="Y31" s="74" t="s">
        <v>476</v>
      </c>
      <c r="Z31" s="74" t="s">
        <v>398</v>
      </c>
      <c r="AA31" s="74" t="b">
        <v>1</v>
      </c>
      <c r="AB31" s="74" t="s">
        <v>198</v>
      </c>
      <c r="AC31" s="74" t="s">
        <v>210</v>
      </c>
      <c r="AD31" s="74">
        <v>3</v>
      </c>
      <c r="AE31" s="74"/>
      <c r="AF31" s="74"/>
    </row>
    <row r="32" spans="1:32" x14ac:dyDescent="0.3">
      <c r="A32" s="97"/>
      <c r="B32" s="74" t="s">
        <v>182</v>
      </c>
      <c r="C32" s="74" t="str" cm="1">
        <f t="array" ref="C32">UPPER(INDEX(_xlfn.TEXTSPLIT($D32, "-"), 3))</f>
        <v>DTG</v>
      </c>
      <c r="D32" s="74" t="s">
        <v>383</v>
      </c>
      <c r="E32" s="74" t="s">
        <v>24</v>
      </c>
      <c r="F32" s="74" t="s">
        <v>526</v>
      </c>
      <c r="G32" s="74" t="s">
        <v>488</v>
      </c>
      <c r="H32" s="74" t="s">
        <v>561</v>
      </c>
      <c r="I32" s="74">
        <v>2</v>
      </c>
      <c r="J32" s="74">
        <v>8</v>
      </c>
      <c r="K32" s="74" t="s">
        <v>183</v>
      </c>
      <c r="L32" s="74" t="s">
        <v>563</v>
      </c>
      <c r="M32" s="74" t="s">
        <v>180</v>
      </c>
      <c r="N32" s="111" t="s">
        <v>612</v>
      </c>
      <c r="O32" s="74" t="str">
        <f t="shared" si="2"/>
        <v>t-dtg-kfk01-osdisk</v>
      </c>
      <c r="P32" s="74">
        <v>64</v>
      </c>
      <c r="Q32" s="74" t="s">
        <v>181</v>
      </c>
      <c r="R32" s="74"/>
      <c r="S32" s="74"/>
      <c r="T32" s="74"/>
      <c r="U32" s="74" t="str">
        <f t="shared" si="1"/>
        <v>t-dtg-kfk01-nic</v>
      </c>
      <c r="V32" s="74" t="b">
        <v>1</v>
      </c>
      <c r="W32" s="74" t="b">
        <v>1</v>
      </c>
      <c r="X32" s="74" t="s">
        <v>198</v>
      </c>
      <c r="Y32" s="74" t="s">
        <v>476</v>
      </c>
      <c r="Z32" s="74" t="s">
        <v>398</v>
      </c>
      <c r="AA32" s="74" t="b">
        <v>1</v>
      </c>
      <c r="AB32" s="74" t="s">
        <v>198</v>
      </c>
      <c r="AC32" s="74" t="s">
        <v>210</v>
      </c>
      <c r="AD32" s="74">
        <v>3</v>
      </c>
      <c r="AE32" s="74"/>
      <c r="AF32" s="74"/>
    </row>
    <row r="33" spans="1:32" x14ac:dyDescent="0.3">
      <c r="A33" s="97"/>
      <c r="B33" s="74" t="s">
        <v>182</v>
      </c>
      <c r="C33" s="74" t="str" cm="1">
        <f t="array" ref="C33">UPPER(INDEX(_xlfn.TEXTSPLIT($D33, "-"), 3))</f>
        <v>DTG</v>
      </c>
      <c r="D33" s="74" t="s">
        <v>383</v>
      </c>
      <c r="E33" s="74" t="s">
        <v>24</v>
      </c>
      <c r="F33" s="74" t="s">
        <v>527</v>
      </c>
      <c r="G33" s="74" t="s">
        <v>489</v>
      </c>
      <c r="H33" s="74" t="s">
        <v>561</v>
      </c>
      <c r="I33" s="74">
        <v>2</v>
      </c>
      <c r="J33" s="74">
        <v>8</v>
      </c>
      <c r="K33" s="74" t="s">
        <v>183</v>
      </c>
      <c r="L33" s="106" t="s">
        <v>563</v>
      </c>
      <c r="M33" s="74" t="s">
        <v>180</v>
      </c>
      <c r="N33" s="111" t="s">
        <v>612</v>
      </c>
      <c r="O33" s="74" t="str">
        <f t="shared" si="2"/>
        <v>t-dtg-kfk02-osdisk</v>
      </c>
      <c r="P33" s="74">
        <v>64</v>
      </c>
      <c r="Q33" s="74" t="s">
        <v>181</v>
      </c>
      <c r="R33" s="74"/>
      <c r="S33" s="74"/>
      <c r="T33" s="74"/>
      <c r="U33" s="74" t="str">
        <f t="shared" si="1"/>
        <v>t-dtg-kfk02-nic</v>
      </c>
      <c r="V33" s="74" t="b">
        <v>1</v>
      </c>
      <c r="W33" s="74" t="b">
        <v>1</v>
      </c>
      <c r="X33" s="74" t="s">
        <v>198</v>
      </c>
      <c r="Y33" s="74" t="s">
        <v>476</v>
      </c>
      <c r="Z33" s="74" t="s">
        <v>398</v>
      </c>
      <c r="AA33" s="74" t="b">
        <v>1</v>
      </c>
      <c r="AB33" s="74" t="s">
        <v>198</v>
      </c>
      <c r="AC33" s="74" t="s">
        <v>210</v>
      </c>
      <c r="AD33" s="74">
        <v>3</v>
      </c>
      <c r="AE33" s="74"/>
      <c r="AF33" s="74"/>
    </row>
    <row r="34" spans="1:32" x14ac:dyDescent="0.3">
      <c r="A34" s="97"/>
      <c r="B34" s="74" t="s">
        <v>182</v>
      </c>
      <c r="C34" s="74" t="str" cm="1">
        <f t="array" ref="C34">UPPER(INDEX(_xlfn.TEXTSPLIT($D34, "-"), 3))</f>
        <v>DTG</v>
      </c>
      <c r="D34" s="74" t="s">
        <v>383</v>
      </c>
      <c r="E34" s="74" t="s">
        <v>24</v>
      </c>
      <c r="F34" s="74" t="s">
        <v>528</v>
      </c>
      <c r="G34" s="74" t="s">
        <v>490</v>
      </c>
      <c r="H34" s="74" t="s">
        <v>561</v>
      </c>
      <c r="I34" s="74">
        <v>2</v>
      </c>
      <c r="J34" s="74">
        <v>8</v>
      </c>
      <c r="K34" s="74" t="s">
        <v>183</v>
      </c>
      <c r="L34" s="74" t="s">
        <v>563</v>
      </c>
      <c r="M34" s="74" t="s">
        <v>180</v>
      </c>
      <c r="N34" s="111" t="s">
        <v>612</v>
      </c>
      <c r="O34" s="74" t="str">
        <f t="shared" si="2"/>
        <v>t-dtg-kfk03-osdisk</v>
      </c>
      <c r="P34" s="74">
        <v>64</v>
      </c>
      <c r="Q34" s="74" t="s">
        <v>181</v>
      </c>
      <c r="R34" s="74"/>
      <c r="S34" s="74"/>
      <c r="T34" s="74"/>
      <c r="U34" s="74" t="str">
        <f t="shared" si="1"/>
        <v>t-dtg-kfk03-nic</v>
      </c>
      <c r="V34" s="74" t="b">
        <v>1</v>
      </c>
      <c r="W34" s="74" t="b">
        <v>1</v>
      </c>
      <c r="X34" s="74" t="s">
        <v>198</v>
      </c>
      <c r="Y34" s="74" t="s">
        <v>476</v>
      </c>
      <c r="Z34" s="74" t="s">
        <v>398</v>
      </c>
      <c r="AA34" s="74" t="b">
        <v>1</v>
      </c>
      <c r="AB34" s="74" t="s">
        <v>198</v>
      </c>
      <c r="AC34" s="74" t="s">
        <v>210</v>
      </c>
      <c r="AD34" s="74">
        <v>3</v>
      </c>
      <c r="AE34" s="74"/>
      <c r="AF34" s="74"/>
    </row>
    <row r="35" spans="1:32" x14ac:dyDescent="0.3">
      <c r="A35" s="97"/>
      <c r="B35" s="74" t="s">
        <v>182</v>
      </c>
      <c r="C35" s="74" t="str" cm="1">
        <f t="array" ref="C35">UPPER(INDEX(_xlfn.TEXTSPLIT($D35, "-"), 3))</f>
        <v>DTG</v>
      </c>
      <c r="D35" s="74" t="s">
        <v>383</v>
      </c>
      <c r="E35" s="74" t="s">
        <v>24</v>
      </c>
      <c r="F35" s="74" t="s">
        <v>529</v>
      </c>
      <c r="G35" s="74" t="s">
        <v>491</v>
      </c>
      <c r="H35" s="74" t="s">
        <v>561</v>
      </c>
      <c r="I35" s="74">
        <v>2</v>
      </c>
      <c r="J35" s="74">
        <v>8</v>
      </c>
      <c r="K35" s="74" t="s">
        <v>183</v>
      </c>
      <c r="L35" s="106" t="s">
        <v>563</v>
      </c>
      <c r="M35" s="74" t="s">
        <v>180</v>
      </c>
      <c r="N35" s="111" t="s">
        <v>611</v>
      </c>
      <c r="O35" s="74" t="str">
        <f t="shared" si="2"/>
        <v>t-dtg-mdoms01-osdisk</v>
      </c>
      <c r="P35" s="74">
        <v>64</v>
      </c>
      <c r="Q35" s="74" t="s">
        <v>181</v>
      </c>
      <c r="R35" s="74"/>
      <c r="S35" s="74"/>
      <c r="T35" s="74"/>
      <c r="U35" s="74" t="str">
        <f t="shared" si="1"/>
        <v>t-dtg-mdoms01-nic</v>
      </c>
      <c r="V35" s="74" t="b">
        <v>1</v>
      </c>
      <c r="W35" s="74" t="b">
        <v>1</v>
      </c>
      <c r="X35" s="74" t="s">
        <v>198</v>
      </c>
      <c r="Y35" s="74" t="s">
        <v>476</v>
      </c>
      <c r="Z35" s="74" t="s">
        <v>398</v>
      </c>
      <c r="AA35" s="74" t="b">
        <v>1</v>
      </c>
      <c r="AB35" s="74" t="s">
        <v>198</v>
      </c>
      <c r="AC35" s="74" t="s">
        <v>210</v>
      </c>
      <c r="AD35" s="74">
        <v>3</v>
      </c>
      <c r="AE35" s="74"/>
      <c r="AF35" s="74"/>
    </row>
    <row r="36" spans="1:32" x14ac:dyDescent="0.3">
      <c r="A36" s="97"/>
      <c r="B36" s="74" t="s">
        <v>182</v>
      </c>
      <c r="C36" s="74" t="str" cm="1">
        <f t="array" ref="C36">UPPER(INDEX(_xlfn.TEXTSPLIT($D36, "-"), 3))</f>
        <v>DTG</v>
      </c>
      <c r="D36" s="74" t="s">
        <v>383</v>
      </c>
      <c r="E36" s="74" t="s">
        <v>24</v>
      </c>
      <c r="F36" s="74" t="s">
        <v>530</v>
      </c>
      <c r="G36" s="74" t="s">
        <v>408</v>
      </c>
      <c r="H36" s="74" t="s">
        <v>561</v>
      </c>
      <c r="I36" s="74">
        <v>2</v>
      </c>
      <c r="J36" s="74">
        <v>8</v>
      </c>
      <c r="K36" s="74" t="s">
        <v>183</v>
      </c>
      <c r="L36" s="74" t="s">
        <v>563</v>
      </c>
      <c r="M36" s="74" t="s">
        <v>180</v>
      </c>
      <c r="N36" s="111" t="s">
        <v>612</v>
      </c>
      <c r="O36" s="74" t="str">
        <f t="shared" si="2"/>
        <v>t-dtg-cdmlap01-osdisk</v>
      </c>
      <c r="P36" s="74">
        <v>64</v>
      </c>
      <c r="Q36" s="74" t="s">
        <v>181</v>
      </c>
      <c r="R36" s="74"/>
      <c r="S36" s="74"/>
      <c r="T36" s="74"/>
      <c r="U36" s="74" t="str">
        <f t="shared" si="1"/>
        <v>t-dtg-cdmlap01-nic</v>
      </c>
      <c r="V36" s="74" t="b">
        <v>1</v>
      </c>
      <c r="W36" s="74" t="b">
        <v>1</v>
      </c>
      <c r="X36" s="74" t="s">
        <v>198</v>
      </c>
      <c r="Y36" s="74" t="s">
        <v>476</v>
      </c>
      <c r="Z36" s="74" t="s">
        <v>398</v>
      </c>
      <c r="AA36" s="74" t="b">
        <v>1</v>
      </c>
      <c r="AB36" s="74" t="s">
        <v>198</v>
      </c>
      <c r="AC36" s="74" t="s">
        <v>210</v>
      </c>
      <c r="AD36" s="74">
        <v>3</v>
      </c>
      <c r="AE36" s="74"/>
      <c r="AF36" s="74"/>
    </row>
    <row r="37" spans="1:32" x14ac:dyDescent="0.3">
      <c r="A37" s="97"/>
      <c r="B37" s="74" t="s">
        <v>182</v>
      </c>
      <c r="C37" s="74" t="str" cm="1">
        <f t="array" ref="C37">UPPER(INDEX(_xlfn.TEXTSPLIT($D37, "-"), 3))</f>
        <v>DTG</v>
      </c>
      <c r="D37" s="74" t="s">
        <v>383</v>
      </c>
      <c r="E37" s="74" t="s">
        <v>24</v>
      </c>
      <c r="F37" s="74" t="s">
        <v>531</v>
      </c>
      <c r="G37" s="74" t="s">
        <v>409</v>
      </c>
      <c r="H37" s="74" t="s">
        <v>561</v>
      </c>
      <c r="I37" s="74">
        <v>2</v>
      </c>
      <c r="J37" s="74">
        <v>8</v>
      </c>
      <c r="K37" s="74" t="s">
        <v>183</v>
      </c>
      <c r="L37" s="106" t="s">
        <v>563</v>
      </c>
      <c r="M37" s="74" t="s">
        <v>180</v>
      </c>
      <c r="N37" s="111" t="s">
        <v>612</v>
      </c>
      <c r="O37" s="74" t="str">
        <f t="shared" si="2"/>
        <v>t-dtg-cdstap01-osdisk</v>
      </c>
      <c r="P37" s="74">
        <v>64</v>
      </c>
      <c r="Q37" s="74" t="s">
        <v>181</v>
      </c>
      <c r="R37" s="74"/>
      <c r="S37" s="74"/>
      <c r="T37" s="74"/>
      <c r="U37" s="74" t="str">
        <f t="shared" si="1"/>
        <v>t-dtg-cdstap01-nic</v>
      </c>
      <c r="V37" s="74" t="b">
        <v>1</v>
      </c>
      <c r="W37" s="74" t="b">
        <v>1</v>
      </c>
      <c r="X37" s="74" t="s">
        <v>198</v>
      </c>
      <c r="Y37" s="74" t="s">
        <v>476</v>
      </c>
      <c r="Z37" s="74" t="s">
        <v>398</v>
      </c>
      <c r="AA37" s="74" t="b">
        <v>1</v>
      </c>
      <c r="AB37" s="74" t="s">
        <v>198</v>
      </c>
      <c r="AC37" s="74" t="s">
        <v>210</v>
      </c>
      <c r="AD37" s="74">
        <v>3</v>
      </c>
      <c r="AE37" s="74"/>
      <c r="AF37" s="74"/>
    </row>
    <row r="38" spans="1:32" x14ac:dyDescent="0.3">
      <c r="A38" s="97"/>
      <c r="B38" s="74" t="s">
        <v>182</v>
      </c>
      <c r="C38" s="74" t="str" cm="1">
        <f t="array" ref="C38">UPPER(INDEX(_xlfn.TEXTSPLIT($D38, "-"), 3))</f>
        <v>DTG</v>
      </c>
      <c r="D38" s="74" t="s">
        <v>383</v>
      </c>
      <c r="E38" s="74" t="s">
        <v>24</v>
      </c>
      <c r="F38" s="74" t="s">
        <v>532</v>
      </c>
      <c r="G38" s="74" t="s">
        <v>410</v>
      </c>
      <c r="H38" s="74" t="s">
        <v>561</v>
      </c>
      <c r="I38" s="74">
        <v>2</v>
      </c>
      <c r="J38" s="74">
        <v>8</v>
      </c>
      <c r="K38" s="74" t="s">
        <v>183</v>
      </c>
      <c r="L38" s="74" t="s">
        <v>563</v>
      </c>
      <c r="M38" s="74" t="s">
        <v>180</v>
      </c>
      <c r="N38" s="111" t="s">
        <v>611</v>
      </c>
      <c r="O38" s="74" t="str">
        <f t="shared" ref="O38:O61" si="3">SUBSTITUTE(F38,"hazr-","")&amp;"-osdisk"</f>
        <v>t-dtg-cdsvadm01-osdisk</v>
      </c>
      <c r="P38" s="74">
        <v>64</v>
      </c>
      <c r="Q38" s="74" t="s">
        <v>181</v>
      </c>
      <c r="R38" s="74"/>
      <c r="S38" s="74"/>
      <c r="T38" s="74"/>
      <c r="U38" s="74" t="str">
        <f t="shared" si="1"/>
        <v>t-dtg-cdsvadm01-nic</v>
      </c>
      <c r="V38" s="74" t="b">
        <v>1</v>
      </c>
      <c r="W38" s="74" t="b">
        <v>1</v>
      </c>
      <c r="X38" s="74" t="s">
        <v>198</v>
      </c>
      <c r="Y38" s="74" t="s">
        <v>476</v>
      </c>
      <c r="Z38" s="74" t="s">
        <v>398</v>
      </c>
      <c r="AA38" s="74" t="b">
        <v>1</v>
      </c>
      <c r="AB38" s="74" t="s">
        <v>198</v>
      </c>
      <c r="AC38" s="74" t="s">
        <v>210</v>
      </c>
      <c r="AD38" s="74">
        <v>3</v>
      </c>
      <c r="AE38" s="74"/>
      <c r="AF38" s="74"/>
    </row>
    <row r="39" spans="1:32" x14ac:dyDescent="0.3">
      <c r="A39" s="97"/>
      <c r="B39" s="74" t="s">
        <v>182</v>
      </c>
      <c r="C39" s="74" t="str" cm="1">
        <f t="array" ref="C39">UPPER(INDEX(_xlfn.TEXTSPLIT($D39, "-"), 3))</f>
        <v>DTG</v>
      </c>
      <c r="D39" s="74" t="s">
        <v>383</v>
      </c>
      <c r="E39" s="74" t="s">
        <v>24</v>
      </c>
      <c r="F39" s="74" t="s">
        <v>533</v>
      </c>
      <c r="G39" s="74" t="s">
        <v>411</v>
      </c>
      <c r="H39" s="74" t="s">
        <v>561</v>
      </c>
      <c r="I39" s="74">
        <v>2</v>
      </c>
      <c r="J39" s="74">
        <v>8</v>
      </c>
      <c r="K39" s="74" t="s">
        <v>183</v>
      </c>
      <c r="L39" s="106" t="s">
        <v>563</v>
      </c>
      <c r="M39" s="74" t="s">
        <v>180</v>
      </c>
      <c r="N39" s="111" t="s">
        <v>612</v>
      </c>
      <c r="O39" s="74" t="str">
        <f t="shared" si="3"/>
        <v>t-dtg-diosap01-osdisk</v>
      </c>
      <c r="P39" s="74">
        <v>64</v>
      </c>
      <c r="Q39" s="74" t="s">
        <v>181</v>
      </c>
      <c r="R39" s="74"/>
      <c r="S39" s="74"/>
      <c r="T39" s="74"/>
      <c r="U39" s="74" t="str">
        <f t="shared" si="1"/>
        <v>t-dtg-diosap01-nic</v>
      </c>
      <c r="V39" s="74" t="b">
        <v>1</v>
      </c>
      <c r="W39" s="74" t="b">
        <v>1</v>
      </c>
      <c r="X39" s="74" t="s">
        <v>198</v>
      </c>
      <c r="Y39" s="74" t="s">
        <v>476</v>
      </c>
      <c r="Z39" s="74" t="s">
        <v>398</v>
      </c>
      <c r="AA39" s="74" t="b">
        <v>1</v>
      </c>
      <c r="AB39" s="74" t="s">
        <v>198</v>
      </c>
      <c r="AC39" s="74" t="s">
        <v>210</v>
      </c>
      <c r="AD39" s="74">
        <v>3</v>
      </c>
      <c r="AE39" s="74"/>
      <c r="AF39" s="74"/>
    </row>
    <row r="40" spans="1:32" x14ac:dyDescent="0.3">
      <c r="A40" s="97"/>
      <c r="B40" s="74" t="s">
        <v>182</v>
      </c>
      <c r="C40" s="74" t="str" cm="1">
        <f t="array" ref="C40">UPPER(INDEX(_xlfn.TEXTSPLIT($D40, "-"), 3))</f>
        <v>DTG</v>
      </c>
      <c r="D40" s="74" t="s">
        <v>383</v>
      </c>
      <c r="E40" s="74" t="s">
        <v>24</v>
      </c>
      <c r="F40" s="74" t="s">
        <v>534</v>
      </c>
      <c r="G40" s="74" t="s">
        <v>412</v>
      </c>
      <c r="H40" s="74" t="s">
        <v>561</v>
      </c>
      <c r="I40" s="74">
        <v>2</v>
      </c>
      <c r="J40" s="74">
        <v>8</v>
      </c>
      <c r="K40" s="74" t="s">
        <v>183</v>
      </c>
      <c r="L40" s="74" t="s">
        <v>563</v>
      </c>
      <c r="M40" s="74" t="s">
        <v>180</v>
      </c>
      <c r="N40" s="111" t="s">
        <v>611</v>
      </c>
      <c r="O40" s="74" t="str">
        <f t="shared" si="3"/>
        <v>t-dtg-diosweb01-osdisk</v>
      </c>
      <c r="P40" s="74">
        <v>64</v>
      </c>
      <c r="Q40" s="74" t="s">
        <v>181</v>
      </c>
      <c r="R40" s="74"/>
      <c r="S40" s="74"/>
      <c r="T40" s="74"/>
      <c r="U40" s="74" t="str">
        <f t="shared" si="1"/>
        <v>t-dtg-diosweb01-nic</v>
      </c>
      <c r="V40" s="74" t="b">
        <v>1</v>
      </c>
      <c r="W40" s="74" t="b">
        <v>1</v>
      </c>
      <c r="X40" s="74" t="s">
        <v>198</v>
      </c>
      <c r="Y40" s="74" t="s">
        <v>476</v>
      </c>
      <c r="Z40" s="74" t="s">
        <v>398</v>
      </c>
      <c r="AA40" s="74" t="b">
        <v>1</v>
      </c>
      <c r="AB40" s="74" t="s">
        <v>198</v>
      </c>
      <c r="AC40" s="74" t="s">
        <v>210</v>
      </c>
      <c r="AD40" s="74">
        <v>3</v>
      </c>
      <c r="AE40" s="74"/>
      <c r="AF40" s="74"/>
    </row>
    <row r="41" spans="1:32" x14ac:dyDescent="0.3">
      <c r="A41" s="97"/>
      <c r="B41" s="74" t="s">
        <v>182</v>
      </c>
      <c r="C41" s="74" t="str" cm="1">
        <f t="array" ref="C41">UPPER(INDEX(_xlfn.TEXTSPLIT($D41, "-"), 3))</f>
        <v>DTG</v>
      </c>
      <c r="D41" s="74" t="s">
        <v>383</v>
      </c>
      <c r="E41" s="74" t="s">
        <v>24</v>
      </c>
      <c r="F41" s="74" t="s">
        <v>535</v>
      </c>
      <c r="G41" s="74" t="s">
        <v>413</v>
      </c>
      <c r="H41" s="74" t="s">
        <v>561</v>
      </c>
      <c r="I41" s="74">
        <v>2</v>
      </c>
      <c r="J41" s="74">
        <v>8</v>
      </c>
      <c r="K41" s="74" t="s">
        <v>183</v>
      </c>
      <c r="L41" s="106" t="s">
        <v>563</v>
      </c>
      <c r="M41" s="74" t="s">
        <v>180</v>
      </c>
      <c r="N41" s="111" t="s">
        <v>611</v>
      </c>
      <c r="O41" s="74" t="str">
        <f t="shared" si="3"/>
        <v>t-dtg-dprweb01-osdisk</v>
      </c>
      <c r="P41" s="74">
        <v>64</v>
      </c>
      <c r="Q41" s="74" t="s">
        <v>181</v>
      </c>
      <c r="R41" s="74"/>
      <c r="S41" s="74"/>
      <c r="T41" s="74"/>
      <c r="U41" s="74" t="str">
        <f t="shared" si="1"/>
        <v>t-dtg-dprweb01-nic</v>
      </c>
      <c r="V41" s="74" t="b">
        <v>1</v>
      </c>
      <c r="W41" s="74" t="b">
        <v>1</v>
      </c>
      <c r="X41" s="74" t="s">
        <v>198</v>
      </c>
      <c r="Y41" s="74" t="s">
        <v>477</v>
      </c>
      <c r="Z41" s="74" t="s">
        <v>403</v>
      </c>
      <c r="AA41" s="74" t="b">
        <v>1</v>
      </c>
      <c r="AB41" s="74" t="s">
        <v>198</v>
      </c>
      <c r="AC41" s="74" t="s">
        <v>210</v>
      </c>
      <c r="AD41" s="74">
        <v>3</v>
      </c>
      <c r="AE41" s="74"/>
      <c r="AF41" s="74"/>
    </row>
    <row r="42" spans="1:32" x14ac:dyDescent="0.3">
      <c r="A42" s="97"/>
      <c r="B42" s="74" t="s">
        <v>182</v>
      </c>
      <c r="C42" s="74" t="str" cm="1">
        <f t="array" ref="C42">UPPER(INDEX(_xlfn.TEXTSPLIT($D42, "-"), 3))</f>
        <v>DTG</v>
      </c>
      <c r="D42" s="74" t="s">
        <v>383</v>
      </c>
      <c r="E42" s="74" t="s">
        <v>24</v>
      </c>
      <c r="F42" s="74" t="s">
        <v>536</v>
      </c>
      <c r="G42" s="74" t="s">
        <v>414</v>
      </c>
      <c r="H42" s="74" t="s">
        <v>561</v>
      </c>
      <c r="I42" s="74">
        <v>2</v>
      </c>
      <c r="J42" s="74">
        <v>8</v>
      </c>
      <c r="K42" s="74" t="s">
        <v>183</v>
      </c>
      <c r="L42" s="74" t="s">
        <v>563</v>
      </c>
      <c r="M42" s="74" t="s">
        <v>180</v>
      </c>
      <c r="N42" s="111" t="s">
        <v>612</v>
      </c>
      <c r="O42" s="74" t="str">
        <f t="shared" si="3"/>
        <v>t-dtg-dprap01-osdisk</v>
      </c>
      <c r="P42" s="74">
        <v>64</v>
      </c>
      <c r="Q42" s="74" t="s">
        <v>181</v>
      </c>
      <c r="R42" s="74"/>
      <c r="S42" s="74"/>
      <c r="T42" s="74"/>
      <c r="U42" s="74" t="str">
        <f t="shared" si="1"/>
        <v>t-dtg-dprap01-nic</v>
      </c>
      <c r="V42" s="74" t="b">
        <v>1</v>
      </c>
      <c r="W42" s="74" t="b">
        <v>1</v>
      </c>
      <c r="X42" s="74" t="s">
        <v>198</v>
      </c>
      <c r="Y42" s="74" t="s">
        <v>476</v>
      </c>
      <c r="Z42" s="74" t="s">
        <v>398</v>
      </c>
      <c r="AA42" s="74" t="b">
        <v>1</v>
      </c>
      <c r="AB42" s="74" t="s">
        <v>198</v>
      </c>
      <c r="AC42" s="74" t="s">
        <v>210</v>
      </c>
      <c r="AD42" s="74">
        <v>3</v>
      </c>
      <c r="AE42" s="74"/>
      <c r="AF42" s="74"/>
    </row>
    <row r="43" spans="1:32" x14ac:dyDescent="0.3">
      <c r="A43" s="97"/>
      <c r="B43" s="74" t="s">
        <v>182</v>
      </c>
      <c r="C43" s="74" t="str" cm="1">
        <f t="array" ref="C43">UPPER(INDEX(_xlfn.TEXTSPLIT($D43, "-"), 3))</f>
        <v>BDP</v>
      </c>
      <c r="D43" s="74" t="s">
        <v>384</v>
      </c>
      <c r="E43" s="74" t="s">
        <v>24</v>
      </c>
      <c r="F43" s="74" t="s">
        <v>537</v>
      </c>
      <c r="G43" s="74" t="s">
        <v>416</v>
      </c>
      <c r="H43" s="74" t="s">
        <v>561</v>
      </c>
      <c r="I43" s="74">
        <v>2</v>
      </c>
      <c r="J43" s="74">
        <v>8</v>
      </c>
      <c r="K43" s="74" t="s">
        <v>183</v>
      </c>
      <c r="L43" s="106" t="s">
        <v>563</v>
      </c>
      <c r="M43" s="74" t="s">
        <v>180</v>
      </c>
      <c r="N43" s="111" t="s">
        <v>611</v>
      </c>
      <c r="O43" s="74" t="str">
        <f t="shared" si="3"/>
        <v>t-bdp-airfw01-osdisk</v>
      </c>
      <c r="P43" s="74">
        <v>64</v>
      </c>
      <c r="Q43" s="74" t="s">
        <v>181</v>
      </c>
      <c r="R43" s="74"/>
      <c r="S43" s="74"/>
      <c r="T43" s="74"/>
      <c r="U43" s="74" t="str">
        <f t="shared" si="1"/>
        <v>t-bdp-airfw01-nic</v>
      </c>
      <c r="V43" s="74" t="b">
        <v>1</v>
      </c>
      <c r="W43" s="74" t="b">
        <v>1</v>
      </c>
      <c r="X43" s="74" t="s">
        <v>198</v>
      </c>
      <c r="Y43" s="74" t="s">
        <v>476</v>
      </c>
      <c r="Z43" s="74" t="s">
        <v>415</v>
      </c>
      <c r="AA43" s="74" t="b">
        <v>1</v>
      </c>
      <c r="AB43" s="74" t="s">
        <v>198</v>
      </c>
      <c r="AC43" s="74" t="s">
        <v>210</v>
      </c>
      <c r="AD43" s="74">
        <v>3</v>
      </c>
      <c r="AE43" s="74"/>
      <c r="AF43" s="74"/>
    </row>
    <row r="44" spans="1:32" x14ac:dyDescent="0.3">
      <c r="A44" s="97"/>
      <c r="B44" s="74" t="s">
        <v>182</v>
      </c>
      <c r="C44" s="74" t="str" cm="1">
        <f t="array" ref="C44">UPPER(INDEX(_xlfn.TEXTSPLIT($D44, "-"), 3))</f>
        <v>BDP</v>
      </c>
      <c r="D44" s="74" t="s">
        <v>384</v>
      </c>
      <c r="E44" s="74" t="s">
        <v>24</v>
      </c>
      <c r="F44" s="74" t="s">
        <v>538</v>
      </c>
      <c r="G44" s="74" t="s">
        <v>492</v>
      </c>
      <c r="H44" s="74" t="s">
        <v>561</v>
      </c>
      <c r="I44" s="74">
        <v>2</v>
      </c>
      <c r="J44" s="74">
        <v>8</v>
      </c>
      <c r="K44" s="74" t="s">
        <v>183</v>
      </c>
      <c r="L44" s="74" t="s">
        <v>563</v>
      </c>
      <c r="M44" s="74" t="s">
        <v>180</v>
      </c>
      <c r="N44" s="111" t="s">
        <v>611</v>
      </c>
      <c r="O44" s="74" t="str">
        <f t="shared" si="3"/>
        <v>t-bdp-kepler01-osdisk</v>
      </c>
      <c r="P44" s="74">
        <v>64</v>
      </c>
      <c r="Q44" s="74" t="s">
        <v>181</v>
      </c>
      <c r="R44" s="74"/>
      <c r="S44" s="74"/>
      <c r="T44" s="74"/>
      <c r="U44" s="74" t="str">
        <f t="shared" si="1"/>
        <v>t-bdp-kepler01-nic</v>
      </c>
      <c r="V44" s="74" t="b">
        <v>1</v>
      </c>
      <c r="W44" s="74" t="b">
        <v>1</v>
      </c>
      <c r="X44" s="74" t="s">
        <v>198</v>
      </c>
      <c r="Y44" s="74" t="s">
        <v>476</v>
      </c>
      <c r="Z44" s="74" t="s">
        <v>415</v>
      </c>
      <c r="AA44" s="74" t="b">
        <v>1</v>
      </c>
      <c r="AB44" s="74" t="s">
        <v>198</v>
      </c>
      <c r="AC44" s="74" t="s">
        <v>210</v>
      </c>
      <c r="AD44" s="74">
        <v>3</v>
      </c>
      <c r="AE44" s="74"/>
      <c r="AF44" s="74"/>
    </row>
    <row r="45" spans="1:32" x14ac:dyDescent="0.3">
      <c r="A45" s="97"/>
      <c r="B45" s="74" t="s">
        <v>182</v>
      </c>
      <c r="C45" s="74" t="str" cm="1">
        <f t="array" ref="C45">UPPER(INDEX(_xlfn.TEXTSPLIT($D45, "-"), 3))</f>
        <v>BDP</v>
      </c>
      <c r="D45" s="74" t="s">
        <v>384</v>
      </c>
      <c r="E45" s="74" t="s">
        <v>24</v>
      </c>
      <c r="F45" s="74" t="s">
        <v>539</v>
      </c>
      <c r="G45" s="74" t="s">
        <v>417</v>
      </c>
      <c r="H45" s="74" t="s">
        <v>561</v>
      </c>
      <c r="I45" s="74">
        <v>2</v>
      </c>
      <c r="J45" s="74">
        <v>8</v>
      </c>
      <c r="K45" s="74" t="s">
        <v>183</v>
      </c>
      <c r="L45" s="106" t="s">
        <v>563</v>
      </c>
      <c r="M45" s="74" t="s">
        <v>180</v>
      </c>
      <c r="N45" s="111" t="s">
        <v>611</v>
      </c>
      <c r="O45" s="74" t="str">
        <f t="shared" si="3"/>
        <v>t-bdp-cxmadm01-osdisk</v>
      </c>
      <c r="P45" s="74">
        <v>64</v>
      </c>
      <c r="Q45" s="74" t="s">
        <v>181</v>
      </c>
      <c r="R45" s="74"/>
      <c r="S45" s="74"/>
      <c r="T45" s="74"/>
      <c r="U45" s="74" t="str">
        <f t="shared" si="1"/>
        <v>t-bdp-cxmadm01-nic</v>
      </c>
      <c r="V45" s="74" t="b">
        <v>1</v>
      </c>
      <c r="W45" s="74" t="b">
        <v>1</v>
      </c>
      <c r="X45" s="74" t="s">
        <v>198</v>
      </c>
      <c r="Y45" s="74" t="s">
        <v>476</v>
      </c>
      <c r="Z45" s="74" t="s">
        <v>415</v>
      </c>
      <c r="AA45" s="74" t="b">
        <v>1</v>
      </c>
      <c r="AB45" s="74" t="s">
        <v>198</v>
      </c>
      <c r="AC45" s="74" t="s">
        <v>210</v>
      </c>
      <c r="AD45" s="74">
        <v>3</v>
      </c>
      <c r="AE45" s="74"/>
      <c r="AF45" s="74"/>
    </row>
    <row r="46" spans="1:32" x14ac:dyDescent="0.3">
      <c r="A46" s="97"/>
      <c r="B46" s="74" t="s">
        <v>182</v>
      </c>
      <c r="C46" s="74" t="str" cm="1">
        <f t="array" ref="C46">UPPER(INDEX(_xlfn.TEXTSPLIT($D46, "-"), 3))</f>
        <v>BDP</v>
      </c>
      <c r="D46" s="74" t="s">
        <v>384</v>
      </c>
      <c r="E46" s="74" t="s">
        <v>24</v>
      </c>
      <c r="F46" s="74" t="s">
        <v>540</v>
      </c>
      <c r="G46" s="74" t="s">
        <v>418</v>
      </c>
      <c r="H46" s="74" t="s">
        <v>561</v>
      </c>
      <c r="I46" s="74">
        <v>2</v>
      </c>
      <c r="J46" s="74">
        <v>8</v>
      </c>
      <c r="K46" s="74" t="s">
        <v>183</v>
      </c>
      <c r="L46" s="74" t="s">
        <v>563</v>
      </c>
      <c r="M46" s="74" t="s">
        <v>180</v>
      </c>
      <c r="N46" s="111" t="s">
        <v>611</v>
      </c>
      <c r="O46" s="74" t="str">
        <f t="shared" si="3"/>
        <v>t-bdp-slap01-osdisk</v>
      </c>
      <c r="P46" s="74">
        <v>64</v>
      </c>
      <c r="Q46" s="74" t="s">
        <v>181</v>
      </c>
      <c r="R46" s="74"/>
      <c r="S46" s="74"/>
      <c r="T46" s="74"/>
      <c r="U46" s="74" t="str">
        <f t="shared" si="1"/>
        <v>t-bdp-slap01-nic</v>
      </c>
      <c r="V46" s="74" t="b">
        <v>1</v>
      </c>
      <c r="W46" s="74" t="b">
        <v>1</v>
      </c>
      <c r="X46" s="74" t="s">
        <v>198</v>
      </c>
      <c r="Y46" s="74" t="s">
        <v>476</v>
      </c>
      <c r="Z46" s="74" t="s">
        <v>415</v>
      </c>
      <c r="AA46" s="74" t="b">
        <v>1</v>
      </c>
      <c r="AB46" s="74" t="s">
        <v>198</v>
      </c>
      <c r="AC46" s="74" t="s">
        <v>210</v>
      </c>
      <c r="AD46" s="74">
        <v>3</v>
      </c>
      <c r="AE46" s="74"/>
      <c r="AF46" s="74"/>
    </row>
    <row r="47" spans="1:32" x14ac:dyDescent="0.3">
      <c r="A47" s="97"/>
      <c r="B47" s="74" t="s">
        <v>182</v>
      </c>
      <c r="C47" s="74" t="str" cm="1">
        <f t="array" ref="C47">UPPER(INDEX(_xlfn.TEXTSPLIT($D47, "-"), 3))</f>
        <v>DIP</v>
      </c>
      <c r="D47" s="74" t="s">
        <v>385</v>
      </c>
      <c r="E47" s="74" t="s">
        <v>24</v>
      </c>
      <c r="F47" s="74" t="s">
        <v>541</v>
      </c>
      <c r="G47" s="74" t="s">
        <v>420</v>
      </c>
      <c r="H47" s="74" t="s">
        <v>561</v>
      </c>
      <c r="I47" s="74">
        <v>2</v>
      </c>
      <c r="J47" s="74">
        <v>8</v>
      </c>
      <c r="K47" s="74" t="s">
        <v>183</v>
      </c>
      <c r="L47" s="106" t="s">
        <v>563</v>
      </c>
      <c r="M47" s="74" t="s">
        <v>180</v>
      </c>
      <c r="N47" s="111" t="s">
        <v>611</v>
      </c>
      <c r="O47" s="74" t="str">
        <f t="shared" si="3"/>
        <v>t-dip-adm01-osdisk</v>
      </c>
      <c r="P47" s="74">
        <v>64</v>
      </c>
      <c r="Q47" s="74" t="s">
        <v>181</v>
      </c>
      <c r="R47" s="74"/>
      <c r="S47" s="74"/>
      <c r="T47" s="74"/>
      <c r="U47" s="74" t="str">
        <f t="shared" si="1"/>
        <v>t-dip-adm01-nic</v>
      </c>
      <c r="V47" s="74" t="b">
        <v>1</v>
      </c>
      <c r="W47" s="74" t="b">
        <v>1</v>
      </c>
      <c r="X47" s="74" t="s">
        <v>198</v>
      </c>
      <c r="Y47" s="74" t="s">
        <v>476</v>
      </c>
      <c r="Z47" s="74" t="s">
        <v>419</v>
      </c>
      <c r="AA47" s="74" t="b">
        <v>1</v>
      </c>
      <c r="AB47" s="74" t="s">
        <v>198</v>
      </c>
      <c r="AC47" s="74" t="s">
        <v>210</v>
      </c>
      <c r="AD47" s="74">
        <v>3</v>
      </c>
      <c r="AE47" s="74"/>
      <c r="AF47" s="74"/>
    </row>
    <row r="48" spans="1:32" x14ac:dyDescent="0.3">
      <c r="A48" s="97"/>
      <c r="B48" s="74" t="s">
        <v>182</v>
      </c>
      <c r="C48" s="74" t="str" cm="1">
        <f t="array" ref="C48">UPPER(INDEX(_xlfn.TEXTSPLIT($D48, "-"), 3))</f>
        <v>DIP</v>
      </c>
      <c r="D48" s="74" t="s">
        <v>385</v>
      </c>
      <c r="E48" s="74" t="s">
        <v>24</v>
      </c>
      <c r="F48" s="74" t="s">
        <v>542</v>
      </c>
      <c r="G48" s="74" t="s">
        <v>421</v>
      </c>
      <c r="H48" s="74" t="s">
        <v>561</v>
      </c>
      <c r="I48" s="74">
        <v>2</v>
      </c>
      <c r="J48" s="74">
        <v>8</v>
      </c>
      <c r="K48" s="74" t="s">
        <v>183</v>
      </c>
      <c r="L48" s="74" t="s">
        <v>563</v>
      </c>
      <c r="M48" s="74" t="s">
        <v>180</v>
      </c>
      <c r="N48" s="111" t="s">
        <v>611</v>
      </c>
      <c r="O48" s="74" t="str">
        <f t="shared" si="3"/>
        <v>t-dip-ap01-osdisk</v>
      </c>
      <c r="P48" s="74">
        <v>64</v>
      </c>
      <c r="Q48" s="74" t="s">
        <v>181</v>
      </c>
      <c r="R48" s="74"/>
      <c r="S48" s="74"/>
      <c r="T48" s="74"/>
      <c r="U48" s="74" t="str">
        <f t="shared" si="1"/>
        <v>t-dip-ap01-nic</v>
      </c>
      <c r="V48" s="74" t="b">
        <v>1</v>
      </c>
      <c r="W48" s="74" t="b">
        <v>1</v>
      </c>
      <c r="X48" s="74" t="s">
        <v>198</v>
      </c>
      <c r="Y48" s="74" t="s">
        <v>476</v>
      </c>
      <c r="Z48" s="74" t="s">
        <v>419</v>
      </c>
      <c r="AA48" s="74" t="b">
        <v>1</v>
      </c>
      <c r="AB48" s="74" t="s">
        <v>198</v>
      </c>
      <c r="AC48" s="74" t="s">
        <v>210</v>
      </c>
      <c r="AD48" s="74">
        <v>3</v>
      </c>
      <c r="AE48" s="74"/>
      <c r="AF48" s="74"/>
    </row>
    <row r="49" spans="1:32" x14ac:dyDescent="0.3">
      <c r="A49" s="97"/>
      <c r="B49" s="74" t="s">
        <v>182</v>
      </c>
      <c r="C49" s="74" t="str" cm="1">
        <f t="array" ref="C49">UPPER(INDEX(_xlfn.TEXTSPLIT($D49, "-"), 3))</f>
        <v>DIP</v>
      </c>
      <c r="D49" s="74" t="s">
        <v>385</v>
      </c>
      <c r="E49" s="74" t="s">
        <v>24</v>
      </c>
      <c r="F49" s="74" t="s">
        <v>543</v>
      </c>
      <c r="G49" s="74" t="s">
        <v>422</v>
      </c>
      <c r="H49" s="74" t="s">
        <v>561</v>
      </c>
      <c r="I49" s="74">
        <v>2</v>
      </c>
      <c r="J49" s="74">
        <v>8</v>
      </c>
      <c r="K49" s="74" t="s">
        <v>183</v>
      </c>
      <c r="L49" s="106" t="s">
        <v>563</v>
      </c>
      <c r="M49" s="74" t="s">
        <v>180</v>
      </c>
      <c r="N49" s="111" t="s">
        <v>612</v>
      </c>
      <c r="O49" s="74" t="str">
        <f t="shared" si="3"/>
        <v>t-dip-flk01-osdisk</v>
      </c>
      <c r="P49" s="74">
        <v>64</v>
      </c>
      <c r="Q49" s="74" t="s">
        <v>181</v>
      </c>
      <c r="R49" s="74"/>
      <c r="S49" s="74"/>
      <c r="T49" s="74"/>
      <c r="U49" s="74" t="str">
        <f t="shared" si="1"/>
        <v>t-dip-flk01-nic</v>
      </c>
      <c r="V49" s="74" t="b">
        <v>1</v>
      </c>
      <c r="W49" s="74" t="b">
        <v>1</v>
      </c>
      <c r="X49" s="74" t="s">
        <v>198</v>
      </c>
      <c r="Y49" s="74" t="s">
        <v>476</v>
      </c>
      <c r="Z49" s="74" t="s">
        <v>419</v>
      </c>
      <c r="AA49" s="74" t="b">
        <v>1</v>
      </c>
      <c r="AB49" s="74" t="s">
        <v>198</v>
      </c>
      <c r="AC49" s="74" t="s">
        <v>210</v>
      </c>
      <c r="AD49" s="74">
        <v>3</v>
      </c>
      <c r="AE49" s="74"/>
      <c r="AF49" s="74"/>
    </row>
    <row r="50" spans="1:32" x14ac:dyDescent="0.3">
      <c r="A50" s="97"/>
      <c r="B50" s="74" t="s">
        <v>182</v>
      </c>
      <c r="C50" s="74" t="str" cm="1">
        <f t="array" ref="C50">UPPER(INDEX(_xlfn.TEXTSPLIT($D50, "-"), 3))</f>
        <v>DIP</v>
      </c>
      <c r="D50" s="74" t="s">
        <v>385</v>
      </c>
      <c r="E50" s="74" t="s">
        <v>24</v>
      </c>
      <c r="F50" s="74" t="s">
        <v>544</v>
      </c>
      <c r="G50" s="74" t="s">
        <v>423</v>
      </c>
      <c r="H50" s="74" t="s">
        <v>561</v>
      </c>
      <c r="I50" s="74">
        <v>2</v>
      </c>
      <c r="J50" s="74">
        <v>8</v>
      </c>
      <c r="K50" s="74" t="s">
        <v>183</v>
      </c>
      <c r="L50" s="74" t="s">
        <v>563</v>
      </c>
      <c r="M50" s="74" t="s">
        <v>180</v>
      </c>
      <c r="N50" s="111" t="s">
        <v>612</v>
      </c>
      <c r="O50" s="74" t="str">
        <f t="shared" si="3"/>
        <v>t-dip-flk02-osdisk</v>
      </c>
      <c r="P50" s="74">
        <v>64</v>
      </c>
      <c r="Q50" s="74" t="s">
        <v>181</v>
      </c>
      <c r="R50" s="74"/>
      <c r="S50" s="74"/>
      <c r="T50" s="74"/>
      <c r="U50" s="74" t="str">
        <f t="shared" si="1"/>
        <v>t-dip-flk02-nic</v>
      </c>
      <c r="V50" s="74" t="b">
        <v>1</v>
      </c>
      <c r="W50" s="74" t="b">
        <v>1</v>
      </c>
      <c r="X50" s="74" t="s">
        <v>198</v>
      </c>
      <c r="Y50" s="74" t="s">
        <v>476</v>
      </c>
      <c r="Z50" s="74" t="s">
        <v>419</v>
      </c>
      <c r="AA50" s="74" t="b">
        <v>1</v>
      </c>
      <c r="AB50" s="74" t="s">
        <v>198</v>
      </c>
      <c r="AC50" s="74" t="s">
        <v>210</v>
      </c>
      <c r="AD50" s="74">
        <v>3</v>
      </c>
      <c r="AE50" s="74"/>
      <c r="AF50" s="74"/>
    </row>
    <row r="51" spans="1:32" x14ac:dyDescent="0.3">
      <c r="A51" s="97"/>
      <c r="B51" s="74" t="s">
        <v>182</v>
      </c>
      <c r="C51" s="74" t="str" cm="1">
        <f t="array" ref="C51">UPPER(INDEX(_xlfn.TEXTSPLIT($D51, "-"), 3))</f>
        <v>DIP</v>
      </c>
      <c r="D51" s="74" t="s">
        <v>385</v>
      </c>
      <c r="E51" s="74" t="s">
        <v>24</v>
      </c>
      <c r="F51" s="74" t="s">
        <v>545</v>
      </c>
      <c r="G51" s="74" t="s">
        <v>424</v>
      </c>
      <c r="H51" s="74" t="s">
        <v>561</v>
      </c>
      <c r="I51" s="74">
        <v>2</v>
      </c>
      <c r="J51" s="74">
        <v>8</v>
      </c>
      <c r="K51" s="74" t="s">
        <v>183</v>
      </c>
      <c r="L51" s="106" t="s">
        <v>563</v>
      </c>
      <c r="M51" s="74" t="s">
        <v>180</v>
      </c>
      <c r="N51" s="111" t="s">
        <v>612</v>
      </c>
      <c r="O51" s="74" t="str">
        <f t="shared" si="3"/>
        <v>t-dip-flk03-osdisk</v>
      </c>
      <c r="P51" s="74">
        <v>64</v>
      </c>
      <c r="Q51" s="74" t="s">
        <v>181</v>
      </c>
      <c r="R51" s="74"/>
      <c r="S51" s="74"/>
      <c r="T51" s="74"/>
      <c r="U51" s="74" t="str">
        <f t="shared" si="1"/>
        <v>t-dip-flk03-nic</v>
      </c>
      <c r="V51" s="74" t="b">
        <v>1</v>
      </c>
      <c r="W51" s="74" t="b">
        <v>1</v>
      </c>
      <c r="X51" s="74" t="s">
        <v>198</v>
      </c>
      <c r="Y51" s="74" t="s">
        <v>476</v>
      </c>
      <c r="Z51" s="74" t="s">
        <v>419</v>
      </c>
      <c r="AA51" s="74" t="b">
        <v>1</v>
      </c>
      <c r="AB51" s="74" t="s">
        <v>198</v>
      </c>
      <c r="AC51" s="74" t="s">
        <v>210</v>
      </c>
      <c r="AD51" s="74">
        <v>3</v>
      </c>
      <c r="AE51" s="74"/>
      <c r="AF51" s="74"/>
    </row>
    <row r="52" spans="1:32" x14ac:dyDescent="0.3">
      <c r="A52" s="97"/>
      <c r="B52" s="74" t="s">
        <v>182</v>
      </c>
      <c r="C52" s="74" t="str" cm="1">
        <f t="array" ref="C52">UPPER(INDEX(_xlfn.TEXTSPLIT($D52, "-"), 3))</f>
        <v>DIP</v>
      </c>
      <c r="D52" s="74" t="s">
        <v>385</v>
      </c>
      <c r="E52" s="74" t="s">
        <v>24</v>
      </c>
      <c r="F52" s="74" t="s">
        <v>546</v>
      </c>
      <c r="G52" s="74" t="s">
        <v>425</v>
      </c>
      <c r="H52" s="74" t="s">
        <v>561</v>
      </c>
      <c r="I52" s="74">
        <v>2</v>
      </c>
      <c r="J52" s="74">
        <v>8</v>
      </c>
      <c r="K52" s="74" t="s">
        <v>183</v>
      </c>
      <c r="L52" s="74" t="s">
        <v>563</v>
      </c>
      <c r="M52" s="74" t="s">
        <v>180</v>
      </c>
      <c r="N52" s="111" t="s">
        <v>611</v>
      </c>
      <c r="O52" s="74" t="str">
        <f t="shared" si="3"/>
        <v>t-dip-geoap01-osdisk</v>
      </c>
      <c r="P52" s="74">
        <v>64</v>
      </c>
      <c r="Q52" s="74" t="s">
        <v>181</v>
      </c>
      <c r="R52" s="74"/>
      <c r="S52" s="74"/>
      <c r="T52" s="74"/>
      <c r="U52" s="74" t="str">
        <f t="shared" si="1"/>
        <v>t-dip-geoap01-nic</v>
      </c>
      <c r="V52" s="74" t="b">
        <v>1</v>
      </c>
      <c r="W52" s="74" t="b">
        <v>1</v>
      </c>
      <c r="X52" s="74" t="s">
        <v>198</v>
      </c>
      <c r="Y52" s="74" t="s">
        <v>476</v>
      </c>
      <c r="Z52" s="74" t="s">
        <v>419</v>
      </c>
      <c r="AA52" s="74" t="b">
        <v>1</v>
      </c>
      <c r="AB52" s="74" t="s">
        <v>198</v>
      </c>
      <c r="AC52" s="74" t="s">
        <v>210</v>
      </c>
      <c r="AD52" s="74">
        <v>3</v>
      </c>
      <c r="AE52" s="74"/>
      <c r="AF52" s="74"/>
    </row>
    <row r="53" spans="1:32" x14ac:dyDescent="0.3">
      <c r="A53" s="97"/>
      <c r="B53" s="74" t="s">
        <v>182</v>
      </c>
      <c r="C53" s="74" t="str" cm="1">
        <f t="array" ref="C53">UPPER(INDEX(_xlfn.TEXTSPLIT($D53, "-"), 3))</f>
        <v>DIP</v>
      </c>
      <c r="D53" s="74" t="s">
        <v>385</v>
      </c>
      <c r="E53" s="74" t="s">
        <v>24</v>
      </c>
      <c r="F53" s="74" t="s">
        <v>547</v>
      </c>
      <c r="G53" s="74" t="s">
        <v>493</v>
      </c>
      <c r="H53" s="74" t="s">
        <v>561</v>
      </c>
      <c r="I53" s="74">
        <v>2</v>
      </c>
      <c r="J53" s="74">
        <v>8</v>
      </c>
      <c r="K53" s="74" t="s">
        <v>183</v>
      </c>
      <c r="L53" s="106" t="s">
        <v>563</v>
      </c>
      <c r="M53" s="74" t="s">
        <v>180</v>
      </c>
      <c r="N53" s="111" t="s">
        <v>612</v>
      </c>
      <c r="O53" s="74" t="str">
        <f t="shared" si="3"/>
        <v>t-dip-kfk01-osdisk</v>
      </c>
      <c r="P53" s="74">
        <v>64</v>
      </c>
      <c r="Q53" s="74" t="s">
        <v>181</v>
      </c>
      <c r="R53" s="74"/>
      <c r="S53" s="74"/>
      <c r="T53" s="74"/>
      <c r="U53" s="74" t="str">
        <f t="shared" si="1"/>
        <v>t-dip-kfk01-nic</v>
      </c>
      <c r="V53" s="74" t="b">
        <v>1</v>
      </c>
      <c r="W53" s="74" t="b">
        <v>1</v>
      </c>
      <c r="X53" s="74" t="s">
        <v>198</v>
      </c>
      <c r="Y53" s="74" t="s">
        <v>476</v>
      </c>
      <c r="Z53" s="74" t="s">
        <v>419</v>
      </c>
      <c r="AA53" s="74" t="b">
        <v>1</v>
      </c>
      <c r="AB53" s="74" t="s">
        <v>198</v>
      </c>
      <c r="AC53" s="74" t="s">
        <v>210</v>
      </c>
      <c r="AD53" s="74">
        <v>3</v>
      </c>
      <c r="AE53" s="74"/>
      <c r="AF53" s="74"/>
    </row>
    <row r="54" spans="1:32" x14ac:dyDescent="0.3">
      <c r="A54" s="97"/>
      <c r="B54" s="74" t="s">
        <v>182</v>
      </c>
      <c r="C54" s="74" t="str" cm="1">
        <f t="array" ref="C54">UPPER(INDEX(_xlfn.TEXTSPLIT($D54, "-"), 3))</f>
        <v>DIP</v>
      </c>
      <c r="D54" s="74" t="s">
        <v>385</v>
      </c>
      <c r="E54" s="74" t="s">
        <v>24</v>
      </c>
      <c r="F54" s="74" t="s">
        <v>548</v>
      </c>
      <c r="G54" s="74" t="s">
        <v>494</v>
      </c>
      <c r="H54" s="74" t="s">
        <v>561</v>
      </c>
      <c r="I54" s="74">
        <v>2</v>
      </c>
      <c r="J54" s="74">
        <v>8</v>
      </c>
      <c r="K54" s="74" t="s">
        <v>183</v>
      </c>
      <c r="L54" s="74" t="s">
        <v>563</v>
      </c>
      <c r="M54" s="74" t="s">
        <v>180</v>
      </c>
      <c r="N54" s="111" t="s">
        <v>612</v>
      </c>
      <c r="O54" s="74" t="str">
        <f t="shared" si="3"/>
        <v>t-dip-kfk02-osdisk</v>
      </c>
      <c r="P54" s="74">
        <v>64</v>
      </c>
      <c r="Q54" s="74" t="s">
        <v>181</v>
      </c>
      <c r="R54" s="74"/>
      <c r="S54" s="74"/>
      <c r="T54" s="74"/>
      <c r="U54" s="74" t="str">
        <f t="shared" si="1"/>
        <v>t-dip-kfk02-nic</v>
      </c>
      <c r="V54" s="74" t="b">
        <v>1</v>
      </c>
      <c r="W54" s="74" t="b">
        <v>1</v>
      </c>
      <c r="X54" s="74" t="s">
        <v>198</v>
      </c>
      <c r="Y54" s="74" t="s">
        <v>476</v>
      </c>
      <c r="Z54" s="74" t="s">
        <v>419</v>
      </c>
      <c r="AA54" s="74" t="b">
        <v>1</v>
      </c>
      <c r="AB54" s="74" t="s">
        <v>198</v>
      </c>
      <c r="AC54" s="74" t="s">
        <v>210</v>
      </c>
      <c r="AD54" s="74">
        <v>3</v>
      </c>
      <c r="AE54" s="74"/>
      <c r="AF54" s="74"/>
    </row>
    <row r="55" spans="1:32" x14ac:dyDescent="0.3">
      <c r="A55" s="97"/>
      <c r="B55" s="74" t="s">
        <v>182</v>
      </c>
      <c r="C55" s="74" t="str" cm="1">
        <f t="array" ref="C55">UPPER(INDEX(_xlfn.TEXTSPLIT($D55, "-"), 3))</f>
        <v>DIP</v>
      </c>
      <c r="D55" s="74" t="s">
        <v>385</v>
      </c>
      <c r="E55" s="74" t="s">
        <v>24</v>
      </c>
      <c r="F55" s="74" t="s">
        <v>549</v>
      </c>
      <c r="G55" s="74" t="s">
        <v>495</v>
      </c>
      <c r="H55" s="74" t="s">
        <v>561</v>
      </c>
      <c r="I55" s="74">
        <v>2</v>
      </c>
      <c r="J55" s="74">
        <v>8</v>
      </c>
      <c r="K55" s="74" t="s">
        <v>183</v>
      </c>
      <c r="L55" s="106" t="s">
        <v>563</v>
      </c>
      <c r="M55" s="74" t="s">
        <v>180</v>
      </c>
      <c r="N55" s="111" t="s">
        <v>612</v>
      </c>
      <c r="O55" s="74" t="str">
        <f t="shared" si="3"/>
        <v>t-dip-kfk03-osdisk</v>
      </c>
      <c r="P55" s="74">
        <v>64</v>
      </c>
      <c r="Q55" s="74" t="s">
        <v>181</v>
      </c>
      <c r="R55" s="74"/>
      <c r="S55" s="74"/>
      <c r="T55" s="74"/>
      <c r="U55" s="74" t="str">
        <f t="shared" si="1"/>
        <v>t-dip-kfk03-nic</v>
      </c>
      <c r="V55" s="74" t="b">
        <v>1</v>
      </c>
      <c r="W55" s="74" t="b">
        <v>1</v>
      </c>
      <c r="X55" s="74" t="s">
        <v>198</v>
      </c>
      <c r="Y55" s="74" t="s">
        <v>476</v>
      </c>
      <c r="Z55" s="74" t="s">
        <v>419</v>
      </c>
      <c r="AA55" s="74" t="b">
        <v>1</v>
      </c>
      <c r="AB55" s="74" t="s">
        <v>198</v>
      </c>
      <c r="AC55" s="74" t="s">
        <v>210</v>
      </c>
      <c r="AD55" s="74">
        <v>3</v>
      </c>
      <c r="AE55" s="74"/>
      <c r="AF55" s="74"/>
    </row>
    <row r="56" spans="1:32" x14ac:dyDescent="0.3">
      <c r="A56" s="97"/>
      <c r="B56" s="74" t="s">
        <v>182</v>
      </c>
      <c r="C56" s="74" t="str" cm="1">
        <f t="array" ref="C56">UPPER(INDEX(_xlfn.TEXTSPLIT($D56, "-"), 3))</f>
        <v>DIP</v>
      </c>
      <c r="D56" s="74" t="s">
        <v>385</v>
      </c>
      <c r="E56" s="74" t="s">
        <v>24</v>
      </c>
      <c r="F56" s="74" t="s">
        <v>550</v>
      </c>
      <c r="G56" s="74" t="s">
        <v>426</v>
      </c>
      <c r="H56" s="74" t="s">
        <v>561</v>
      </c>
      <c r="I56" s="74">
        <v>2</v>
      </c>
      <c r="J56" s="74">
        <v>8</v>
      </c>
      <c r="K56" s="74" t="s">
        <v>183</v>
      </c>
      <c r="L56" s="74" t="s">
        <v>563</v>
      </c>
      <c r="M56" s="74" t="s">
        <v>180</v>
      </c>
      <c r="N56" s="111" t="s">
        <v>612</v>
      </c>
      <c r="O56" s="74" t="str">
        <f t="shared" si="3"/>
        <v>t-dip-mqap01-osdisk</v>
      </c>
      <c r="P56" s="74">
        <v>64</v>
      </c>
      <c r="Q56" s="74" t="s">
        <v>181</v>
      </c>
      <c r="R56" s="74"/>
      <c r="S56" s="74"/>
      <c r="T56" s="74"/>
      <c r="U56" s="74" t="str">
        <f t="shared" si="1"/>
        <v>t-dip-mqap01-nic</v>
      </c>
      <c r="V56" s="74" t="b">
        <v>1</v>
      </c>
      <c r="W56" s="74" t="b">
        <v>1</v>
      </c>
      <c r="X56" s="74" t="s">
        <v>198</v>
      </c>
      <c r="Y56" s="74" t="s">
        <v>476</v>
      </c>
      <c r="Z56" s="74" t="s">
        <v>419</v>
      </c>
      <c r="AA56" s="74" t="b">
        <v>1</v>
      </c>
      <c r="AB56" s="74" t="s">
        <v>198</v>
      </c>
      <c r="AC56" s="74" t="s">
        <v>210</v>
      </c>
      <c r="AD56" s="74">
        <v>3</v>
      </c>
      <c r="AE56" s="74"/>
      <c r="AF56" s="74"/>
    </row>
    <row r="57" spans="1:32" x14ac:dyDescent="0.3">
      <c r="A57" s="97"/>
      <c r="B57" s="74" t="s">
        <v>182</v>
      </c>
      <c r="C57" s="74" t="str" cm="1">
        <f t="array" ref="C57">UPPER(INDEX(_xlfn.TEXTSPLIT($D57, "-"), 3))</f>
        <v>DIP</v>
      </c>
      <c r="D57" s="74" t="s">
        <v>385</v>
      </c>
      <c r="E57" s="74" t="s">
        <v>24</v>
      </c>
      <c r="F57" s="74" t="s">
        <v>551</v>
      </c>
      <c r="G57" s="74" t="s">
        <v>427</v>
      </c>
      <c r="H57" s="74" t="s">
        <v>561</v>
      </c>
      <c r="I57" s="74">
        <v>2</v>
      </c>
      <c r="J57" s="74">
        <v>8</v>
      </c>
      <c r="K57" s="74" t="s">
        <v>183</v>
      </c>
      <c r="L57" s="106" t="s">
        <v>563</v>
      </c>
      <c r="M57" s="74" t="s">
        <v>180</v>
      </c>
      <c r="N57" s="111" t="s">
        <v>611</v>
      </c>
      <c r="O57" s="74" t="str">
        <f t="shared" si="3"/>
        <v>t-dip-mqweb01-osdisk</v>
      </c>
      <c r="P57" s="74">
        <v>64</v>
      </c>
      <c r="Q57" s="74" t="s">
        <v>181</v>
      </c>
      <c r="R57" s="74"/>
      <c r="S57" s="74"/>
      <c r="T57" s="74"/>
      <c r="U57" s="74" t="str">
        <f t="shared" si="1"/>
        <v>t-dip-mqweb01-nic</v>
      </c>
      <c r="V57" s="74" t="b">
        <v>1</v>
      </c>
      <c r="W57" s="74" t="b">
        <v>1</v>
      </c>
      <c r="X57" s="74" t="s">
        <v>198</v>
      </c>
      <c r="Y57" s="74" t="s">
        <v>476</v>
      </c>
      <c r="Z57" s="74" t="s">
        <v>419</v>
      </c>
      <c r="AA57" s="74" t="b">
        <v>1</v>
      </c>
      <c r="AB57" s="74" t="s">
        <v>198</v>
      </c>
      <c r="AC57" s="74" t="s">
        <v>210</v>
      </c>
      <c r="AD57" s="74">
        <v>3</v>
      </c>
      <c r="AE57" s="74"/>
      <c r="AF57" s="74"/>
    </row>
    <row r="58" spans="1:32" x14ac:dyDescent="0.3">
      <c r="A58" s="97"/>
      <c r="B58" s="74" t="s">
        <v>182</v>
      </c>
      <c r="C58" s="74" t="str" cm="1">
        <f t="array" ref="C58">UPPER(INDEX(_xlfn.TEXTSPLIT($D58, "-"), 3))</f>
        <v>DIP</v>
      </c>
      <c r="D58" s="74" t="s">
        <v>385</v>
      </c>
      <c r="E58" s="74" t="s">
        <v>24</v>
      </c>
      <c r="F58" s="74" t="s">
        <v>552</v>
      </c>
      <c r="G58" s="74" t="s">
        <v>496</v>
      </c>
      <c r="H58" s="74" t="s">
        <v>561</v>
      </c>
      <c r="I58" s="74">
        <v>2</v>
      </c>
      <c r="J58" s="74">
        <v>8</v>
      </c>
      <c r="K58" s="74" t="s">
        <v>183</v>
      </c>
      <c r="L58" s="74" t="s">
        <v>563</v>
      </c>
      <c r="M58" s="74" t="s">
        <v>180</v>
      </c>
      <c r="N58" s="111" t="s">
        <v>611</v>
      </c>
      <c r="O58" s="74" t="str">
        <f t="shared" si="3"/>
        <v>t-dip-oms01-osdisk</v>
      </c>
      <c r="P58" s="74">
        <v>64</v>
      </c>
      <c r="Q58" s="74" t="s">
        <v>181</v>
      </c>
      <c r="R58" s="74"/>
      <c r="S58" s="74"/>
      <c r="T58" s="74"/>
      <c r="U58" s="74" t="str">
        <f t="shared" si="1"/>
        <v>t-dip-oms01-nic</v>
      </c>
      <c r="V58" s="74" t="b">
        <v>1</v>
      </c>
      <c r="W58" s="74" t="b">
        <v>1</v>
      </c>
      <c r="X58" s="74" t="s">
        <v>198</v>
      </c>
      <c r="Y58" s="74" t="s">
        <v>476</v>
      </c>
      <c r="Z58" s="74" t="s">
        <v>419</v>
      </c>
      <c r="AA58" s="74" t="b">
        <v>1</v>
      </c>
      <c r="AB58" s="74" t="s">
        <v>198</v>
      </c>
      <c r="AC58" s="74" t="s">
        <v>210</v>
      </c>
      <c r="AD58" s="74">
        <v>3</v>
      </c>
      <c r="AE58" s="74"/>
      <c r="AF58" s="74"/>
    </row>
    <row r="59" spans="1:32" x14ac:dyDescent="0.3">
      <c r="A59" s="97"/>
      <c r="B59" s="74" t="s">
        <v>182</v>
      </c>
      <c r="C59" s="74" t="str" cm="1">
        <f t="array" ref="C59">UPPER(INDEX(_xlfn.TEXTSPLIT($D59, "-"), 3))</f>
        <v>DIP</v>
      </c>
      <c r="D59" s="74" t="s">
        <v>385</v>
      </c>
      <c r="E59" s="74" t="s">
        <v>24</v>
      </c>
      <c r="F59" s="74" t="s">
        <v>553</v>
      </c>
      <c r="G59" s="74" t="s">
        <v>428</v>
      </c>
      <c r="H59" s="74" t="s">
        <v>561</v>
      </c>
      <c r="I59" s="74">
        <v>2</v>
      </c>
      <c r="J59" s="74">
        <v>8</v>
      </c>
      <c r="K59" s="74" t="s">
        <v>183</v>
      </c>
      <c r="L59" s="106" t="s">
        <v>563</v>
      </c>
      <c r="M59" s="74" t="s">
        <v>180</v>
      </c>
      <c r="N59" s="111" t="s">
        <v>611</v>
      </c>
      <c r="O59" s="74" t="str">
        <f t="shared" si="3"/>
        <v>t-dip-web01-osdisk</v>
      </c>
      <c r="P59" s="74">
        <v>64</v>
      </c>
      <c r="Q59" s="74" t="s">
        <v>181</v>
      </c>
      <c r="R59" s="74"/>
      <c r="S59" s="74"/>
      <c r="T59" s="74"/>
      <c r="U59" s="74" t="str">
        <f t="shared" si="1"/>
        <v>t-dip-web01-nic</v>
      </c>
      <c r="V59" s="74" t="b">
        <v>1</v>
      </c>
      <c r="W59" s="74" t="b">
        <v>1</v>
      </c>
      <c r="X59" s="74" t="s">
        <v>198</v>
      </c>
      <c r="Y59" s="74" t="s">
        <v>476</v>
      </c>
      <c r="Z59" s="74" t="s">
        <v>419</v>
      </c>
      <c r="AA59" s="74" t="b">
        <v>1</v>
      </c>
      <c r="AB59" s="74" t="s">
        <v>198</v>
      </c>
      <c r="AC59" s="74" t="s">
        <v>210</v>
      </c>
      <c r="AD59" s="74">
        <v>3</v>
      </c>
      <c r="AE59" s="74"/>
      <c r="AF59" s="74"/>
    </row>
    <row r="60" spans="1:32" x14ac:dyDescent="0.3">
      <c r="A60" s="97"/>
      <c r="B60" s="74" t="s">
        <v>182</v>
      </c>
      <c r="C60" s="74" t="str" cm="1">
        <f t="array" ref="C60">UPPER(INDEX(_xlfn.TEXTSPLIT($D60, "-"), 3))</f>
        <v>IF</v>
      </c>
      <c r="D60" s="74" t="s">
        <v>474</v>
      </c>
      <c r="E60" s="74" t="s">
        <v>24</v>
      </c>
      <c r="F60" s="74" t="s">
        <v>599</v>
      </c>
      <c r="G60" s="74" t="s">
        <v>601</v>
      </c>
      <c r="H60" s="74" t="s">
        <v>561</v>
      </c>
      <c r="I60" s="74">
        <v>2</v>
      </c>
      <c r="J60" s="74">
        <v>8</v>
      </c>
      <c r="K60" s="74" t="s">
        <v>183</v>
      </c>
      <c r="L60" s="74" t="s">
        <v>563</v>
      </c>
      <c r="M60" s="74" t="s">
        <v>180</v>
      </c>
      <c r="N60" s="111" t="s">
        <v>611</v>
      </c>
      <c r="O60" s="74" t="str">
        <f t="shared" si="3"/>
        <v>t-if-auth01-osdisk</v>
      </c>
      <c r="P60" s="74">
        <v>64</v>
      </c>
      <c r="Q60" s="74" t="s">
        <v>181</v>
      </c>
      <c r="R60" s="74"/>
      <c r="S60" s="74"/>
      <c r="T60" s="74"/>
      <c r="U60" s="74" t="str">
        <f t="shared" si="1"/>
        <v>t-if-auth01-nic</v>
      </c>
      <c r="V60" s="74" t="b">
        <v>1</v>
      </c>
      <c r="W60" s="74" t="b">
        <v>1</v>
      </c>
      <c r="X60" s="74" t="s">
        <v>198</v>
      </c>
      <c r="Y60" s="74" t="s">
        <v>476</v>
      </c>
      <c r="Z60" s="74" t="s">
        <v>321</v>
      </c>
      <c r="AA60" s="74" t="b">
        <v>1</v>
      </c>
      <c r="AB60" s="74" t="s">
        <v>198</v>
      </c>
      <c r="AC60" s="74" t="s">
        <v>210</v>
      </c>
      <c r="AD60" s="74">
        <v>3</v>
      </c>
      <c r="AE60" s="74"/>
      <c r="AF60" s="74"/>
    </row>
    <row r="61" spans="1:32" x14ac:dyDescent="0.3">
      <c r="A61" s="97"/>
      <c r="B61" s="74" t="s">
        <v>182</v>
      </c>
      <c r="C61" s="74" t="str" cm="1">
        <f t="array" ref="C61">UPPER(INDEX(_xlfn.TEXTSPLIT($D61, "-"), 3))</f>
        <v>IF</v>
      </c>
      <c r="D61" s="74" t="s">
        <v>474</v>
      </c>
      <c r="E61" s="74" t="s">
        <v>24</v>
      </c>
      <c r="F61" s="74" t="s">
        <v>554</v>
      </c>
      <c r="G61" s="74" t="s">
        <v>498</v>
      </c>
      <c r="H61" s="74" t="s">
        <v>561</v>
      </c>
      <c r="I61" s="74">
        <v>2</v>
      </c>
      <c r="J61" s="74">
        <v>8</v>
      </c>
      <c r="K61" s="74" t="s">
        <v>183</v>
      </c>
      <c r="L61" s="74" t="s">
        <v>563</v>
      </c>
      <c r="M61" s="74" t="s">
        <v>180</v>
      </c>
      <c r="N61" s="111" t="s">
        <v>612</v>
      </c>
      <c r="O61" s="74" t="str">
        <f t="shared" si="3"/>
        <v>t-if-gramon01-osdisk</v>
      </c>
      <c r="P61" s="74">
        <v>64</v>
      </c>
      <c r="Q61" s="74" t="s">
        <v>181</v>
      </c>
      <c r="R61" s="74"/>
      <c r="S61" s="74"/>
      <c r="T61" s="74"/>
      <c r="U61" s="74" t="str">
        <f t="shared" si="1"/>
        <v>t-if-gramon01-nic</v>
      </c>
      <c r="V61" s="74" t="b">
        <v>1</v>
      </c>
      <c r="W61" s="74" t="b">
        <v>1</v>
      </c>
      <c r="X61" s="74" t="s">
        <v>198</v>
      </c>
      <c r="Y61" s="74" t="s">
        <v>476</v>
      </c>
      <c r="Z61" s="74" t="s">
        <v>497</v>
      </c>
      <c r="AA61" s="74" t="b">
        <v>1</v>
      </c>
      <c r="AB61" s="74" t="s">
        <v>198</v>
      </c>
      <c r="AC61" s="74" t="s">
        <v>210</v>
      </c>
      <c r="AD61" s="74">
        <v>3</v>
      </c>
      <c r="AE61" s="74"/>
      <c r="AF61" s="74"/>
    </row>
    <row r="62" spans="1:32" x14ac:dyDescent="0.3">
      <c r="A62" s="97"/>
      <c r="B62" s="74" t="s">
        <v>182</v>
      </c>
      <c r="C62" s="74" t="str" cm="1">
        <f t="array" ref="C62">UPPER(INDEX(_xlfn.TEXTSPLIT($D62, "-"), 3))</f>
        <v>DOIP</v>
      </c>
      <c r="D62" s="74" t="s">
        <v>386</v>
      </c>
      <c r="E62" s="74" t="s">
        <v>24</v>
      </c>
      <c r="F62" s="74" t="s">
        <v>555</v>
      </c>
      <c r="G62" s="74" t="s">
        <v>430</v>
      </c>
      <c r="H62" s="74" t="s">
        <v>561</v>
      </c>
      <c r="I62" s="74">
        <v>2</v>
      </c>
      <c r="J62" s="74">
        <v>8</v>
      </c>
      <c r="K62" s="74" t="s">
        <v>183</v>
      </c>
      <c r="L62" s="106" t="s">
        <v>563</v>
      </c>
      <c r="M62" s="74" t="s">
        <v>180</v>
      </c>
      <c r="N62" s="111" t="s">
        <v>611</v>
      </c>
      <c r="O62" s="74" t="str">
        <f t="shared" ref="O62:O67" si="4">SUBSTITUTE(F62,"hazr-","")&amp;"-osdisk"</f>
        <v>t-doip-web01-osdisk</v>
      </c>
      <c r="P62" s="74">
        <v>64</v>
      </c>
      <c r="Q62" s="74" t="s">
        <v>181</v>
      </c>
      <c r="R62" s="74"/>
      <c r="S62" s="74"/>
      <c r="T62" s="74"/>
      <c r="U62" s="74" t="str">
        <f t="shared" si="1"/>
        <v>t-doip-web01-nic</v>
      </c>
      <c r="V62" s="74" t="b">
        <v>1</v>
      </c>
      <c r="W62" s="74" t="b">
        <v>1</v>
      </c>
      <c r="X62" s="74" t="s">
        <v>198</v>
      </c>
      <c r="Y62" s="74" t="s">
        <v>476</v>
      </c>
      <c r="Z62" s="74" t="s">
        <v>429</v>
      </c>
      <c r="AA62" s="74" t="b">
        <v>1</v>
      </c>
      <c r="AB62" s="74" t="s">
        <v>198</v>
      </c>
      <c r="AC62" s="74" t="s">
        <v>210</v>
      </c>
      <c r="AD62" s="74">
        <v>3</v>
      </c>
      <c r="AE62" s="74"/>
      <c r="AF62" s="74"/>
    </row>
    <row r="63" spans="1:32" x14ac:dyDescent="0.3">
      <c r="A63" s="97"/>
      <c r="B63" s="74" t="s">
        <v>182</v>
      </c>
      <c r="C63" s="74" t="str" cm="1">
        <f t="array" ref="C63">UPPER(INDEX(_xlfn.TEXTSPLIT($D63, "-"), 3))</f>
        <v>DOIP</v>
      </c>
      <c r="D63" s="74" t="s">
        <v>386</v>
      </c>
      <c r="E63" s="74" t="s">
        <v>24</v>
      </c>
      <c r="F63" s="74" t="s">
        <v>556</v>
      </c>
      <c r="G63" s="74" t="s">
        <v>431</v>
      </c>
      <c r="H63" s="74" t="s">
        <v>561</v>
      </c>
      <c r="I63" s="74">
        <v>2</v>
      </c>
      <c r="J63" s="74">
        <v>8</v>
      </c>
      <c r="K63" s="74" t="s">
        <v>183</v>
      </c>
      <c r="L63" s="74" t="s">
        <v>563</v>
      </c>
      <c r="M63" s="74" t="s">
        <v>180</v>
      </c>
      <c r="N63" s="111" t="s">
        <v>612</v>
      </c>
      <c r="O63" s="74" t="str">
        <f t="shared" si="4"/>
        <v>t-doip-ap01-osdisk</v>
      </c>
      <c r="P63" s="74">
        <v>64</v>
      </c>
      <c r="Q63" s="74" t="s">
        <v>181</v>
      </c>
      <c r="R63" s="74"/>
      <c r="S63" s="74"/>
      <c r="T63" s="74"/>
      <c r="U63" s="74" t="str">
        <f t="shared" si="1"/>
        <v>t-doip-ap01-nic</v>
      </c>
      <c r="V63" s="74" t="b">
        <v>1</v>
      </c>
      <c r="W63" s="74" t="b">
        <v>1</v>
      </c>
      <c r="X63" s="74" t="s">
        <v>198</v>
      </c>
      <c r="Y63" s="74" t="s">
        <v>476</v>
      </c>
      <c r="Z63" s="74" t="s">
        <v>429</v>
      </c>
      <c r="AA63" s="74" t="b">
        <v>1</v>
      </c>
      <c r="AB63" s="74" t="s">
        <v>198</v>
      </c>
      <c r="AC63" s="74" t="s">
        <v>210</v>
      </c>
      <c r="AD63" s="74">
        <v>3</v>
      </c>
      <c r="AE63" s="74"/>
      <c r="AF63" s="74"/>
    </row>
    <row r="64" spans="1:32" x14ac:dyDescent="0.3">
      <c r="A64" s="97"/>
      <c r="B64" s="74" t="s">
        <v>182</v>
      </c>
      <c r="C64" s="74" t="str" cm="1">
        <f t="array" ref="C64">UPPER(INDEX(_xlfn.TEXTSPLIT($D64, "-"), 3))</f>
        <v>DOIP</v>
      </c>
      <c r="D64" s="74" t="s">
        <v>386</v>
      </c>
      <c r="E64" s="74" t="s">
        <v>24</v>
      </c>
      <c r="F64" s="74" t="s">
        <v>557</v>
      </c>
      <c r="G64" s="74" t="s">
        <v>432</v>
      </c>
      <c r="H64" s="74" t="s">
        <v>561</v>
      </c>
      <c r="I64" s="74">
        <v>2</v>
      </c>
      <c r="J64" s="74">
        <v>8</v>
      </c>
      <c r="K64" s="74" t="s">
        <v>183</v>
      </c>
      <c r="L64" s="106" t="s">
        <v>563</v>
      </c>
      <c r="M64" s="74" t="s">
        <v>180</v>
      </c>
      <c r="N64" s="111" t="s">
        <v>612</v>
      </c>
      <c r="O64" s="74" t="str">
        <f t="shared" si="4"/>
        <v>t-doip-adm01-osdisk</v>
      </c>
      <c r="P64" s="74">
        <v>64</v>
      </c>
      <c r="Q64" s="74" t="s">
        <v>181</v>
      </c>
      <c r="R64" s="74"/>
      <c r="S64" s="74"/>
      <c r="T64" s="74"/>
      <c r="U64" s="74" t="str">
        <f t="shared" ref="U64:U69" si="5">SUBSTITUTE(F64,"hazr-","")&amp;"-nic"</f>
        <v>t-doip-adm01-nic</v>
      </c>
      <c r="V64" s="74" t="b">
        <v>1</v>
      </c>
      <c r="W64" s="74" t="b">
        <v>1</v>
      </c>
      <c r="X64" s="74" t="s">
        <v>198</v>
      </c>
      <c r="Y64" s="74" t="s">
        <v>476</v>
      </c>
      <c r="Z64" s="74" t="s">
        <v>429</v>
      </c>
      <c r="AA64" s="74" t="b">
        <v>1</v>
      </c>
      <c r="AB64" s="74" t="s">
        <v>198</v>
      </c>
      <c r="AC64" s="74" t="s">
        <v>210</v>
      </c>
      <c r="AD64" s="74">
        <v>3</v>
      </c>
      <c r="AE64" s="74"/>
      <c r="AF64" s="74"/>
    </row>
    <row r="65" spans="1:32" x14ac:dyDescent="0.3">
      <c r="A65" s="97"/>
      <c r="B65" s="74" t="s">
        <v>182</v>
      </c>
      <c r="C65" s="74" t="str" cm="1">
        <f t="array" ref="C65">UPPER(INDEX(_xlfn.TEXTSPLIT($D65, "-"), 3))</f>
        <v>BDP</v>
      </c>
      <c r="D65" s="74" t="s">
        <v>384</v>
      </c>
      <c r="E65" s="74" t="s">
        <v>24</v>
      </c>
      <c r="F65" s="74" t="s">
        <v>558</v>
      </c>
      <c r="G65" s="74" t="s">
        <v>434</v>
      </c>
      <c r="H65" s="74" t="s">
        <v>561</v>
      </c>
      <c r="I65" s="74">
        <v>2</v>
      </c>
      <c r="J65" s="74">
        <v>8</v>
      </c>
      <c r="K65" s="74" t="s">
        <v>183</v>
      </c>
      <c r="L65" s="74" t="s">
        <v>563</v>
      </c>
      <c r="M65" s="74" t="s">
        <v>180</v>
      </c>
      <c r="N65" s="111" t="s">
        <v>611</v>
      </c>
      <c r="O65" s="74" t="str">
        <f t="shared" si="4"/>
        <v>t-bdp-crkweb01-osdisk</v>
      </c>
      <c r="P65" s="74">
        <v>64</v>
      </c>
      <c r="Q65" s="74" t="s">
        <v>181</v>
      </c>
      <c r="R65" s="74"/>
      <c r="S65" s="74"/>
      <c r="T65" s="74"/>
      <c r="U65" s="74" t="str">
        <f t="shared" si="5"/>
        <v>t-bdp-crkweb01-nic</v>
      </c>
      <c r="V65" s="74" t="b">
        <v>1</v>
      </c>
      <c r="W65" s="74" t="b">
        <v>1</v>
      </c>
      <c r="X65" s="74" t="s">
        <v>198</v>
      </c>
      <c r="Y65" s="74" t="s">
        <v>477</v>
      </c>
      <c r="Z65" s="74" t="s">
        <v>433</v>
      </c>
      <c r="AA65" s="74" t="b">
        <v>1</v>
      </c>
      <c r="AB65" s="74" t="s">
        <v>198</v>
      </c>
      <c r="AC65" s="74" t="s">
        <v>210</v>
      </c>
      <c r="AD65" s="74">
        <v>3</v>
      </c>
      <c r="AE65" s="74"/>
      <c r="AF65" s="74"/>
    </row>
    <row r="66" spans="1:32" x14ac:dyDescent="0.3">
      <c r="A66" s="97"/>
      <c r="B66" s="74" t="s">
        <v>182</v>
      </c>
      <c r="C66" s="74" t="str" cm="1">
        <f t="array" ref="C66">UPPER(INDEX(_xlfn.TEXTSPLIT($D66, "-"), 3))</f>
        <v>BDP</v>
      </c>
      <c r="D66" s="74" t="s">
        <v>384</v>
      </c>
      <c r="E66" s="74" t="s">
        <v>24</v>
      </c>
      <c r="F66" s="74" t="s">
        <v>559</v>
      </c>
      <c r="G66" s="74" t="s">
        <v>435</v>
      </c>
      <c r="H66" s="74" t="s">
        <v>561</v>
      </c>
      <c r="I66" s="74">
        <v>2</v>
      </c>
      <c r="J66" s="74">
        <v>8</v>
      </c>
      <c r="K66" s="74" t="s">
        <v>183</v>
      </c>
      <c r="L66" s="106" t="s">
        <v>563</v>
      </c>
      <c r="M66" s="74" t="s">
        <v>180</v>
      </c>
      <c r="N66" s="111" t="s">
        <v>612</v>
      </c>
      <c r="O66" s="74" t="str">
        <f t="shared" si="4"/>
        <v>t-bdp-crkap01-osdisk</v>
      </c>
      <c r="P66" s="74">
        <v>64</v>
      </c>
      <c r="Q66" s="74" t="s">
        <v>181</v>
      </c>
      <c r="R66" s="74"/>
      <c r="S66" s="74"/>
      <c r="T66" s="74"/>
      <c r="U66" s="74" t="str">
        <f t="shared" si="5"/>
        <v>t-bdp-crkap01-nic</v>
      </c>
      <c r="V66" s="74" t="b">
        <v>1</v>
      </c>
      <c r="W66" s="74" t="b">
        <v>1</v>
      </c>
      <c r="X66" s="74" t="s">
        <v>198</v>
      </c>
      <c r="Y66" s="74" t="s">
        <v>476</v>
      </c>
      <c r="Z66" s="74" t="s">
        <v>415</v>
      </c>
      <c r="AA66" s="74" t="b">
        <v>1</v>
      </c>
      <c r="AB66" s="74" t="s">
        <v>198</v>
      </c>
      <c r="AC66" s="74" t="s">
        <v>210</v>
      </c>
      <c r="AD66" s="74">
        <v>3</v>
      </c>
      <c r="AE66" s="74"/>
      <c r="AF66" s="74"/>
    </row>
    <row r="67" spans="1:32" x14ac:dyDescent="0.3">
      <c r="A67" s="97"/>
      <c r="B67" s="74" t="s">
        <v>182</v>
      </c>
      <c r="C67" s="74" t="str" cm="1">
        <f t="array" ref="C67">UPPER(INDEX(_xlfn.TEXTSPLIT($D67, "-"), 3))</f>
        <v>BDP</v>
      </c>
      <c r="D67" s="74" t="s">
        <v>384</v>
      </c>
      <c r="E67" s="74" t="s">
        <v>24</v>
      </c>
      <c r="F67" s="74" t="s">
        <v>560</v>
      </c>
      <c r="G67" s="74" t="s">
        <v>436</v>
      </c>
      <c r="H67" s="74" t="s">
        <v>561</v>
      </c>
      <c r="I67" s="74">
        <v>2</v>
      </c>
      <c r="J67" s="74">
        <v>8</v>
      </c>
      <c r="K67" s="74" t="s">
        <v>183</v>
      </c>
      <c r="L67" s="74" t="s">
        <v>563</v>
      </c>
      <c r="M67" s="74" t="s">
        <v>180</v>
      </c>
      <c r="N67" s="111" t="s">
        <v>612</v>
      </c>
      <c r="O67" s="74" t="str">
        <f t="shared" si="4"/>
        <v>t-bdp-crkml01-osdisk</v>
      </c>
      <c r="P67" s="74">
        <v>64</v>
      </c>
      <c r="Q67" s="74" t="s">
        <v>181</v>
      </c>
      <c r="R67" s="74"/>
      <c r="S67" s="74"/>
      <c r="T67" s="74"/>
      <c r="U67" s="74" t="str">
        <f t="shared" si="5"/>
        <v>t-bdp-crkml01-nic</v>
      </c>
      <c r="V67" s="74" t="b">
        <v>1</v>
      </c>
      <c r="W67" s="74" t="b">
        <v>1</v>
      </c>
      <c r="X67" s="74" t="s">
        <v>198</v>
      </c>
      <c r="Y67" s="74" t="s">
        <v>476</v>
      </c>
      <c r="Z67" s="74" t="s">
        <v>415</v>
      </c>
      <c r="AA67" s="74" t="b">
        <v>1</v>
      </c>
      <c r="AB67" s="74" t="s">
        <v>198</v>
      </c>
      <c r="AC67" s="74" t="s">
        <v>210</v>
      </c>
      <c r="AD67" s="74">
        <v>3</v>
      </c>
      <c r="AE67" s="74"/>
      <c r="AF67" s="74"/>
    </row>
    <row r="68" spans="1:32" x14ac:dyDescent="0.3">
      <c r="A68" s="97"/>
      <c r="B68" s="74" t="s">
        <v>586</v>
      </c>
      <c r="C68" s="74" t="str" cm="1">
        <f t="array" ref="C68">UPPER(INDEX(_xlfn.TEXTSPLIT($D68, "-"), 3))</f>
        <v>MON</v>
      </c>
      <c r="D68" s="74" t="s">
        <v>572</v>
      </c>
      <c r="E68" s="74" t="s">
        <v>24</v>
      </c>
      <c r="F68" s="74" t="s">
        <v>579</v>
      </c>
      <c r="G68" s="74" t="s">
        <v>575</v>
      </c>
      <c r="H68" s="105" t="s">
        <v>574</v>
      </c>
      <c r="I68" s="74">
        <v>8</v>
      </c>
      <c r="J68" s="74">
        <v>32</v>
      </c>
      <c r="K68" s="74" t="s">
        <v>183</v>
      </c>
      <c r="L68" s="106" t="s">
        <v>563</v>
      </c>
      <c r="M68" s="106" t="s">
        <v>573</v>
      </c>
      <c r="N68" s="111" t="s">
        <v>612</v>
      </c>
      <c r="O68" s="74" t="str">
        <f t="shared" ref="O68:O73" si="6">SUBSTITUTE(F68,"hazr-","")&amp;"-osdisk"</f>
        <v>l-mon-whtap01-osdisk</v>
      </c>
      <c r="P68" s="74">
        <v>64</v>
      </c>
      <c r="Q68" s="74" t="s">
        <v>181</v>
      </c>
      <c r="R68" s="74"/>
      <c r="S68" s="74"/>
      <c r="T68" s="74"/>
      <c r="U68" s="74" t="str">
        <f t="shared" si="5"/>
        <v>l-mon-whtap01-nic</v>
      </c>
      <c r="V68" s="74" t="b">
        <v>1</v>
      </c>
      <c r="W68" s="74" t="b">
        <v>1</v>
      </c>
      <c r="X68" s="74" t="s">
        <v>580</v>
      </c>
      <c r="Y68" s="74" t="s">
        <v>282</v>
      </c>
      <c r="Z68" s="74" t="s">
        <v>577</v>
      </c>
      <c r="AA68" s="74" t="b">
        <v>1</v>
      </c>
      <c r="AB68" s="74" t="s">
        <v>580</v>
      </c>
      <c r="AC68" s="74" t="s">
        <v>585</v>
      </c>
      <c r="AD68" s="74">
        <v>1</v>
      </c>
      <c r="AE68" s="74"/>
      <c r="AF68" s="74"/>
    </row>
    <row r="69" spans="1:32" x14ac:dyDescent="0.3">
      <c r="A69" s="97"/>
      <c r="B69" s="74" t="s">
        <v>586</v>
      </c>
      <c r="C69" s="74" t="str" cm="1">
        <f t="array" ref="C69">UPPER(INDEX(_xlfn.TEXTSPLIT($D69, "-"), 3))</f>
        <v>MON</v>
      </c>
      <c r="D69" s="74" t="s">
        <v>572</v>
      </c>
      <c r="E69" s="74" t="s">
        <v>24</v>
      </c>
      <c r="F69" s="74" t="s">
        <v>578</v>
      </c>
      <c r="G69" s="74" t="s">
        <v>576</v>
      </c>
      <c r="H69" s="105" t="s">
        <v>574</v>
      </c>
      <c r="I69" s="74">
        <v>8</v>
      </c>
      <c r="J69" s="74">
        <v>32</v>
      </c>
      <c r="K69" s="74" t="s">
        <v>183</v>
      </c>
      <c r="L69" s="74" t="s">
        <v>563</v>
      </c>
      <c r="M69" s="106" t="s">
        <v>573</v>
      </c>
      <c r="N69" s="111" t="s">
        <v>612</v>
      </c>
      <c r="O69" s="74" t="str">
        <f t="shared" si="6"/>
        <v>l-mon-whtap02-osdisk</v>
      </c>
      <c r="P69" s="74">
        <v>64</v>
      </c>
      <c r="Q69" s="74" t="s">
        <v>181</v>
      </c>
      <c r="R69" s="74"/>
      <c r="S69" s="74"/>
      <c r="T69" s="74"/>
      <c r="U69" s="74" t="str">
        <f t="shared" si="5"/>
        <v>l-mon-whtap02-nic</v>
      </c>
      <c r="V69" s="74" t="b">
        <v>1</v>
      </c>
      <c r="W69" s="74" t="b">
        <v>1</v>
      </c>
      <c r="X69" s="74" t="s">
        <v>580</v>
      </c>
      <c r="Y69" s="74" t="s">
        <v>282</v>
      </c>
      <c r="Z69" s="74" t="s">
        <v>577</v>
      </c>
      <c r="AA69" s="74" t="b">
        <v>1</v>
      </c>
      <c r="AB69" s="74" t="s">
        <v>580</v>
      </c>
      <c r="AC69" s="74" t="s">
        <v>584</v>
      </c>
      <c r="AD69" s="74">
        <v>2</v>
      </c>
      <c r="AE69" s="74"/>
      <c r="AF69" s="74"/>
    </row>
    <row r="70" spans="1:32" x14ac:dyDescent="0.3">
      <c r="A70" s="97"/>
      <c r="B70" s="107" t="s">
        <v>586</v>
      </c>
      <c r="C70" s="107" t="s">
        <v>581</v>
      </c>
      <c r="D70" s="107" t="s">
        <v>572</v>
      </c>
      <c r="E70" s="107" t="s">
        <v>24</v>
      </c>
      <c r="F70" s="107" t="s">
        <v>588</v>
      </c>
      <c r="G70" s="107" t="s">
        <v>589</v>
      </c>
      <c r="H70" s="108" t="s">
        <v>179</v>
      </c>
      <c r="I70" s="107">
        <v>2</v>
      </c>
      <c r="J70" s="107">
        <v>8</v>
      </c>
      <c r="K70" s="107" t="s">
        <v>183</v>
      </c>
      <c r="L70" s="109" t="s">
        <v>178</v>
      </c>
      <c r="M70" s="109" t="s">
        <v>573</v>
      </c>
      <c r="N70" s="111" t="s">
        <v>612</v>
      </c>
      <c r="O70" s="107" t="str">
        <f t="shared" si="6"/>
        <v>l-mon-whtap03-osdisk</v>
      </c>
      <c r="P70" s="107">
        <v>64</v>
      </c>
      <c r="Q70" s="107" t="s">
        <v>181</v>
      </c>
      <c r="R70" s="107"/>
      <c r="S70" s="107"/>
      <c r="T70" s="107"/>
      <c r="U70" s="107" t="str">
        <f>SUBSTITUTE(F70,"hazr-","")&amp;"-nic"</f>
        <v>l-mon-whtap03-nic</v>
      </c>
      <c r="V70" s="107" t="b">
        <v>1</v>
      </c>
      <c r="W70" s="107" t="b">
        <v>1</v>
      </c>
      <c r="X70" s="107" t="s">
        <v>580</v>
      </c>
      <c r="Y70" s="107" t="s">
        <v>282</v>
      </c>
      <c r="Z70" s="107" t="s">
        <v>577</v>
      </c>
      <c r="AA70" s="107" t="b">
        <v>1</v>
      </c>
      <c r="AB70" s="107" t="s">
        <v>580</v>
      </c>
      <c r="AC70" s="107" t="s">
        <v>585</v>
      </c>
      <c r="AD70" s="107">
        <v>3</v>
      </c>
      <c r="AE70" s="107"/>
      <c r="AF70" s="107"/>
    </row>
    <row r="71" spans="1:32" x14ac:dyDescent="0.3">
      <c r="A71" s="97"/>
      <c r="B71" s="107" t="s">
        <v>182</v>
      </c>
      <c r="C71" s="107" t="str" cm="1">
        <f t="array" ref="C71">UPPER(INDEX(_xlfn.TEXTSPLIT($D71, "-"), 3))</f>
        <v>IF</v>
      </c>
      <c r="D71" s="107" t="s">
        <v>474</v>
      </c>
      <c r="E71" s="107" t="s">
        <v>24</v>
      </c>
      <c r="F71" s="107" t="s">
        <v>595</v>
      </c>
      <c r="G71" s="107" t="s">
        <v>596</v>
      </c>
      <c r="H71" s="108" t="s">
        <v>179</v>
      </c>
      <c r="I71" s="107">
        <v>2</v>
      </c>
      <c r="J71" s="107">
        <v>8</v>
      </c>
      <c r="K71" s="107" t="s">
        <v>183</v>
      </c>
      <c r="L71" s="109" t="s">
        <v>178</v>
      </c>
      <c r="M71" s="109" t="s">
        <v>573</v>
      </c>
      <c r="N71" s="111" t="s">
        <v>618</v>
      </c>
      <c r="O71" s="107" t="str">
        <f t="shared" si="6"/>
        <v>t-if-icsweb01-osdisk</v>
      </c>
      <c r="P71" s="107">
        <v>64</v>
      </c>
      <c r="Q71" s="107" t="s">
        <v>181</v>
      </c>
      <c r="R71" s="107"/>
      <c r="S71" s="107"/>
      <c r="T71" s="107"/>
      <c r="U71" s="107" t="str">
        <f>SUBSTITUTE(F71,"hazr-","")&amp;"-nic"</f>
        <v>t-if-icsweb01-nic</v>
      </c>
      <c r="V71" s="107" t="b">
        <v>1</v>
      </c>
      <c r="W71" s="107" t="b">
        <v>1</v>
      </c>
      <c r="X71" s="107" t="s">
        <v>198</v>
      </c>
      <c r="Y71" s="107" t="s">
        <v>199</v>
      </c>
      <c r="Z71" s="107" t="s">
        <v>338</v>
      </c>
      <c r="AA71" s="107" t="b">
        <v>1</v>
      </c>
      <c r="AB71" s="107" t="s">
        <v>198</v>
      </c>
      <c r="AC71" s="107" t="s">
        <v>210</v>
      </c>
      <c r="AD71" s="107">
        <v>3</v>
      </c>
      <c r="AE71" s="107"/>
      <c r="AF71" s="107"/>
    </row>
    <row r="72" spans="1:32" x14ac:dyDescent="0.3">
      <c r="A72" s="97"/>
      <c r="B72" s="107" t="s">
        <v>182</v>
      </c>
      <c r="C72" s="107" t="str" cm="1">
        <f t="array" ref="C72">UPPER(INDEX(_xlfn.TEXTSPLIT($D72, "-"), 3))</f>
        <v>COM</v>
      </c>
      <c r="D72" s="107" t="s">
        <v>613</v>
      </c>
      <c r="E72" s="107" t="s">
        <v>24</v>
      </c>
      <c r="F72" s="107" t="s">
        <v>614</v>
      </c>
      <c r="G72" s="107" t="s">
        <v>616</v>
      </c>
      <c r="H72" s="108" t="s">
        <v>179</v>
      </c>
      <c r="I72" s="107">
        <v>2</v>
      </c>
      <c r="J72" s="107">
        <v>8</v>
      </c>
      <c r="K72" s="107" t="s">
        <v>183</v>
      </c>
      <c r="L72" s="109" t="s">
        <v>178</v>
      </c>
      <c r="M72" s="109" t="s">
        <v>573</v>
      </c>
      <c r="N72" s="112" t="s">
        <v>618</v>
      </c>
      <c r="O72" s="107" t="str">
        <f t="shared" si="6"/>
        <v>t-com-esnweb01-osdisk</v>
      </c>
      <c r="P72" s="107">
        <v>64</v>
      </c>
      <c r="Q72" s="107" t="s">
        <v>181</v>
      </c>
      <c r="R72" s="107"/>
      <c r="S72" s="107"/>
      <c r="T72" s="107"/>
      <c r="U72" s="107" t="str">
        <f>SUBSTITUTE(F72,"hazr-","")&amp;"-nic"</f>
        <v>t-com-esnweb01-nic</v>
      </c>
      <c r="V72" s="107" t="b">
        <v>1</v>
      </c>
      <c r="W72" s="107" t="b">
        <v>1</v>
      </c>
      <c r="X72" s="107" t="s">
        <v>198</v>
      </c>
      <c r="Y72" s="107" t="s">
        <v>199</v>
      </c>
      <c r="Z72" s="107" t="s">
        <v>336</v>
      </c>
      <c r="AA72" s="107" t="b">
        <v>1</v>
      </c>
      <c r="AB72" s="107" t="s">
        <v>198</v>
      </c>
      <c r="AC72" s="107" t="s">
        <v>210</v>
      </c>
      <c r="AD72" s="107">
        <v>3</v>
      </c>
      <c r="AE72" s="107"/>
      <c r="AF72" s="107"/>
    </row>
    <row r="73" spans="1:32" x14ac:dyDescent="0.3">
      <c r="A73" s="97"/>
      <c r="B73" s="107" t="s">
        <v>182</v>
      </c>
      <c r="C73" s="107" t="str" cm="1">
        <f t="array" ref="C73">UPPER(INDEX(_xlfn.TEXTSPLIT($D73, "-"), 3))</f>
        <v>COM</v>
      </c>
      <c r="D73" s="107" t="s">
        <v>613</v>
      </c>
      <c r="E73" s="107" t="s">
        <v>24</v>
      </c>
      <c r="F73" s="107" t="s">
        <v>615</v>
      </c>
      <c r="G73" s="107" t="s">
        <v>617</v>
      </c>
      <c r="H73" s="108" t="s">
        <v>179</v>
      </c>
      <c r="I73" s="107">
        <v>2</v>
      </c>
      <c r="J73" s="107">
        <v>8</v>
      </c>
      <c r="K73" s="107" t="s">
        <v>183</v>
      </c>
      <c r="L73" s="109" t="s">
        <v>178</v>
      </c>
      <c r="M73" s="109" t="s">
        <v>573</v>
      </c>
      <c r="N73" s="112" t="s">
        <v>618</v>
      </c>
      <c r="O73" s="107" t="str">
        <f t="shared" si="6"/>
        <v>t-com-esnwas01-osdisk</v>
      </c>
      <c r="P73" s="107">
        <v>64</v>
      </c>
      <c r="Q73" s="107" t="s">
        <v>181</v>
      </c>
      <c r="R73" s="107"/>
      <c r="S73" s="107"/>
      <c r="T73" s="107"/>
      <c r="U73" s="107" t="str">
        <f>SUBSTITUTE(F73,"hazr-","")&amp;"-nic"</f>
        <v>t-com-esnwas01-nic</v>
      </c>
      <c r="V73" s="107" t="b">
        <v>1</v>
      </c>
      <c r="W73" s="107" t="b">
        <v>1</v>
      </c>
      <c r="X73" s="107" t="s">
        <v>198</v>
      </c>
      <c r="Y73" s="107" t="s">
        <v>200</v>
      </c>
      <c r="Z73" s="107" t="s">
        <v>318</v>
      </c>
      <c r="AA73" s="107" t="b">
        <v>1</v>
      </c>
      <c r="AB73" s="107" t="s">
        <v>198</v>
      </c>
      <c r="AC73" s="107" t="s">
        <v>210</v>
      </c>
      <c r="AD73" s="107">
        <v>3</v>
      </c>
      <c r="AE73" s="107"/>
      <c r="AF73" s="107"/>
    </row>
    <row r="74" spans="1:32" x14ac:dyDescent="0.3">
      <c r="B74" s="107" t="s">
        <v>182</v>
      </c>
      <c r="C74" s="114" t="s">
        <v>619</v>
      </c>
      <c r="D74" s="114" t="s">
        <v>383</v>
      </c>
      <c r="E74" s="107" t="s">
        <v>24</v>
      </c>
      <c r="F74" s="107" t="s">
        <v>622</v>
      </c>
      <c r="G74" s="107" t="s">
        <v>621</v>
      </c>
      <c r="H74" s="108" t="s">
        <v>179</v>
      </c>
      <c r="I74" s="107">
        <v>2</v>
      </c>
      <c r="J74" s="107">
        <v>8</v>
      </c>
      <c r="K74" s="107" t="s">
        <v>183</v>
      </c>
      <c r="L74" s="109" t="s">
        <v>178</v>
      </c>
      <c r="M74" s="109" t="s">
        <v>573</v>
      </c>
      <c r="N74" s="112" t="s">
        <v>618</v>
      </c>
      <c r="O74" s="114" t="str">
        <f>SUBSTITUTE(F74,"hazr-","")&amp;"-osdisk"</f>
        <v>t-dtg-bbigeoap01-osdisk</v>
      </c>
      <c r="P74" s="107">
        <v>64</v>
      </c>
      <c r="Q74" s="107" t="s">
        <v>181</v>
      </c>
      <c r="R74" s="114"/>
      <c r="S74" s="107"/>
      <c r="T74" s="114"/>
      <c r="U74" s="114" t="str">
        <f>SUBSTITUTE(F74,"hazr-","")&amp;"-nic"</f>
        <v>t-dtg-bbigeoap01-nic</v>
      </c>
      <c r="V74" s="107" t="b">
        <v>1</v>
      </c>
      <c r="W74" s="107" t="b">
        <v>1</v>
      </c>
      <c r="X74" s="107" t="s">
        <v>198</v>
      </c>
      <c r="Y74" s="107" t="s">
        <v>200</v>
      </c>
      <c r="Z74" s="107" t="s">
        <v>310</v>
      </c>
      <c r="AA74" s="107" t="b">
        <v>1</v>
      </c>
      <c r="AB74" s="107" t="s">
        <v>198</v>
      </c>
      <c r="AC74" s="107" t="s">
        <v>210</v>
      </c>
      <c r="AD74" s="107">
        <v>3</v>
      </c>
      <c r="AE74" s="107"/>
      <c r="AF74" s="107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74"/>
  <sheetViews>
    <sheetView workbookViewId="0">
      <pane xSplit="3" ySplit="1" topLeftCell="D52" activePane="bottomRight" state="frozen"/>
      <selection pane="topRight" activeCell="D1" sqref="D1"/>
      <selection pane="bottomLeft" activeCell="A2" sqref="A2"/>
      <selection pane="bottomRight" activeCell="F74" sqref="F74"/>
    </sheetView>
  </sheetViews>
  <sheetFormatPr defaultRowHeight="16.5" x14ac:dyDescent="0.3"/>
  <cols>
    <col min="1" max="1" width="1.25" style="75" customWidth="1"/>
    <col min="2" max="2" width="5.75" style="75" bestFit="1" customWidth="1"/>
    <col min="3" max="3" width="9.375" style="75" bestFit="1" customWidth="1"/>
    <col min="4" max="4" width="17.625" style="75" bestFit="1" customWidth="1"/>
    <col min="5" max="5" width="17.625" style="75" customWidth="1"/>
    <col min="6" max="6" width="19.875" style="75" bestFit="1" customWidth="1"/>
    <col min="7" max="7" width="21.5" style="75" bestFit="1" customWidth="1"/>
    <col min="8" max="8" width="15" style="75" bestFit="1" customWidth="1"/>
    <col min="9" max="9" width="12.25" style="75" customWidth="1"/>
    <col min="10" max="10" width="21.5" style="75" bestFit="1" customWidth="1"/>
    <col min="11" max="11" width="15" style="75" bestFit="1" customWidth="1"/>
    <col min="12" max="14" width="14.125" style="75" customWidth="1"/>
    <col min="15" max="15" width="15.625" style="75" bestFit="1" customWidth="1"/>
    <col min="16" max="16" width="21.125" style="75" bestFit="1" customWidth="1"/>
    <col min="17" max="17" width="14.125" style="75" customWidth="1"/>
  </cols>
  <sheetData>
    <row r="1" spans="1:18" x14ac:dyDescent="0.3">
      <c r="A1" s="76"/>
      <c r="B1" s="77" t="s">
        <v>0</v>
      </c>
      <c r="C1" s="77" t="s">
        <v>1</v>
      </c>
      <c r="D1" s="72" t="s">
        <v>2</v>
      </c>
      <c r="E1" s="72" t="s">
        <v>3</v>
      </c>
      <c r="F1" s="72" t="s">
        <v>184</v>
      </c>
      <c r="G1" s="72" t="s">
        <v>186</v>
      </c>
      <c r="H1" s="72" t="s">
        <v>188</v>
      </c>
      <c r="I1" s="72" t="s">
        <v>189</v>
      </c>
      <c r="J1" s="72" t="s">
        <v>187</v>
      </c>
      <c r="K1" s="72" t="s">
        <v>190</v>
      </c>
      <c r="L1" s="72" t="s">
        <v>191</v>
      </c>
      <c r="M1" s="72" t="s">
        <v>185</v>
      </c>
      <c r="N1" s="72" t="s">
        <v>193</v>
      </c>
      <c r="O1" s="72" t="s">
        <v>195</v>
      </c>
      <c r="P1" s="72" t="s">
        <v>129</v>
      </c>
      <c r="Q1" s="72" t="s">
        <v>192</v>
      </c>
      <c r="R1" s="77" t="s">
        <v>78</v>
      </c>
    </row>
    <row r="2" spans="1:18" x14ac:dyDescent="0.3">
      <c r="A2" s="94"/>
      <c r="B2" s="73" t="s">
        <v>182</v>
      </c>
      <c r="C2" s="73" t="str" cm="1">
        <f t="array" ref="C2">UPPER(INDEX(_xlfn.TEXTSPLIT($D2, "-"), 3))</f>
        <v>CS</v>
      </c>
      <c r="D2" s="73" t="s">
        <v>205</v>
      </c>
      <c r="E2" s="88" t="s">
        <v>24</v>
      </c>
      <c r="F2" s="73" t="s">
        <v>206</v>
      </c>
      <c r="G2" s="73" t="str">
        <f>SUBSTITUTE($F2,"hazr-","")&amp;"-disk01"</f>
        <v>t-cs-chtweb01-disk01</v>
      </c>
      <c r="H2" s="73" t="s">
        <v>181</v>
      </c>
      <c r="I2" s="73">
        <v>128</v>
      </c>
      <c r="J2" s="73" t="str">
        <f>SUBSTITUTE($F2,"hazr-","")&amp;"-disk02"</f>
        <v>t-cs-chtweb01-disk02</v>
      </c>
      <c r="K2" s="73" t="s">
        <v>181</v>
      </c>
      <c r="L2" s="73">
        <v>128</v>
      </c>
      <c r="M2" s="73">
        <v>3</v>
      </c>
      <c r="N2" s="73" t="s">
        <v>194</v>
      </c>
      <c r="O2" s="73" t="s">
        <v>198</v>
      </c>
      <c r="P2" s="73" t="s">
        <v>210</v>
      </c>
      <c r="Q2" s="73" t="b">
        <v>1</v>
      </c>
      <c r="R2" s="73"/>
    </row>
    <row r="3" spans="1:18" x14ac:dyDescent="0.3">
      <c r="A3" s="95"/>
      <c r="B3" s="74" t="s">
        <v>182</v>
      </c>
      <c r="C3" s="74" t="str" cm="1">
        <f t="array" ref="C3">UPPER(INDEX(_xlfn.TEXTSPLIT($D3, "-"), 3))</f>
        <v>CS</v>
      </c>
      <c r="D3" s="74" t="s">
        <v>205</v>
      </c>
      <c r="E3" s="89" t="s">
        <v>24</v>
      </c>
      <c r="F3" s="74" t="s">
        <v>207</v>
      </c>
      <c r="G3" s="74" t="str">
        <f t="shared" ref="G3:G4" si="0">SUBSTITUTE($F3,"hazr-","")&amp;"-disk01"</f>
        <v>t-cs-chtintweb01-disk01</v>
      </c>
      <c r="H3" s="74" t="s">
        <v>181</v>
      </c>
      <c r="I3" s="74">
        <v>128</v>
      </c>
      <c r="J3" s="74" t="str">
        <f>SUBSTITUTE($F3,"hazr-","")&amp;"-disk02"</f>
        <v>t-cs-chtintweb01-disk02</v>
      </c>
      <c r="K3" s="74" t="s">
        <v>181</v>
      </c>
      <c r="L3" s="74">
        <v>128</v>
      </c>
      <c r="M3" s="74">
        <v>3</v>
      </c>
      <c r="N3" s="74" t="s">
        <v>194</v>
      </c>
      <c r="O3" s="74" t="s">
        <v>198</v>
      </c>
      <c r="P3" s="74" t="s">
        <v>210</v>
      </c>
      <c r="Q3" s="74" t="b">
        <v>1</v>
      </c>
      <c r="R3" s="74"/>
    </row>
    <row r="4" spans="1:18" x14ac:dyDescent="0.3">
      <c r="A4" s="94"/>
      <c r="B4" s="73" t="s">
        <v>182</v>
      </c>
      <c r="C4" s="73" t="str" cm="1">
        <f t="array" ref="C4">UPPER(INDEX(_xlfn.TEXTSPLIT($D4, "-"), 3))</f>
        <v>CS</v>
      </c>
      <c r="D4" s="73" t="s">
        <v>205</v>
      </c>
      <c r="E4" s="88" t="s">
        <v>24</v>
      </c>
      <c r="F4" s="73" t="s">
        <v>284</v>
      </c>
      <c r="G4" s="73" t="str">
        <f t="shared" si="0"/>
        <v>t-cs-chtap01-disk01</v>
      </c>
      <c r="H4" s="73" t="s">
        <v>181</v>
      </c>
      <c r="I4" s="73">
        <v>128</v>
      </c>
      <c r="J4" s="73" t="str">
        <f>SUBSTITUTE($F4,"hazr-","")&amp;"-disk02"</f>
        <v>t-cs-chtap01-disk02</v>
      </c>
      <c r="K4" s="73" t="s">
        <v>181</v>
      </c>
      <c r="L4" s="73">
        <v>128</v>
      </c>
      <c r="M4" s="73">
        <v>3</v>
      </c>
      <c r="N4" s="73" t="s">
        <v>194</v>
      </c>
      <c r="O4" s="73" t="s">
        <v>198</v>
      </c>
      <c r="P4" s="73" t="s">
        <v>210</v>
      </c>
      <c r="Q4" s="73" t="b">
        <v>1</v>
      </c>
      <c r="R4" s="73"/>
    </row>
    <row r="5" spans="1:18" x14ac:dyDescent="0.3">
      <c r="A5" s="95"/>
      <c r="B5" s="78" t="s">
        <v>182</v>
      </c>
      <c r="C5" s="74" t="str" cm="1">
        <f t="array" ref="C5">UPPER(INDEX(_xlfn.TEXTSPLIT($D5, "-"), 3))</f>
        <v>DIS</v>
      </c>
      <c r="D5" s="78" t="s">
        <v>286</v>
      </c>
      <c r="E5" s="89" t="s">
        <v>24</v>
      </c>
      <c r="F5" s="74" t="s">
        <v>499</v>
      </c>
      <c r="G5" s="74" t="str">
        <f>SUBSTITUTE($F5,"hazr-","")&amp;"-disk01"</f>
        <v>t-dis-ap01-disk01</v>
      </c>
      <c r="H5" s="74" t="s">
        <v>181</v>
      </c>
      <c r="I5" s="74">
        <v>128</v>
      </c>
      <c r="J5" s="74" t="str">
        <f t="shared" ref="J5:J65" si="1">SUBSTITUTE($F5,"hazr-","")&amp;"-disk02"</f>
        <v>t-dis-ap01-disk02</v>
      </c>
      <c r="K5" s="74" t="s">
        <v>181</v>
      </c>
      <c r="L5" s="74">
        <v>128</v>
      </c>
      <c r="M5" s="74">
        <v>3</v>
      </c>
      <c r="N5" s="74" t="s">
        <v>194</v>
      </c>
      <c r="O5" s="74" t="s">
        <v>198</v>
      </c>
      <c r="P5" s="74" t="s">
        <v>210</v>
      </c>
      <c r="Q5" s="74" t="b">
        <v>1</v>
      </c>
      <c r="R5" s="74"/>
    </row>
    <row r="6" spans="1:18" x14ac:dyDescent="0.3">
      <c r="A6" s="98"/>
      <c r="B6" s="88" t="s">
        <v>182</v>
      </c>
      <c r="C6" s="73" t="str" cm="1">
        <f t="array" ref="C6">UPPER(INDEX(_xlfn.TEXTSPLIT($D6, "-"), 3))</f>
        <v>DIS</v>
      </c>
      <c r="D6" s="88" t="s">
        <v>286</v>
      </c>
      <c r="E6" s="88" t="s">
        <v>24</v>
      </c>
      <c r="F6" s="73" t="s">
        <v>500</v>
      </c>
      <c r="G6" s="73" t="str">
        <f>SUBSTITUTE($F6,"hazr-","")&amp;"-disk01"</f>
        <v>t-dis-adm01-disk01</v>
      </c>
      <c r="H6" s="73" t="s">
        <v>181</v>
      </c>
      <c r="I6" s="73">
        <v>128</v>
      </c>
      <c r="J6" s="73" t="str">
        <f t="shared" si="1"/>
        <v>t-dis-adm01-disk02</v>
      </c>
      <c r="K6" s="73" t="s">
        <v>181</v>
      </c>
      <c r="L6" s="73">
        <v>128</v>
      </c>
      <c r="M6" s="73">
        <v>3</v>
      </c>
      <c r="N6" s="73" t="s">
        <v>194</v>
      </c>
      <c r="O6" s="73" t="s">
        <v>198</v>
      </c>
      <c r="P6" s="73" t="s">
        <v>210</v>
      </c>
      <c r="Q6" s="73" t="b">
        <v>1</v>
      </c>
      <c r="R6" s="73"/>
    </row>
    <row r="7" spans="1:18" x14ac:dyDescent="0.3">
      <c r="A7" s="98"/>
      <c r="B7" s="78" t="s">
        <v>182</v>
      </c>
      <c r="C7" s="74" t="str" cm="1">
        <f t="array" ref="C7">UPPER(INDEX(_xlfn.TEXTSPLIT($D7, "-"), 3))</f>
        <v>DIS</v>
      </c>
      <c r="D7" s="78" t="s">
        <v>286</v>
      </c>
      <c r="E7" s="89" t="s">
        <v>24</v>
      </c>
      <c r="F7" s="74" t="s">
        <v>501</v>
      </c>
      <c r="G7" s="74" t="str">
        <f t="shared" ref="G7:G68" si="2">SUBSTITUTE($F7,"hazr-","")&amp;"-disk01"</f>
        <v>t-dis-bbiweb01-disk01</v>
      </c>
      <c r="H7" s="74" t="s">
        <v>181</v>
      </c>
      <c r="I7" s="74">
        <v>128</v>
      </c>
      <c r="J7" s="74" t="str">
        <f t="shared" si="1"/>
        <v>t-dis-bbiweb01-disk02</v>
      </c>
      <c r="K7" s="74" t="s">
        <v>181</v>
      </c>
      <c r="L7" s="74">
        <v>128</v>
      </c>
      <c r="M7" s="74">
        <v>3</v>
      </c>
      <c r="N7" s="74" t="s">
        <v>194</v>
      </c>
      <c r="O7" s="74" t="s">
        <v>198</v>
      </c>
      <c r="P7" s="74" t="s">
        <v>210</v>
      </c>
      <c r="Q7" s="74" t="b">
        <v>1</v>
      </c>
      <c r="R7" s="74"/>
    </row>
    <row r="8" spans="1:18" x14ac:dyDescent="0.3">
      <c r="A8" s="98"/>
      <c r="B8" s="88" t="s">
        <v>182</v>
      </c>
      <c r="C8" s="73" t="str" cm="1">
        <f t="array" ref="C8">UPPER(INDEX(_xlfn.TEXTSPLIT($D8, "-"), 3))</f>
        <v>DIS</v>
      </c>
      <c r="D8" s="88" t="s">
        <v>286</v>
      </c>
      <c r="E8" s="88" t="s">
        <v>24</v>
      </c>
      <c r="F8" s="73" t="s">
        <v>502</v>
      </c>
      <c r="G8" s="73" t="str">
        <f t="shared" si="2"/>
        <v>t-dis-bbicltap01-disk01</v>
      </c>
      <c r="H8" s="73" t="s">
        <v>181</v>
      </c>
      <c r="I8" s="73">
        <v>128</v>
      </c>
      <c r="J8" s="73" t="str">
        <f t="shared" si="1"/>
        <v>t-dis-bbicltap01-disk02</v>
      </c>
      <c r="K8" s="73" t="s">
        <v>181</v>
      </c>
      <c r="L8" s="73">
        <v>128</v>
      </c>
      <c r="M8" s="73">
        <v>3</v>
      </c>
      <c r="N8" s="73" t="s">
        <v>194</v>
      </c>
      <c r="O8" s="73" t="s">
        <v>198</v>
      </c>
      <c r="P8" s="73" t="s">
        <v>210</v>
      </c>
      <c r="Q8" s="73" t="b">
        <v>1</v>
      </c>
      <c r="R8" s="73"/>
    </row>
    <row r="9" spans="1:18" x14ac:dyDescent="0.3">
      <c r="A9" s="98"/>
      <c r="B9" s="78" t="s">
        <v>182</v>
      </c>
      <c r="C9" s="74" t="str" cm="1">
        <f t="array" ref="C9">UPPER(INDEX(_xlfn.TEXTSPLIT($D9, "-"), 3))</f>
        <v>DIS</v>
      </c>
      <c r="D9" s="78" t="s">
        <v>286</v>
      </c>
      <c r="E9" s="89" t="s">
        <v>24</v>
      </c>
      <c r="F9" s="74" t="s">
        <v>503</v>
      </c>
      <c r="G9" s="74" t="str">
        <f t="shared" si="2"/>
        <v>t-dis-bbimsgap01-disk01</v>
      </c>
      <c r="H9" s="74" t="s">
        <v>181</v>
      </c>
      <c r="I9" s="74">
        <v>128</v>
      </c>
      <c r="J9" s="74" t="str">
        <f t="shared" si="1"/>
        <v>t-dis-bbimsgap01-disk02</v>
      </c>
      <c r="K9" s="74" t="s">
        <v>181</v>
      </c>
      <c r="L9" s="74">
        <v>128</v>
      </c>
      <c r="M9" s="74">
        <v>3</v>
      </c>
      <c r="N9" s="74" t="s">
        <v>194</v>
      </c>
      <c r="O9" s="74" t="s">
        <v>198</v>
      </c>
      <c r="P9" s="74" t="s">
        <v>210</v>
      </c>
      <c r="Q9" s="74" t="b">
        <v>1</v>
      </c>
      <c r="R9" s="74"/>
    </row>
    <row r="10" spans="1:18" x14ac:dyDescent="0.3">
      <c r="A10" s="98"/>
      <c r="B10" s="78" t="s">
        <v>182</v>
      </c>
      <c r="C10" s="74" t="str" cm="1">
        <f t="array" ref="C10">UPPER(INDEX(_xlfn.TEXTSPLIT($D10, "-"), 3))</f>
        <v>DIS</v>
      </c>
      <c r="D10" s="78" t="s">
        <v>286</v>
      </c>
      <c r="E10" s="89" t="s">
        <v>24</v>
      </c>
      <c r="F10" s="74" t="s">
        <v>504</v>
      </c>
      <c r="G10" s="74" t="str">
        <f t="shared" si="2"/>
        <v>t-dis-bat01-disk01</v>
      </c>
      <c r="H10" s="74" t="s">
        <v>181</v>
      </c>
      <c r="I10" s="74">
        <v>128</v>
      </c>
      <c r="J10" s="74" t="str">
        <f t="shared" si="1"/>
        <v>t-dis-bat01-disk02</v>
      </c>
      <c r="K10" s="74" t="s">
        <v>181</v>
      </c>
      <c r="L10" s="74">
        <v>128</v>
      </c>
      <c r="M10" s="74">
        <v>3</v>
      </c>
      <c r="N10" s="74" t="s">
        <v>194</v>
      </c>
      <c r="O10" s="74" t="s">
        <v>198</v>
      </c>
      <c r="P10" s="74" t="s">
        <v>210</v>
      </c>
      <c r="Q10" s="74" t="b">
        <v>1</v>
      </c>
      <c r="R10" s="74"/>
    </row>
    <row r="11" spans="1:18" x14ac:dyDescent="0.3">
      <c r="A11" s="98"/>
      <c r="B11" s="88" t="s">
        <v>182</v>
      </c>
      <c r="C11" s="73" t="str" cm="1">
        <f t="array" ref="C11">UPPER(INDEX(_xlfn.TEXTSPLIT($D11, "-"), 3))</f>
        <v>DIS</v>
      </c>
      <c r="D11" s="88" t="s">
        <v>286</v>
      </c>
      <c r="E11" s="88" t="s">
        <v>24</v>
      </c>
      <c r="F11" s="73" t="s">
        <v>505</v>
      </c>
      <c r="G11" s="73" t="str">
        <f t="shared" si="2"/>
        <v>t-dis-drvcltap01-disk01</v>
      </c>
      <c r="H11" s="73" t="s">
        <v>181</v>
      </c>
      <c r="I11" s="73">
        <v>128</v>
      </c>
      <c r="J11" s="73" t="str">
        <f t="shared" si="1"/>
        <v>t-dis-drvcltap01-disk02</v>
      </c>
      <c r="K11" s="73" t="s">
        <v>181</v>
      </c>
      <c r="L11" s="73">
        <v>128</v>
      </c>
      <c r="M11" s="73">
        <v>3</v>
      </c>
      <c r="N11" s="73" t="s">
        <v>194</v>
      </c>
      <c r="O11" s="73" t="s">
        <v>198</v>
      </c>
      <c r="P11" s="73" t="s">
        <v>210</v>
      </c>
      <c r="Q11" s="73" t="b">
        <v>1</v>
      </c>
      <c r="R11" s="73"/>
    </row>
    <row r="12" spans="1:18" x14ac:dyDescent="0.3">
      <c r="A12" s="98"/>
      <c r="B12" s="88" t="s">
        <v>182</v>
      </c>
      <c r="C12" s="73" t="str" cm="1">
        <f t="array" ref="C12">UPPER(INDEX(_xlfn.TEXTSPLIT($D12, "-"), 3))</f>
        <v>DIS</v>
      </c>
      <c r="D12" s="88" t="s">
        <v>286</v>
      </c>
      <c r="E12" s="88" t="s">
        <v>24</v>
      </c>
      <c r="F12" s="73" t="s">
        <v>506</v>
      </c>
      <c r="G12" s="73" t="str">
        <f t="shared" si="2"/>
        <v>t-dis-drvmsgap01-disk01</v>
      </c>
      <c r="H12" s="73" t="s">
        <v>181</v>
      </c>
      <c r="I12" s="73">
        <v>128</v>
      </c>
      <c r="J12" s="73" t="str">
        <f t="shared" si="1"/>
        <v>t-dis-drvmsgap01-disk02</v>
      </c>
      <c r="K12" s="73" t="s">
        <v>181</v>
      </c>
      <c r="L12" s="73">
        <v>128</v>
      </c>
      <c r="M12" s="73">
        <v>3</v>
      </c>
      <c r="N12" s="73" t="s">
        <v>194</v>
      </c>
      <c r="O12" s="73" t="s">
        <v>198</v>
      </c>
      <c r="P12" s="73" t="s">
        <v>210</v>
      </c>
      <c r="Q12" s="73" t="b">
        <v>1</v>
      </c>
      <c r="R12" s="73"/>
    </row>
    <row r="13" spans="1:18" x14ac:dyDescent="0.3">
      <c r="A13" s="98"/>
      <c r="B13" s="78" t="s">
        <v>182</v>
      </c>
      <c r="C13" s="74" t="str" cm="1">
        <f t="array" ref="C13">UPPER(INDEX(_xlfn.TEXTSPLIT($D13, "-"), 3))</f>
        <v>DIS</v>
      </c>
      <c r="D13" s="78" t="s">
        <v>286</v>
      </c>
      <c r="E13" s="89" t="s">
        <v>24</v>
      </c>
      <c r="F13" s="74" t="s">
        <v>507</v>
      </c>
      <c r="G13" s="74" t="str">
        <f t="shared" si="2"/>
        <v>t-dis-web01-disk01</v>
      </c>
      <c r="H13" s="74" t="s">
        <v>181</v>
      </c>
      <c r="I13" s="74">
        <v>128</v>
      </c>
      <c r="J13" s="74" t="str">
        <f t="shared" si="1"/>
        <v>t-dis-web01-disk02</v>
      </c>
      <c r="K13" s="74" t="s">
        <v>181</v>
      </c>
      <c r="L13" s="74">
        <v>128</v>
      </c>
      <c r="M13" s="74">
        <v>3</v>
      </c>
      <c r="N13" s="74" t="s">
        <v>194</v>
      </c>
      <c r="O13" s="74" t="s">
        <v>198</v>
      </c>
      <c r="P13" s="74" t="s">
        <v>210</v>
      </c>
      <c r="Q13" s="74" t="b">
        <v>1</v>
      </c>
      <c r="R13" s="74"/>
    </row>
    <row r="14" spans="1:18" x14ac:dyDescent="0.3">
      <c r="A14" s="98"/>
      <c r="B14" s="88" t="s">
        <v>182</v>
      </c>
      <c r="C14" s="73" t="str" cm="1">
        <f t="array" ref="C14">UPPER(INDEX(_xlfn.TEXTSPLIT($D14, "-"), 3))</f>
        <v>DIS</v>
      </c>
      <c r="D14" s="88" t="s">
        <v>286</v>
      </c>
      <c r="E14" s="88" t="s">
        <v>24</v>
      </c>
      <c r="F14" s="73" t="s">
        <v>508</v>
      </c>
      <c r="G14" s="73" t="str">
        <f t="shared" si="2"/>
        <v>t-dis-cmsadm01-disk01</v>
      </c>
      <c r="H14" s="73" t="s">
        <v>181</v>
      </c>
      <c r="I14" s="73">
        <v>128</v>
      </c>
      <c r="J14" s="73" t="str">
        <f t="shared" si="1"/>
        <v>t-dis-cmsadm01-disk02</v>
      </c>
      <c r="K14" s="73" t="s">
        <v>181</v>
      </c>
      <c r="L14" s="73">
        <v>128</v>
      </c>
      <c r="M14" s="73">
        <v>3</v>
      </c>
      <c r="N14" s="73" t="s">
        <v>194</v>
      </c>
      <c r="O14" s="73" t="s">
        <v>198</v>
      </c>
      <c r="P14" s="73" t="s">
        <v>210</v>
      </c>
      <c r="Q14" s="73" t="b">
        <v>1</v>
      </c>
      <c r="R14" s="73"/>
    </row>
    <row r="15" spans="1:18" x14ac:dyDescent="0.3">
      <c r="A15" s="98"/>
      <c r="B15" s="78" t="s">
        <v>182</v>
      </c>
      <c r="C15" s="74" t="str" cm="1">
        <f t="array" ref="C15">UPPER(INDEX(_xlfn.TEXTSPLIT($D15, "-"), 3))</f>
        <v>DIS</v>
      </c>
      <c r="D15" s="78" t="s">
        <v>286</v>
      </c>
      <c r="E15" s="89" t="s">
        <v>24</v>
      </c>
      <c r="F15" s="74" t="s">
        <v>509</v>
      </c>
      <c r="G15" s="74" t="str">
        <f t="shared" si="2"/>
        <v>t-dis-cmsap01-disk01</v>
      </c>
      <c r="H15" s="74" t="s">
        <v>181</v>
      </c>
      <c r="I15" s="74">
        <v>128</v>
      </c>
      <c r="J15" s="74" t="str">
        <f t="shared" si="1"/>
        <v>t-dis-cmsap01-disk02</v>
      </c>
      <c r="K15" s="74" t="s">
        <v>181</v>
      </c>
      <c r="L15" s="74">
        <v>128</v>
      </c>
      <c r="M15" s="74">
        <v>3</v>
      </c>
      <c r="N15" s="74" t="s">
        <v>194</v>
      </c>
      <c r="O15" s="74" t="s">
        <v>198</v>
      </c>
      <c r="P15" s="74" t="s">
        <v>210</v>
      </c>
      <c r="Q15" s="74" t="b">
        <v>1</v>
      </c>
      <c r="R15" s="74"/>
    </row>
    <row r="16" spans="1:18" x14ac:dyDescent="0.3">
      <c r="A16" s="98"/>
      <c r="B16" s="88" t="s">
        <v>182</v>
      </c>
      <c r="C16" s="73" t="str" cm="1">
        <f t="array" ref="C16">UPPER(INDEX(_xlfn.TEXTSPLIT($D16, "-"), 3))</f>
        <v>DIS</v>
      </c>
      <c r="D16" s="88" t="s">
        <v>286</v>
      </c>
      <c r="E16" s="88" t="s">
        <v>24</v>
      </c>
      <c r="F16" s="73" t="s">
        <v>510</v>
      </c>
      <c r="G16" s="73" t="str">
        <f t="shared" si="2"/>
        <v>t-dis-cmsweb01-disk01</v>
      </c>
      <c r="H16" s="73" t="s">
        <v>181</v>
      </c>
      <c r="I16" s="73">
        <v>128</v>
      </c>
      <c r="J16" s="73" t="str">
        <f t="shared" si="1"/>
        <v>t-dis-cmsweb01-disk02</v>
      </c>
      <c r="K16" s="73" t="s">
        <v>181</v>
      </c>
      <c r="L16" s="73">
        <v>128</v>
      </c>
      <c r="M16" s="73">
        <v>3</v>
      </c>
      <c r="N16" s="73" t="s">
        <v>194</v>
      </c>
      <c r="O16" s="73" t="s">
        <v>198</v>
      </c>
      <c r="P16" s="73" t="s">
        <v>210</v>
      </c>
      <c r="Q16" s="73" t="b">
        <v>1</v>
      </c>
      <c r="R16" s="73"/>
    </row>
    <row r="17" spans="1:18" x14ac:dyDescent="0.3">
      <c r="A17" s="98"/>
      <c r="B17" s="78" t="s">
        <v>182</v>
      </c>
      <c r="C17" s="74" t="str" cm="1">
        <f t="array" ref="C17">UPPER(INDEX(_xlfn.TEXTSPLIT($D17, "-"), 3))</f>
        <v>DIS</v>
      </c>
      <c r="D17" s="78" t="s">
        <v>286</v>
      </c>
      <c r="E17" s="89" t="s">
        <v>24</v>
      </c>
      <c r="F17" s="74" t="s">
        <v>511</v>
      </c>
      <c r="G17" s="74" t="str">
        <f t="shared" si="2"/>
        <v>t-dis-cmbsap01-disk01</v>
      </c>
      <c r="H17" s="74" t="s">
        <v>181</v>
      </c>
      <c r="I17" s="74">
        <v>128</v>
      </c>
      <c r="J17" s="74" t="str">
        <f t="shared" si="1"/>
        <v>t-dis-cmbsap01-disk02</v>
      </c>
      <c r="K17" s="74" t="s">
        <v>181</v>
      </c>
      <c r="L17" s="74">
        <v>128</v>
      </c>
      <c r="M17" s="74">
        <v>3</v>
      </c>
      <c r="N17" s="74" t="s">
        <v>194</v>
      </c>
      <c r="O17" s="74" t="s">
        <v>198</v>
      </c>
      <c r="P17" s="74" t="s">
        <v>210</v>
      </c>
      <c r="Q17" s="74" t="b">
        <v>1</v>
      </c>
      <c r="R17" s="74"/>
    </row>
    <row r="18" spans="1:18" x14ac:dyDescent="0.3">
      <c r="A18" s="98"/>
      <c r="B18" s="88" t="s">
        <v>182</v>
      </c>
      <c r="C18" s="73" t="str" cm="1">
        <f t="array" ref="C18">UPPER(INDEX(_xlfn.TEXTSPLIT($D18, "-"), 3))</f>
        <v>DIS</v>
      </c>
      <c r="D18" s="88" t="s">
        <v>286</v>
      </c>
      <c r="E18" s="88" t="s">
        <v>24</v>
      </c>
      <c r="F18" s="73" t="s">
        <v>512</v>
      </c>
      <c r="G18" s="73" t="str">
        <f t="shared" si="2"/>
        <v>t-dis-dfir01-disk01</v>
      </c>
      <c r="H18" s="73" t="s">
        <v>565</v>
      </c>
      <c r="I18" s="73" t="s">
        <v>565</v>
      </c>
      <c r="J18" s="73" t="s">
        <v>565</v>
      </c>
      <c r="K18" s="73" t="s">
        <v>565</v>
      </c>
      <c r="L18" s="73" t="s">
        <v>565</v>
      </c>
      <c r="M18" s="73">
        <v>3</v>
      </c>
      <c r="N18" s="73" t="s">
        <v>194</v>
      </c>
      <c r="O18" s="73" t="s">
        <v>198</v>
      </c>
      <c r="P18" s="73" t="s">
        <v>210</v>
      </c>
      <c r="Q18" s="73" t="b">
        <v>1</v>
      </c>
      <c r="R18" s="73"/>
    </row>
    <row r="19" spans="1:18" x14ac:dyDescent="0.3">
      <c r="A19" s="98"/>
      <c r="B19" s="78" t="s">
        <v>182</v>
      </c>
      <c r="C19" s="74" t="str" cm="1">
        <f t="array" ref="C19">UPPER(INDEX(_xlfn.TEXTSPLIT($D19, "-"), 3))</f>
        <v>DTG</v>
      </c>
      <c r="D19" s="78" t="s">
        <v>383</v>
      </c>
      <c r="E19" s="89" t="s">
        <v>24</v>
      </c>
      <c r="F19" s="74" t="s">
        <v>513</v>
      </c>
      <c r="G19" s="74" t="str">
        <f t="shared" si="2"/>
        <v>t-dtg-ingap01-disk01</v>
      </c>
      <c r="H19" s="74" t="s">
        <v>181</v>
      </c>
      <c r="I19" s="74">
        <v>128</v>
      </c>
      <c r="J19" s="74" t="str">
        <f t="shared" si="1"/>
        <v>t-dtg-ingap01-disk02</v>
      </c>
      <c r="K19" s="74" t="s">
        <v>181</v>
      </c>
      <c r="L19" s="74">
        <v>128</v>
      </c>
      <c r="M19" s="74">
        <v>3</v>
      </c>
      <c r="N19" s="74" t="s">
        <v>194</v>
      </c>
      <c r="O19" s="74" t="s">
        <v>198</v>
      </c>
      <c r="P19" s="74" t="s">
        <v>210</v>
      </c>
      <c r="Q19" s="74" t="b">
        <v>1</v>
      </c>
      <c r="R19" s="74"/>
    </row>
    <row r="20" spans="1:18" x14ac:dyDescent="0.3">
      <c r="A20" s="98"/>
      <c r="B20" s="88" t="s">
        <v>182</v>
      </c>
      <c r="C20" s="73" t="str" cm="1">
        <f t="array" ref="C20">UPPER(INDEX(_xlfn.TEXTSPLIT($D20, "-"), 3))</f>
        <v>DTG</v>
      </c>
      <c r="D20" s="88" t="s">
        <v>383</v>
      </c>
      <c r="E20" s="88" t="s">
        <v>24</v>
      </c>
      <c r="F20" s="73" t="s">
        <v>514</v>
      </c>
      <c r="G20" s="73" t="str">
        <f t="shared" si="2"/>
        <v>t-dtg-ap01-disk01</v>
      </c>
      <c r="H20" s="73" t="s">
        <v>181</v>
      </c>
      <c r="I20" s="73">
        <v>128</v>
      </c>
      <c r="J20" s="73" t="str">
        <f t="shared" si="1"/>
        <v>t-dtg-ap01-disk02</v>
      </c>
      <c r="K20" s="73" t="s">
        <v>181</v>
      </c>
      <c r="L20" s="73">
        <v>128</v>
      </c>
      <c r="M20" s="73">
        <v>3</v>
      </c>
      <c r="N20" s="73" t="s">
        <v>194</v>
      </c>
      <c r="O20" s="73" t="s">
        <v>198</v>
      </c>
      <c r="P20" s="73" t="s">
        <v>210</v>
      </c>
      <c r="Q20" s="73" t="b">
        <v>1</v>
      </c>
      <c r="R20" s="73"/>
    </row>
    <row r="21" spans="1:18" x14ac:dyDescent="0.3">
      <c r="A21" s="98"/>
      <c r="B21" s="78" t="s">
        <v>182</v>
      </c>
      <c r="C21" s="74" t="str" cm="1">
        <f t="array" ref="C21">UPPER(INDEX(_xlfn.TEXTSPLIT($D21, "-"), 3))</f>
        <v>DTG</v>
      </c>
      <c r="D21" s="78" t="s">
        <v>383</v>
      </c>
      <c r="E21" s="89" t="s">
        <v>24</v>
      </c>
      <c r="F21" s="74" t="s">
        <v>515</v>
      </c>
      <c r="G21" s="74" t="str">
        <f t="shared" si="2"/>
        <v>t-dtg-extgeoap01-disk01</v>
      </c>
      <c r="H21" s="74" t="s">
        <v>181</v>
      </c>
      <c r="I21" s="74">
        <v>128</v>
      </c>
      <c r="J21" s="74" t="str">
        <f t="shared" si="1"/>
        <v>t-dtg-extgeoap01-disk02</v>
      </c>
      <c r="K21" s="74" t="s">
        <v>181</v>
      </c>
      <c r="L21" s="74">
        <v>128</v>
      </c>
      <c r="M21" s="74">
        <v>3</v>
      </c>
      <c r="N21" s="74" t="s">
        <v>194</v>
      </c>
      <c r="O21" s="74" t="s">
        <v>198</v>
      </c>
      <c r="P21" s="74" t="s">
        <v>210</v>
      </c>
      <c r="Q21" s="74" t="b">
        <v>1</v>
      </c>
      <c r="R21" s="74"/>
    </row>
    <row r="22" spans="1:18" x14ac:dyDescent="0.3">
      <c r="A22" s="98"/>
      <c r="B22" s="88" t="s">
        <v>182</v>
      </c>
      <c r="C22" s="73" t="str" cm="1">
        <f t="array" ref="C22">UPPER(INDEX(_xlfn.TEXTSPLIT($D22, "-"), 3))</f>
        <v>DTG</v>
      </c>
      <c r="D22" s="88" t="s">
        <v>383</v>
      </c>
      <c r="E22" s="88" t="s">
        <v>24</v>
      </c>
      <c r="F22" s="73" t="s">
        <v>516</v>
      </c>
      <c r="G22" s="73" t="str">
        <f t="shared" si="2"/>
        <v>t-dtg-geoap01-disk01</v>
      </c>
      <c r="H22" s="73" t="s">
        <v>181</v>
      </c>
      <c r="I22" s="73">
        <v>128</v>
      </c>
      <c r="J22" s="73" t="str">
        <f t="shared" si="1"/>
        <v>t-dtg-geoap01-disk02</v>
      </c>
      <c r="K22" s="73" t="s">
        <v>181</v>
      </c>
      <c r="L22" s="73">
        <v>128</v>
      </c>
      <c r="M22" s="73">
        <v>3</v>
      </c>
      <c r="N22" s="73" t="s">
        <v>194</v>
      </c>
      <c r="O22" s="73" t="s">
        <v>198</v>
      </c>
      <c r="P22" s="73" t="s">
        <v>210</v>
      </c>
      <c r="Q22" s="73" t="b">
        <v>1</v>
      </c>
      <c r="R22" s="73"/>
    </row>
    <row r="23" spans="1:18" x14ac:dyDescent="0.3">
      <c r="A23" s="98"/>
      <c r="B23" s="78" t="s">
        <v>182</v>
      </c>
      <c r="C23" s="74" t="str" cm="1">
        <f t="array" ref="C23">UPPER(INDEX(_xlfn.TEXTSPLIT($D23, "-"), 3))</f>
        <v>DTG</v>
      </c>
      <c r="D23" s="78" t="s">
        <v>383</v>
      </c>
      <c r="E23" s="89" t="s">
        <v>24</v>
      </c>
      <c r="F23" s="74" t="s">
        <v>517</v>
      </c>
      <c r="G23" s="74" t="str">
        <f t="shared" si="2"/>
        <v>t-dtg-mq01-disk01</v>
      </c>
      <c r="H23" s="74" t="s">
        <v>181</v>
      </c>
      <c r="I23" s="74">
        <v>128</v>
      </c>
      <c r="J23" s="74" t="str">
        <f t="shared" si="1"/>
        <v>t-dtg-mq01-disk02</v>
      </c>
      <c r="K23" s="74" t="s">
        <v>181</v>
      </c>
      <c r="L23" s="74">
        <v>128</v>
      </c>
      <c r="M23" s="74">
        <v>3</v>
      </c>
      <c r="N23" s="74" t="s">
        <v>194</v>
      </c>
      <c r="O23" s="74" t="s">
        <v>198</v>
      </c>
      <c r="P23" s="74" t="s">
        <v>210</v>
      </c>
      <c r="Q23" s="74" t="b">
        <v>1</v>
      </c>
      <c r="R23" s="74"/>
    </row>
    <row r="24" spans="1:18" x14ac:dyDescent="0.3">
      <c r="A24" s="98"/>
      <c r="B24" s="88" t="s">
        <v>182</v>
      </c>
      <c r="C24" s="73" t="str" cm="1">
        <f t="array" ref="C24">UPPER(INDEX(_xlfn.TEXTSPLIT($D24, "-"), 3))</f>
        <v>DTG</v>
      </c>
      <c r="D24" s="88" t="s">
        <v>383</v>
      </c>
      <c r="E24" s="88" t="s">
        <v>24</v>
      </c>
      <c r="F24" s="73" t="s">
        <v>518</v>
      </c>
      <c r="G24" s="73" t="str">
        <f t="shared" si="2"/>
        <v>t-dtg-admweb01-disk01</v>
      </c>
      <c r="H24" s="73" t="s">
        <v>181</v>
      </c>
      <c r="I24" s="73">
        <v>128</v>
      </c>
      <c r="J24" s="73" t="str">
        <f t="shared" si="1"/>
        <v>t-dtg-admweb01-disk02</v>
      </c>
      <c r="K24" s="73" t="s">
        <v>181</v>
      </c>
      <c r="L24" s="73">
        <v>128</v>
      </c>
      <c r="M24" s="73">
        <v>3</v>
      </c>
      <c r="N24" s="73" t="s">
        <v>194</v>
      </c>
      <c r="O24" s="73" t="s">
        <v>198</v>
      </c>
      <c r="P24" s="73" t="s">
        <v>210</v>
      </c>
      <c r="Q24" s="73" t="b">
        <v>1</v>
      </c>
      <c r="R24" s="73"/>
    </row>
    <row r="25" spans="1:18" x14ac:dyDescent="0.3">
      <c r="A25" s="98"/>
      <c r="B25" s="78" t="s">
        <v>182</v>
      </c>
      <c r="C25" s="74" t="str" cm="1">
        <f t="array" ref="C25">UPPER(INDEX(_xlfn.TEXTSPLIT($D25, "-"), 3))</f>
        <v>DTG</v>
      </c>
      <c r="D25" s="78" t="s">
        <v>383</v>
      </c>
      <c r="E25" s="89" t="s">
        <v>24</v>
      </c>
      <c r="F25" s="74" t="s">
        <v>519</v>
      </c>
      <c r="G25" s="74" t="str">
        <f t="shared" si="2"/>
        <v>t-dtg-admap01-disk01</v>
      </c>
      <c r="H25" s="74" t="s">
        <v>181</v>
      </c>
      <c r="I25" s="74">
        <v>128</v>
      </c>
      <c r="J25" s="74" t="str">
        <f t="shared" si="1"/>
        <v>t-dtg-admap01-disk02</v>
      </c>
      <c r="K25" s="74" t="s">
        <v>181</v>
      </c>
      <c r="L25" s="74">
        <v>128</v>
      </c>
      <c r="M25" s="74">
        <v>3</v>
      </c>
      <c r="N25" s="74" t="s">
        <v>194</v>
      </c>
      <c r="O25" s="74" t="s">
        <v>198</v>
      </c>
      <c r="P25" s="74" t="s">
        <v>210</v>
      </c>
      <c r="Q25" s="74" t="b">
        <v>1</v>
      </c>
      <c r="R25" s="74"/>
    </row>
    <row r="26" spans="1:18" x14ac:dyDescent="0.3">
      <c r="A26" s="98"/>
      <c r="B26" s="88" t="s">
        <v>182</v>
      </c>
      <c r="C26" s="73" t="str" cm="1">
        <f t="array" ref="C26">UPPER(INDEX(_xlfn.TEXTSPLIT($D26, "-"), 3))</f>
        <v>DTG</v>
      </c>
      <c r="D26" s="88" t="s">
        <v>383</v>
      </c>
      <c r="E26" s="88" t="s">
        <v>24</v>
      </c>
      <c r="F26" s="73" t="s">
        <v>520</v>
      </c>
      <c r="G26" s="73" t="str">
        <f t="shared" si="2"/>
        <v>t-dtg-dtoms01-disk01</v>
      </c>
      <c r="H26" s="73" t="s">
        <v>181</v>
      </c>
      <c r="I26" s="73">
        <v>128</v>
      </c>
      <c r="J26" s="73" t="str">
        <f t="shared" si="1"/>
        <v>t-dtg-dtoms01-disk02</v>
      </c>
      <c r="K26" s="73" t="s">
        <v>181</v>
      </c>
      <c r="L26" s="73">
        <v>128</v>
      </c>
      <c r="M26" s="73">
        <v>3</v>
      </c>
      <c r="N26" s="73" t="s">
        <v>194</v>
      </c>
      <c r="O26" s="73" t="s">
        <v>198</v>
      </c>
      <c r="P26" s="73" t="s">
        <v>210</v>
      </c>
      <c r="Q26" s="73" t="b">
        <v>1</v>
      </c>
      <c r="R26" s="73"/>
    </row>
    <row r="27" spans="1:18" x14ac:dyDescent="0.3">
      <c r="A27" s="98"/>
      <c r="B27" s="78" t="s">
        <v>182</v>
      </c>
      <c r="C27" s="74" t="str" cm="1">
        <f t="array" ref="C27">UPPER(INDEX(_xlfn.TEXTSPLIT($D27, "-"), 3))</f>
        <v>DTG</v>
      </c>
      <c r="D27" s="78" t="s">
        <v>383</v>
      </c>
      <c r="E27" s="89" t="s">
        <v>24</v>
      </c>
      <c r="F27" s="74" t="s">
        <v>521</v>
      </c>
      <c r="G27" s="74" t="str">
        <f t="shared" si="2"/>
        <v>t-dtg-tsdb01-disk01</v>
      </c>
      <c r="H27" s="74" t="s">
        <v>181</v>
      </c>
      <c r="I27" s="74">
        <v>512</v>
      </c>
      <c r="J27" s="74" t="str">
        <f t="shared" si="1"/>
        <v>t-dtg-tsdb01-disk02</v>
      </c>
      <c r="K27" s="74" t="s">
        <v>181</v>
      </c>
      <c r="L27" s="74">
        <v>256</v>
      </c>
      <c r="M27" s="74">
        <v>3</v>
      </c>
      <c r="N27" s="74" t="s">
        <v>194</v>
      </c>
      <c r="O27" s="74" t="s">
        <v>198</v>
      </c>
      <c r="P27" s="74" t="s">
        <v>210</v>
      </c>
      <c r="Q27" s="74" t="b">
        <v>1</v>
      </c>
      <c r="R27" s="74"/>
    </row>
    <row r="28" spans="1:18" x14ac:dyDescent="0.3">
      <c r="A28" s="98"/>
      <c r="B28" s="88" t="s">
        <v>182</v>
      </c>
      <c r="C28" s="73" t="str" cm="1">
        <f t="array" ref="C28">UPPER(INDEX(_xlfn.TEXTSPLIT($D28, "-"), 3))</f>
        <v>DTG</v>
      </c>
      <c r="D28" s="88" t="s">
        <v>383</v>
      </c>
      <c r="E28" s="88" t="s">
        <v>24</v>
      </c>
      <c r="F28" s="73" t="s">
        <v>522</v>
      </c>
      <c r="G28" s="73" t="str">
        <f t="shared" si="2"/>
        <v>t-dtg-web01-disk01</v>
      </c>
      <c r="H28" s="73" t="s">
        <v>181</v>
      </c>
      <c r="I28" s="73">
        <v>128</v>
      </c>
      <c r="J28" s="73" t="str">
        <f t="shared" si="1"/>
        <v>t-dtg-web01-disk02</v>
      </c>
      <c r="K28" s="73" t="s">
        <v>181</v>
      </c>
      <c r="L28" s="73">
        <v>128</v>
      </c>
      <c r="M28" s="73">
        <v>3</v>
      </c>
      <c r="N28" s="73" t="s">
        <v>194</v>
      </c>
      <c r="O28" s="73" t="s">
        <v>198</v>
      </c>
      <c r="P28" s="73" t="s">
        <v>210</v>
      </c>
      <c r="Q28" s="73" t="b">
        <v>1</v>
      </c>
      <c r="R28" s="73"/>
    </row>
    <row r="29" spans="1:18" x14ac:dyDescent="0.3">
      <c r="A29" s="98"/>
      <c r="B29" s="78" t="s">
        <v>182</v>
      </c>
      <c r="C29" s="74" t="str" cm="1">
        <f t="array" ref="C29">UPPER(INDEX(_xlfn.TEXTSPLIT($D29, "-"), 3))</f>
        <v>DTG</v>
      </c>
      <c r="D29" s="78" t="s">
        <v>383</v>
      </c>
      <c r="E29" s="89" t="s">
        <v>24</v>
      </c>
      <c r="F29" s="74" t="s">
        <v>523</v>
      </c>
      <c r="G29" s="74" t="str">
        <f t="shared" si="2"/>
        <v>t-dtg-zkp01-disk01</v>
      </c>
      <c r="H29" s="74" t="s">
        <v>181</v>
      </c>
      <c r="I29" s="74">
        <v>128</v>
      </c>
      <c r="J29" s="74" t="str">
        <f t="shared" si="1"/>
        <v>t-dtg-zkp01-disk02</v>
      </c>
      <c r="K29" s="74" t="s">
        <v>181</v>
      </c>
      <c r="L29" s="74">
        <v>128</v>
      </c>
      <c r="M29" s="74">
        <v>3</v>
      </c>
      <c r="N29" s="74" t="s">
        <v>194</v>
      </c>
      <c r="O29" s="74" t="s">
        <v>198</v>
      </c>
      <c r="P29" s="74" t="s">
        <v>210</v>
      </c>
      <c r="Q29" s="74" t="b">
        <v>1</v>
      </c>
      <c r="R29" s="74"/>
    </row>
    <row r="30" spans="1:18" x14ac:dyDescent="0.3">
      <c r="A30" s="98"/>
      <c r="B30" s="88" t="s">
        <v>182</v>
      </c>
      <c r="C30" s="73" t="str" cm="1">
        <f t="array" ref="C30">UPPER(INDEX(_xlfn.TEXTSPLIT($D30, "-"), 3))</f>
        <v>DTG</v>
      </c>
      <c r="D30" s="88" t="s">
        <v>383</v>
      </c>
      <c r="E30" s="88" t="s">
        <v>24</v>
      </c>
      <c r="F30" s="73" t="s">
        <v>524</v>
      </c>
      <c r="G30" s="73" t="str">
        <f t="shared" si="2"/>
        <v>t-dtg-zkp02-disk01</v>
      </c>
      <c r="H30" s="73" t="s">
        <v>181</v>
      </c>
      <c r="I30" s="73">
        <v>128</v>
      </c>
      <c r="J30" s="73" t="str">
        <f t="shared" si="1"/>
        <v>t-dtg-zkp02-disk02</v>
      </c>
      <c r="K30" s="73" t="s">
        <v>181</v>
      </c>
      <c r="L30" s="73">
        <v>128</v>
      </c>
      <c r="M30" s="73">
        <v>3</v>
      </c>
      <c r="N30" s="73" t="s">
        <v>194</v>
      </c>
      <c r="O30" s="73" t="s">
        <v>198</v>
      </c>
      <c r="P30" s="73" t="s">
        <v>210</v>
      </c>
      <c r="Q30" s="73" t="b">
        <v>1</v>
      </c>
      <c r="R30" s="73"/>
    </row>
    <row r="31" spans="1:18" x14ac:dyDescent="0.3">
      <c r="A31" s="98"/>
      <c r="B31" s="78" t="s">
        <v>182</v>
      </c>
      <c r="C31" s="74" t="str" cm="1">
        <f t="array" ref="C31">UPPER(INDEX(_xlfn.TEXTSPLIT($D31, "-"), 3))</f>
        <v>DTG</v>
      </c>
      <c r="D31" s="78" t="s">
        <v>383</v>
      </c>
      <c r="E31" s="89" t="s">
        <v>24</v>
      </c>
      <c r="F31" s="74" t="s">
        <v>525</v>
      </c>
      <c r="G31" s="74" t="str">
        <f t="shared" si="2"/>
        <v>t-dtg-zkp03-disk01</v>
      </c>
      <c r="H31" s="74" t="s">
        <v>181</v>
      </c>
      <c r="I31" s="74">
        <v>128</v>
      </c>
      <c r="J31" s="74" t="str">
        <f t="shared" si="1"/>
        <v>t-dtg-zkp03-disk02</v>
      </c>
      <c r="K31" s="74" t="s">
        <v>181</v>
      </c>
      <c r="L31" s="74">
        <v>128</v>
      </c>
      <c r="M31" s="74">
        <v>3</v>
      </c>
      <c r="N31" s="74" t="s">
        <v>194</v>
      </c>
      <c r="O31" s="74" t="s">
        <v>198</v>
      </c>
      <c r="P31" s="74" t="s">
        <v>210</v>
      </c>
      <c r="Q31" s="74" t="b">
        <v>1</v>
      </c>
      <c r="R31" s="74"/>
    </row>
    <row r="32" spans="1:18" x14ac:dyDescent="0.3">
      <c r="A32" s="98"/>
      <c r="B32" s="88" t="s">
        <v>182</v>
      </c>
      <c r="C32" s="73" t="str" cm="1">
        <f t="array" ref="C32">UPPER(INDEX(_xlfn.TEXTSPLIT($D32, "-"), 3))</f>
        <v>DTG</v>
      </c>
      <c r="D32" s="88" t="s">
        <v>383</v>
      </c>
      <c r="E32" s="88" t="s">
        <v>24</v>
      </c>
      <c r="F32" s="73" t="s">
        <v>526</v>
      </c>
      <c r="G32" s="73" t="str">
        <f t="shared" si="2"/>
        <v>t-dtg-kfk01-disk01</v>
      </c>
      <c r="H32" s="73" t="s">
        <v>181</v>
      </c>
      <c r="I32" s="73">
        <v>128</v>
      </c>
      <c r="J32" s="73" t="str">
        <f t="shared" si="1"/>
        <v>t-dtg-kfk01-disk02</v>
      </c>
      <c r="K32" s="73" t="s">
        <v>181</v>
      </c>
      <c r="L32" s="73">
        <v>128</v>
      </c>
      <c r="M32" s="73">
        <v>3</v>
      </c>
      <c r="N32" s="73" t="s">
        <v>194</v>
      </c>
      <c r="O32" s="73" t="s">
        <v>198</v>
      </c>
      <c r="P32" s="73" t="s">
        <v>210</v>
      </c>
      <c r="Q32" s="73" t="b">
        <v>1</v>
      </c>
      <c r="R32" s="73"/>
    </row>
    <row r="33" spans="1:18" x14ac:dyDescent="0.3">
      <c r="A33" s="98"/>
      <c r="B33" s="78" t="s">
        <v>182</v>
      </c>
      <c r="C33" s="74" t="str" cm="1">
        <f t="array" ref="C33">UPPER(INDEX(_xlfn.TEXTSPLIT($D33, "-"), 3))</f>
        <v>DTG</v>
      </c>
      <c r="D33" s="78" t="s">
        <v>383</v>
      </c>
      <c r="E33" s="89" t="s">
        <v>24</v>
      </c>
      <c r="F33" s="74" t="s">
        <v>527</v>
      </c>
      <c r="G33" s="74" t="str">
        <f t="shared" si="2"/>
        <v>t-dtg-kfk02-disk01</v>
      </c>
      <c r="H33" s="74" t="s">
        <v>181</v>
      </c>
      <c r="I33" s="74">
        <v>128</v>
      </c>
      <c r="J33" s="74" t="str">
        <f t="shared" si="1"/>
        <v>t-dtg-kfk02-disk02</v>
      </c>
      <c r="K33" s="74" t="s">
        <v>181</v>
      </c>
      <c r="L33" s="74">
        <v>128</v>
      </c>
      <c r="M33" s="74">
        <v>3</v>
      </c>
      <c r="N33" s="74" t="s">
        <v>194</v>
      </c>
      <c r="O33" s="74" t="s">
        <v>198</v>
      </c>
      <c r="P33" s="74" t="s">
        <v>210</v>
      </c>
      <c r="Q33" s="74" t="b">
        <v>1</v>
      </c>
      <c r="R33" s="74"/>
    </row>
    <row r="34" spans="1:18" x14ac:dyDescent="0.3">
      <c r="A34" s="98"/>
      <c r="B34" s="88" t="s">
        <v>182</v>
      </c>
      <c r="C34" s="73" t="str" cm="1">
        <f t="array" ref="C34">UPPER(INDEX(_xlfn.TEXTSPLIT($D34, "-"), 3))</f>
        <v>DTG</v>
      </c>
      <c r="D34" s="88" t="s">
        <v>383</v>
      </c>
      <c r="E34" s="88" t="s">
        <v>24</v>
      </c>
      <c r="F34" s="73" t="s">
        <v>528</v>
      </c>
      <c r="G34" s="73" t="str">
        <f t="shared" si="2"/>
        <v>t-dtg-kfk03-disk01</v>
      </c>
      <c r="H34" s="73" t="s">
        <v>181</v>
      </c>
      <c r="I34" s="73">
        <v>128</v>
      </c>
      <c r="J34" s="73" t="str">
        <f t="shared" si="1"/>
        <v>t-dtg-kfk03-disk02</v>
      </c>
      <c r="K34" s="73" t="s">
        <v>181</v>
      </c>
      <c r="L34" s="73">
        <v>128</v>
      </c>
      <c r="M34" s="73">
        <v>3</v>
      </c>
      <c r="N34" s="73" t="s">
        <v>194</v>
      </c>
      <c r="O34" s="73" t="s">
        <v>198</v>
      </c>
      <c r="P34" s="73" t="s">
        <v>210</v>
      </c>
      <c r="Q34" s="73" t="b">
        <v>1</v>
      </c>
      <c r="R34" s="73"/>
    </row>
    <row r="35" spans="1:18" x14ac:dyDescent="0.3">
      <c r="A35" s="98"/>
      <c r="B35" s="78" t="s">
        <v>182</v>
      </c>
      <c r="C35" s="74" t="str" cm="1">
        <f t="array" ref="C35">UPPER(INDEX(_xlfn.TEXTSPLIT($D35, "-"), 3))</f>
        <v>DTG</v>
      </c>
      <c r="D35" s="78" t="s">
        <v>383</v>
      </c>
      <c r="E35" s="89" t="s">
        <v>24</v>
      </c>
      <c r="F35" s="74" t="s">
        <v>529</v>
      </c>
      <c r="G35" s="74" t="str">
        <f t="shared" si="2"/>
        <v>t-dtg-mdoms01-disk01</v>
      </c>
      <c r="H35" s="74" t="s">
        <v>181</v>
      </c>
      <c r="I35" s="74">
        <v>128</v>
      </c>
      <c r="J35" s="74" t="str">
        <f t="shared" si="1"/>
        <v>t-dtg-mdoms01-disk02</v>
      </c>
      <c r="K35" s="74" t="s">
        <v>181</v>
      </c>
      <c r="L35" s="74">
        <v>128</v>
      </c>
      <c r="M35" s="74">
        <v>3</v>
      </c>
      <c r="N35" s="74" t="s">
        <v>194</v>
      </c>
      <c r="O35" s="74" t="s">
        <v>198</v>
      </c>
      <c r="P35" s="74" t="s">
        <v>210</v>
      </c>
      <c r="Q35" s="74" t="b">
        <v>1</v>
      </c>
      <c r="R35" s="74"/>
    </row>
    <row r="36" spans="1:18" x14ac:dyDescent="0.3">
      <c r="A36" s="98"/>
      <c r="B36" s="88" t="s">
        <v>182</v>
      </c>
      <c r="C36" s="73" t="str" cm="1">
        <f t="array" ref="C36">UPPER(INDEX(_xlfn.TEXTSPLIT($D36, "-"), 3))</f>
        <v>DTG</v>
      </c>
      <c r="D36" s="88" t="s">
        <v>383</v>
      </c>
      <c r="E36" s="88" t="s">
        <v>24</v>
      </c>
      <c r="F36" s="73" t="s">
        <v>530</v>
      </c>
      <c r="G36" s="73" t="str">
        <f t="shared" si="2"/>
        <v>t-dtg-cdmlap01-disk01</v>
      </c>
      <c r="H36" s="73" t="s">
        <v>181</v>
      </c>
      <c r="I36" s="73">
        <v>128</v>
      </c>
      <c r="J36" s="73" t="str">
        <f t="shared" si="1"/>
        <v>t-dtg-cdmlap01-disk02</v>
      </c>
      <c r="K36" s="73" t="s">
        <v>181</v>
      </c>
      <c r="L36" s="73">
        <v>128</v>
      </c>
      <c r="M36" s="73">
        <v>3</v>
      </c>
      <c r="N36" s="73" t="s">
        <v>194</v>
      </c>
      <c r="O36" s="73" t="s">
        <v>198</v>
      </c>
      <c r="P36" s="73" t="s">
        <v>210</v>
      </c>
      <c r="Q36" s="73" t="b">
        <v>1</v>
      </c>
      <c r="R36" s="73"/>
    </row>
    <row r="37" spans="1:18" x14ac:dyDescent="0.3">
      <c r="A37" s="98"/>
      <c r="B37" s="78" t="s">
        <v>182</v>
      </c>
      <c r="C37" s="74" t="str" cm="1">
        <f t="array" ref="C37">UPPER(INDEX(_xlfn.TEXTSPLIT($D37, "-"), 3))</f>
        <v>DTG</v>
      </c>
      <c r="D37" s="78" t="s">
        <v>383</v>
      </c>
      <c r="E37" s="89" t="s">
        <v>24</v>
      </c>
      <c r="F37" s="74" t="s">
        <v>531</v>
      </c>
      <c r="G37" s="74" t="str">
        <f t="shared" si="2"/>
        <v>t-dtg-cdstap01-disk01</v>
      </c>
      <c r="H37" s="74" t="s">
        <v>181</v>
      </c>
      <c r="I37" s="74">
        <v>128</v>
      </c>
      <c r="J37" s="74" t="str">
        <f t="shared" si="1"/>
        <v>t-dtg-cdstap01-disk02</v>
      </c>
      <c r="K37" s="74" t="s">
        <v>181</v>
      </c>
      <c r="L37" s="74">
        <v>128</v>
      </c>
      <c r="M37" s="74">
        <v>3</v>
      </c>
      <c r="N37" s="74" t="s">
        <v>194</v>
      </c>
      <c r="O37" s="74" t="s">
        <v>198</v>
      </c>
      <c r="P37" s="74" t="s">
        <v>210</v>
      </c>
      <c r="Q37" s="74" t="b">
        <v>1</v>
      </c>
      <c r="R37" s="74"/>
    </row>
    <row r="38" spans="1:18" x14ac:dyDescent="0.3">
      <c r="A38" s="98"/>
      <c r="B38" s="88" t="s">
        <v>182</v>
      </c>
      <c r="C38" s="73" t="str" cm="1">
        <f t="array" ref="C38">UPPER(INDEX(_xlfn.TEXTSPLIT($D38, "-"), 3))</f>
        <v>DTG</v>
      </c>
      <c r="D38" s="88" t="s">
        <v>383</v>
      </c>
      <c r="E38" s="88" t="s">
        <v>24</v>
      </c>
      <c r="F38" s="73" t="s">
        <v>532</v>
      </c>
      <c r="G38" s="73" t="str">
        <f t="shared" si="2"/>
        <v>t-dtg-cdsvadm01-disk01</v>
      </c>
      <c r="H38" s="73" t="s">
        <v>181</v>
      </c>
      <c r="I38" s="73">
        <v>128</v>
      </c>
      <c r="J38" s="73" t="str">
        <f t="shared" si="1"/>
        <v>t-dtg-cdsvadm01-disk02</v>
      </c>
      <c r="K38" s="73" t="s">
        <v>181</v>
      </c>
      <c r="L38" s="73">
        <v>128</v>
      </c>
      <c r="M38" s="73">
        <v>3</v>
      </c>
      <c r="N38" s="73" t="s">
        <v>194</v>
      </c>
      <c r="O38" s="73" t="s">
        <v>198</v>
      </c>
      <c r="P38" s="73" t="s">
        <v>210</v>
      </c>
      <c r="Q38" s="73" t="b">
        <v>1</v>
      </c>
      <c r="R38" s="73"/>
    </row>
    <row r="39" spans="1:18" x14ac:dyDescent="0.3">
      <c r="A39" s="98"/>
      <c r="B39" s="78" t="s">
        <v>182</v>
      </c>
      <c r="C39" s="74" t="str" cm="1">
        <f t="array" ref="C39">UPPER(INDEX(_xlfn.TEXTSPLIT($D39, "-"), 3))</f>
        <v>DTG</v>
      </c>
      <c r="D39" s="78" t="s">
        <v>383</v>
      </c>
      <c r="E39" s="89" t="s">
        <v>24</v>
      </c>
      <c r="F39" s="74" t="s">
        <v>533</v>
      </c>
      <c r="G39" s="74" t="str">
        <f t="shared" si="2"/>
        <v>t-dtg-diosap01-disk01</v>
      </c>
      <c r="H39" s="74" t="s">
        <v>181</v>
      </c>
      <c r="I39" s="74">
        <v>128</v>
      </c>
      <c r="J39" s="74" t="str">
        <f t="shared" si="1"/>
        <v>t-dtg-diosap01-disk02</v>
      </c>
      <c r="K39" s="74" t="s">
        <v>181</v>
      </c>
      <c r="L39" s="74">
        <v>128</v>
      </c>
      <c r="M39" s="74">
        <v>3</v>
      </c>
      <c r="N39" s="74" t="s">
        <v>194</v>
      </c>
      <c r="O39" s="74" t="s">
        <v>198</v>
      </c>
      <c r="P39" s="74" t="s">
        <v>210</v>
      </c>
      <c r="Q39" s="74" t="b">
        <v>1</v>
      </c>
      <c r="R39" s="74"/>
    </row>
    <row r="40" spans="1:18" x14ac:dyDescent="0.3">
      <c r="A40" s="98"/>
      <c r="B40" s="88" t="s">
        <v>182</v>
      </c>
      <c r="C40" s="73" t="str" cm="1">
        <f t="array" ref="C40">UPPER(INDEX(_xlfn.TEXTSPLIT($D40, "-"), 3))</f>
        <v>DTG</v>
      </c>
      <c r="D40" s="88" t="s">
        <v>383</v>
      </c>
      <c r="E40" s="88" t="s">
        <v>24</v>
      </c>
      <c r="F40" s="73" t="s">
        <v>534</v>
      </c>
      <c r="G40" s="73" t="str">
        <f t="shared" si="2"/>
        <v>t-dtg-diosweb01-disk01</v>
      </c>
      <c r="H40" s="73" t="s">
        <v>181</v>
      </c>
      <c r="I40" s="73">
        <v>128</v>
      </c>
      <c r="J40" s="73" t="str">
        <f t="shared" si="1"/>
        <v>t-dtg-diosweb01-disk02</v>
      </c>
      <c r="K40" s="73" t="s">
        <v>181</v>
      </c>
      <c r="L40" s="73">
        <v>128</v>
      </c>
      <c r="M40" s="73">
        <v>3</v>
      </c>
      <c r="N40" s="73" t="s">
        <v>194</v>
      </c>
      <c r="O40" s="73" t="s">
        <v>198</v>
      </c>
      <c r="P40" s="73" t="s">
        <v>210</v>
      </c>
      <c r="Q40" s="73" t="b">
        <v>1</v>
      </c>
      <c r="R40" s="73"/>
    </row>
    <row r="41" spans="1:18" x14ac:dyDescent="0.3">
      <c r="A41" s="98"/>
      <c r="B41" s="78" t="s">
        <v>182</v>
      </c>
      <c r="C41" s="74" t="str" cm="1">
        <f t="array" ref="C41">UPPER(INDEX(_xlfn.TEXTSPLIT($D41, "-"), 3))</f>
        <v>DTG</v>
      </c>
      <c r="D41" s="78" t="s">
        <v>383</v>
      </c>
      <c r="E41" s="89" t="s">
        <v>24</v>
      </c>
      <c r="F41" s="74" t="s">
        <v>535</v>
      </c>
      <c r="G41" s="74" t="str">
        <f t="shared" si="2"/>
        <v>t-dtg-dprweb01-disk01</v>
      </c>
      <c r="H41" s="74" t="s">
        <v>181</v>
      </c>
      <c r="I41" s="74">
        <v>128</v>
      </c>
      <c r="J41" s="74" t="str">
        <f t="shared" si="1"/>
        <v>t-dtg-dprweb01-disk02</v>
      </c>
      <c r="K41" s="74" t="s">
        <v>181</v>
      </c>
      <c r="L41" s="74">
        <v>128</v>
      </c>
      <c r="M41" s="74">
        <v>3</v>
      </c>
      <c r="N41" s="74" t="s">
        <v>194</v>
      </c>
      <c r="O41" s="74" t="s">
        <v>198</v>
      </c>
      <c r="P41" s="74" t="s">
        <v>210</v>
      </c>
      <c r="Q41" s="74" t="b">
        <v>1</v>
      </c>
      <c r="R41" s="74"/>
    </row>
    <row r="42" spans="1:18" x14ac:dyDescent="0.3">
      <c r="A42" s="98"/>
      <c r="B42" s="88" t="s">
        <v>182</v>
      </c>
      <c r="C42" s="73" t="str" cm="1">
        <f t="array" ref="C42">UPPER(INDEX(_xlfn.TEXTSPLIT($D42, "-"), 3))</f>
        <v>DTG</v>
      </c>
      <c r="D42" s="88" t="s">
        <v>383</v>
      </c>
      <c r="E42" s="88" t="s">
        <v>24</v>
      </c>
      <c r="F42" s="73" t="s">
        <v>536</v>
      </c>
      <c r="G42" s="73" t="str">
        <f t="shared" si="2"/>
        <v>t-dtg-dprap01-disk01</v>
      </c>
      <c r="H42" s="73" t="s">
        <v>181</v>
      </c>
      <c r="I42" s="73">
        <v>128</v>
      </c>
      <c r="J42" s="73" t="str">
        <f t="shared" si="1"/>
        <v>t-dtg-dprap01-disk02</v>
      </c>
      <c r="K42" s="73" t="s">
        <v>181</v>
      </c>
      <c r="L42" s="73">
        <v>128</v>
      </c>
      <c r="M42" s="73">
        <v>3</v>
      </c>
      <c r="N42" s="73" t="s">
        <v>194</v>
      </c>
      <c r="O42" s="73" t="s">
        <v>198</v>
      </c>
      <c r="P42" s="73" t="s">
        <v>210</v>
      </c>
      <c r="Q42" s="73" t="b">
        <v>1</v>
      </c>
      <c r="R42" s="73"/>
    </row>
    <row r="43" spans="1:18" x14ac:dyDescent="0.3">
      <c r="A43" s="98"/>
      <c r="B43" s="78" t="s">
        <v>182</v>
      </c>
      <c r="C43" s="74" t="str" cm="1">
        <f t="array" ref="C43">UPPER(INDEX(_xlfn.TEXTSPLIT($D43, "-"), 3))</f>
        <v>BDP</v>
      </c>
      <c r="D43" s="78" t="s">
        <v>384</v>
      </c>
      <c r="E43" s="89" t="s">
        <v>24</v>
      </c>
      <c r="F43" s="74" t="s">
        <v>537</v>
      </c>
      <c r="G43" s="74" t="str">
        <f t="shared" si="2"/>
        <v>t-bdp-airfw01-disk01</v>
      </c>
      <c r="H43" s="74" t="s">
        <v>181</v>
      </c>
      <c r="I43" s="74">
        <v>128</v>
      </c>
      <c r="J43" s="74" t="str">
        <f t="shared" si="1"/>
        <v>t-bdp-airfw01-disk02</v>
      </c>
      <c r="K43" s="74" t="s">
        <v>181</v>
      </c>
      <c r="L43" s="74">
        <v>128</v>
      </c>
      <c r="M43" s="74">
        <v>3</v>
      </c>
      <c r="N43" s="74" t="s">
        <v>194</v>
      </c>
      <c r="O43" s="74" t="s">
        <v>198</v>
      </c>
      <c r="P43" s="74" t="s">
        <v>210</v>
      </c>
      <c r="Q43" s="74" t="b">
        <v>1</v>
      </c>
      <c r="R43" s="74"/>
    </row>
    <row r="44" spans="1:18" x14ac:dyDescent="0.3">
      <c r="A44" s="98"/>
      <c r="B44" s="88" t="s">
        <v>182</v>
      </c>
      <c r="C44" s="73" t="str" cm="1">
        <f t="array" ref="C44">UPPER(INDEX(_xlfn.TEXTSPLIT($D44, "-"), 3))</f>
        <v>BDP</v>
      </c>
      <c r="D44" s="88" t="s">
        <v>384</v>
      </c>
      <c r="E44" s="88" t="s">
        <v>24</v>
      </c>
      <c r="F44" s="73" t="s">
        <v>538</v>
      </c>
      <c r="G44" s="73" t="str">
        <f t="shared" si="2"/>
        <v>t-bdp-kepler01-disk01</v>
      </c>
      <c r="H44" s="73" t="s">
        <v>181</v>
      </c>
      <c r="I44" s="73">
        <v>128</v>
      </c>
      <c r="J44" s="73" t="str">
        <f t="shared" si="1"/>
        <v>t-bdp-kepler01-disk02</v>
      </c>
      <c r="K44" s="73" t="s">
        <v>181</v>
      </c>
      <c r="L44" s="73">
        <v>128</v>
      </c>
      <c r="M44" s="73">
        <v>3</v>
      </c>
      <c r="N44" s="73" t="s">
        <v>194</v>
      </c>
      <c r="O44" s="73" t="s">
        <v>198</v>
      </c>
      <c r="P44" s="73" t="s">
        <v>210</v>
      </c>
      <c r="Q44" s="73" t="b">
        <v>1</v>
      </c>
      <c r="R44" s="73"/>
    </row>
    <row r="45" spans="1:18" x14ac:dyDescent="0.3">
      <c r="A45" s="98"/>
      <c r="B45" s="78" t="s">
        <v>182</v>
      </c>
      <c r="C45" s="74" t="str" cm="1">
        <f t="array" ref="C45">UPPER(INDEX(_xlfn.TEXTSPLIT($D45, "-"), 3))</f>
        <v>BDP</v>
      </c>
      <c r="D45" s="78" t="s">
        <v>384</v>
      </c>
      <c r="E45" s="89" t="s">
        <v>24</v>
      </c>
      <c r="F45" s="74" t="s">
        <v>539</v>
      </c>
      <c r="G45" s="74" t="str">
        <f t="shared" si="2"/>
        <v>t-bdp-cxmadm01-disk01</v>
      </c>
      <c r="H45" s="74" t="s">
        <v>181</v>
      </c>
      <c r="I45" s="74">
        <v>128</v>
      </c>
      <c r="J45" s="74" t="str">
        <f t="shared" si="1"/>
        <v>t-bdp-cxmadm01-disk02</v>
      </c>
      <c r="K45" s="74" t="s">
        <v>181</v>
      </c>
      <c r="L45" s="74">
        <v>128</v>
      </c>
      <c r="M45" s="74">
        <v>3</v>
      </c>
      <c r="N45" s="74" t="s">
        <v>194</v>
      </c>
      <c r="O45" s="74" t="s">
        <v>198</v>
      </c>
      <c r="P45" s="74" t="s">
        <v>210</v>
      </c>
      <c r="Q45" s="74" t="b">
        <v>1</v>
      </c>
      <c r="R45" s="74"/>
    </row>
    <row r="46" spans="1:18" x14ac:dyDescent="0.3">
      <c r="A46" s="98"/>
      <c r="B46" s="88" t="s">
        <v>182</v>
      </c>
      <c r="C46" s="73" t="str" cm="1">
        <f t="array" ref="C46">UPPER(INDEX(_xlfn.TEXTSPLIT($D46, "-"), 3))</f>
        <v>BDP</v>
      </c>
      <c r="D46" s="88" t="s">
        <v>384</v>
      </c>
      <c r="E46" s="88" t="s">
        <v>24</v>
      </c>
      <c r="F46" s="73" t="s">
        <v>540</v>
      </c>
      <c r="G46" s="73" t="str">
        <f t="shared" si="2"/>
        <v>t-bdp-slap01-disk01</v>
      </c>
      <c r="H46" s="73" t="s">
        <v>181</v>
      </c>
      <c r="I46" s="73">
        <v>128</v>
      </c>
      <c r="J46" s="73" t="str">
        <f t="shared" si="1"/>
        <v>t-bdp-slap01-disk02</v>
      </c>
      <c r="K46" s="73" t="s">
        <v>181</v>
      </c>
      <c r="L46" s="73">
        <v>128</v>
      </c>
      <c r="M46" s="73">
        <v>3</v>
      </c>
      <c r="N46" s="73" t="s">
        <v>194</v>
      </c>
      <c r="O46" s="73" t="s">
        <v>198</v>
      </c>
      <c r="P46" s="73" t="s">
        <v>210</v>
      </c>
      <c r="Q46" s="73" t="b">
        <v>1</v>
      </c>
      <c r="R46" s="73"/>
    </row>
    <row r="47" spans="1:18" x14ac:dyDescent="0.3">
      <c r="A47" s="98"/>
      <c r="B47" s="78" t="s">
        <v>182</v>
      </c>
      <c r="C47" s="74" t="str" cm="1">
        <f t="array" ref="C47">UPPER(INDEX(_xlfn.TEXTSPLIT($D47, "-"), 3))</f>
        <v>DIP</v>
      </c>
      <c r="D47" s="78" t="s">
        <v>385</v>
      </c>
      <c r="E47" s="89" t="s">
        <v>24</v>
      </c>
      <c r="F47" s="74" t="s">
        <v>541</v>
      </c>
      <c r="G47" s="74" t="str">
        <f t="shared" si="2"/>
        <v>t-dip-adm01-disk01</v>
      </c>
      <c r="H47" s="74" t="s">
        <v>181</v>
      </c>
      <c r="I47" s="74">
        <v>128</v>
      </c>
      <c r="J47" s="74" t="str">
        <f t="shared" si="1"/>
        <v>t-dip-adm01-disk02</v>
      </c>
      <c r="K47" s="74" t="s">
        <v>181</v>
      </c>
      <c r="L47" s="74">
        <v>128</v>
      </c>
      <c r="M47" s="74">
        <v>3</v>
      </c>
      <c r="N47" s="74" t="s">
        <v>194</v>
      </c>
      <c r="O47" s="74" t="s">
        <v>198</v>
      </c>
      <c r="P47" s="74" t="s">
        <v>210</v>
      </c>
      <c r="Q47" s="74" t="b">
        <v>1</v>
      </c>
      <c r="R47" s="74"/>
    </row>
    <row r="48" spans="1:18" x14ac:dyDescent="0.3">
      <c r="A48" s="98"/>
      <c r="B48" s="88" t="s">
        <v>182</v>
      </c>
      <c r="C48" s="73" t="str" cm="1">
        <f t="array" ref="C48">UPPER(INDEX(_xlfn.TEXTSPLIT($D48, "-"), 3))</f>
        <v>DIP</v>
      </c>
      <c r="D48" s="88" t="s">
        <v>385</v>
      </c>
      <c r="E48" s="88" t="s">
        <v>24</v>
      </c>
      <c r="F48" s="73" t="s">
        <v>542</v>
      </c>
      <c r="G48" s="73" t="str">
        <f t="shared" si="2"/>
        <v>t-dip-ap01-disk01</v>
      </c>
      <c r="H48" s="73" t="s">
        <v>181</v>
      </c>
      <c r="I48" s="73">
        <v>128</v>
      </c>
      <c r="J48" s="73" t="str">
        <f t="shared" si="1"/>
        <v>t-dip-ap01-disk02</v>
      </c>
      <c r="K48" s="73" t="s">
        <v>181</v>
      </c>
      <c r="L48" s="73">
        <v>128</v>
      </c>
      <c r="M48" s="73">
        <v>3</v>
      </c>
      <c r="N48" s="73" t="s">
        <v>194</v>
      </c>
      <c r="O48" s="73" t="s">
        <v>198</v>
      </c>
      <c r="P48" s="73" t="s">
        <v>210</v>
      </c>
      <c r="Q48" s="73" t="b">
        <v>1</v>
      </c>
      <c r="R48" s="73"/>
    </row>
    <row r="49" spans="1:18" x14ac:dyDescent="0.3">
      <c r="A49" s="98"/>
      <c r="B49" s="78" t="s">
        <v>182</v>
      </c>
      <c r="C49" s="74" t="str" cm="1">
        <f t="array" ref="C49">UPPER(INDEX(_xlfn.TEXTSPLIT($D49, "-"), 3))</f>
        <v>DIP</v>
      </c>
      <c r="D49" s="78" t="s">
        <v>385</v>
      </c>
      <c r="E49" s="89" t="s">
        <v>24</v>
      </c>
      <c r="F49" s="74" t="s">
        <v>543</v>
      </c>
      <c r="G49" s="74" t="str">
        <f t="shared" si="2"/>
        <v>t-dip-flk01-disk01</v>
      </c>
      <c r="H49" s="74" t="s">
        <v>181</v>
      </c>
      <c r="I49" s="74">
        <v>128</v>
      </c>
      <c r="J49" s="74" t="str">
        <f t="shared" si="1"/>
        <v>t-dip-flk01-disk02</v>
      </c>
      <c r="K49" s="74" t="s">
        <v>181</v>
      </c>
      <c r="L49" s="74">
        <v>128</v>
      </c>
      <c r="M49" s="74">
        <v>3</v>
      </c>
      <c r="N49" s="74" t="s">
        <v>194</v>
      </c>
      <c r="O49" s="74" t="s">
        <v>198</v>
      </c>
      <c r="P49" s="74" t="s">
        <v>210</v>
      </c>
      <c r="Q49" s="74" t="b">
        <v>1</v>
      </c>
      <c r="R49" s="74"/>
    </row>
    <row r="50" spans="1:18" x14ac:dyDescent="0.3">
      <c r="A50" s="98"/>
      <c r="B50" s="88" t="s">
        <v>182</v>
      </c>
      <c r="C50" s="73" t="str" cm="1">
        <f t="array" ref="C50">UPPER(INDEX(_xlfn.TEXTSPLIT($D50, "-"), 3))</f>
        <v>DIP</v>
      </c>
      <c r="D50" s="88" t="s">
        <v>385</v>
      </c>
      <c r="E50" s="88" t="s">
        <v>24</v>
      </c>
      <c r="F50" s="73" t="s">
        <v>544</v>
      </c>
      <c r="G50" s="73" t="str">
        <f t="shared" si="2"/>
        <v>t-dip-flk02-disk01</v>
      </c>
      <c r="H50" s="73" t="s">
        <v>181</v>
      </c>
      <c r="I50" s="73">
        <v>128</v>
      </c>
      <c r="J50" s="73" t="str">
        <f t="shared" si="1"/>
        <v>t-dip-flk02-disk02</v>
      </c>
      <c r="K50" s="73" t="s">
        <v>181</v>
      </c>
      <c r="L50" s="73">
        <v>128</v>
      </c>
      <c r="M50" s="73">
        <v>3</v>
      </c>
      <c r="N50" s="73" t="s">
        <v>194</v>
      </c>
      <c r="O50" s="73" t="s">
        <v>198</v>
      </c>
      <c r="P50" s="73" t="s">
        <v>210</v>
      </c>
      <c r="Q50" s="73" t="b">
        <v>1</v>
      </c>
      <c r="R50" s="73"/>
    </row>
    <row r="51" spans="1:18" x14ac:dyDescent="0.3">
      <c r="A51" s="98"/>
      <c r="B51" s="78" t="s">
        <v>182</v>
      </c>
      <c r="C51" s="74" t="str" cm="1">
        <f t="array" ref="C51">UPPER(INDEX(_xlfn.TEXTSPLIT($D51, "-"), 3))</f>
        <v>DIP</v>
      </c>
      <c r="D51" s="78" t="s">
        <v>385</v>
      </c>
      <c r="E51" s="89" t="s">
        <v>24</v>
      </c>
      <c r="F51" s="74" t="s">
        <v>545</v>
      </c>
      <c r="G51" s="74" t="str">
        <f t="shared" si="2"/>
        <v>t-dip-flk03-disk01</v>
      </c>
      <c r="H51" s="74" t="s">
        <v>181</v>
      </c>
      <c r="I51" s="74">
        <v>128</v>
      </c>
      <c r="J51" s="74" t="str">
        <f t="shared" si="1"/>
        <v>t-dip-flk03-disk02</v>
      </c>
      <c r="K51" s="74" t="s">
        <v>181</v>
      </c>
      <c r="L51" s="74">
        <v>128</v>
      </c>
      <c r="M51" s="74">
        <v>3</v>
      </c>
      <c r="N51" s="74" t="s">
        <v>194</v>
      </c>
      <c r="O51" s="74" t="s">
        <v>198</v>
      </c>
      <c r="P51" s="74" t="s">
        <v>210</v>
      </c>
      <c r="Q51" s="74" t="b">
        <v>1</v>
      </c>
      <c r="R51" s="74"/>
    </row>
    <row r="52" spans="1:18" x14ac:dyDescent="0.3">
      <c r="A52" s="98"/>
      <c r="B52" s="88" t="s">
        <v>182</v>
      </c>
      <c r="C52" s="73" t="str" cm="1">
        <f t="array" ref="C52">UPPER(INDEX(_xlfn.TEXTSPLIT($D52, "-"), 3))</f>
        <v>DIP</v>
      </c>
      <c r="D52" s="88" t="s">
        <v>385</v>
      </c>
      <c r="E52" s="88" t="s">
        <v>24</v>
      </c>
      <c r="F52" s="73" t="s">
        <v>546</v>
      </c>
      <c r="G52" s="73" t="str">
        <f t="shared" si="2"/>
        <v>t-dip-geoap01-disk01</v>
      </c>
      <c r="H52" s="73" t="s">
        <v>181</v>
      </c>
      <c r="I52" s="73">
        <v>128</v>
      </c>
      <c r="J52" s="73" t="str">
        <f t="shared" si="1"/>
        <v>t-dip-geoap01-disk02</v>
      </c>
      <c r="K52" s="73" t="s">
        <v>181</v>
      </c>
      <c r="L52" s="73">
        <v>128</v>
      </c>
      <c r="M52" s="73">
        <v>3</v>
      </c>
      <c r="N52" s="73" t="s">
        <v>194</v>
      </c>
      <c r="O52" s="73" t="s">
        <v>198</v>
      </c>
      <c r="P52" s="73" t="s">
        <v>210</v>
      </c>
      <c r="Q52" s="73" t="b">
        <v>1</v>
      </c>
      <c r="R52" s="73"/>
    </row>
    <row r="53" spans="1:18" x14ac:dyDescent="0.3">
      <c r="A53" s="98"/>
      <c r="B53" s="78" t="s">
        <v>182</v>
      </c>
      <c r="C53" s="74" t="str" cm="1">
        <f t="array" ref="C53">UPPER(INDEX(_xlfn.TEXTSPLIT($D53, "-"), 3))</f>
        <v>DIP</v>
      </c>
      <c r="D53" s="78" t="s">
        <v>385</v>
      </c>
      <c r="E53" s="89" t="s">
        <v>24</v>
      </c>
      <c r="F53" s="74" t="s">
        <v>547</v>
      </c>
      <c r="G53" s="74" t="str">
        <f t="shared" si="2"/>
        <v>t-dip-kfk01-disk01</v>
      </c>
      <c r="H53" s="74" t="s">
        <v>181</v>
      </c>
      <c r="I53" s="74">
        <v>128</v>
      </c>
      <c r="J53" s="74" t="str">
        <f t="shared" si="1"/>
        <v>t-dip-kfk01-disk02</v>
      </c>
      <c r="K53" s="74" t="s">
        <v>181</v>
      </c>
      <c r="L53" s="74">
        <v>128</v>
      </c>
      <c r="M53" s="74">
        <v>3</v>
      </c>
      <c r="N53" s="74" t="s">
        <v>194</v>
      </c>
      <c r="O53" s="74" t="s">
        <v>198</v>
      </c>
      <c r="P53" s="74" t="s">
        <v>210</v>
      </c>
      <c r="Q53" s="74" t="b">
        <v>1</v>
      </c>
      <c r="R53" s="74"/>
    </row>
    <row r="54" spans="1:18" x14ac:dyDescent="0.3">
      <c r="A54" s="98"/>
      <c r="B54" s="88" t="s">
        <v>182</v>
      </c>
      <c r="C54" s="73" t="str" cm="1">
        <f t="array" ref="C54">UPPER(INDEX(_xlfn.TEXTSPLIT($D54, "-"), 3))</f>
        <v>DIP</v>
      </c>
      <c r="D54" s="88" t="s">
        <v>385</v>
      </c>
      <c r="E54" s="88" t="s">
        <v>24</v>
      </c>
      <c r="F54" s="73" t="s">
        <v>548</v>
      </c>
      <c r="G54" s="73" t="str">
        <f t="shared" si="2"/>
        <v>t-dip-kfk02-disk01</v>
      </c>
      <c r="H54" s="73" t="s">
        <v>181</v>
      </c>
      <c r="I54" s="73">
        <v>128</v>
      </c>
      <c r="J54" s="73" t="str">
        <f t="shared" si="1"/>
        <v>t-dip-kfk02-disk02</v>
      </c>
      <c r="K54" s="73" t="s">
        <v>181</v>
      </c>
      <c r="L54" s="73">
        <v>128</v>
      </c>
      <c r="M54" s="73">
        <v>3</v>
      </c>
      <c r="N54" s="73" t="s">
        <v>194</v>
      </c>
      <c r="O54" s="73" t="s">
        <v>198</v>
      </c>
      <c r="P54" s="73" t="s">
        <v>210</v>
      </c>
      <c r="Q54" s="73" t="b">
        <v>1</v>
      </c>
      <c r="R54" s="73"/>
    </row>
    <row r="55" spans="1:18" x14ac:dyDescent="0.3">
      <c r="A55" s="98"/>
      <c r="B55" s="78" t="s">
        <v>182</v>
      </c>
      <c r="C55" s="74" t="str" cm="1">
        <f t="array" ref="C55">UPPER(INDEX(_xlfn.TEXTSPLIT($D55, "-"), 3))</f>
        <v>DIP</v>
      </c>
      <c r="D55" s="78" t="s">
        <v>385</v>
      </c>
      <c r="E55" s="89" t="s">
        <v>24</v>
      </c>
      <c r="F55" s="74" t="s">
        <v>549</v>
      </c>
      <c r="G55" s="74" t="str">
        <f t="shared" si="2"/>
        <v>t-dip-kfk03-disk01</v>
      </c>
      <c r="H55" s="74" t="s">
        <v>181</v>
      </c>
      <c r="I55" s="74">
        <v>128</v>
      </c>
      <c r="J55" s="74" t="str">
        <f t="shared" si="1"/>
        <v>t-dip-kfk03-disk02</v>
      </c>
      <c r="K55" s="74" t="s">
        <v>181</v>
      </c>
      <c r="L55" s="74">
        <v>128</v>
      </c>
      <c r="M55" s="74">
        <v>3</v>
      </c>
      <c r="N55" s="74" t="s">
        <v>194</v>
      </c>
      <c r="O55" s="74" t="s">
        <v>198</v>
      </c>
      <c r="P55" s="74" t="s">
        <v>210</v>
      </c>
      <c r="Q55" s="74" t="b">
        <v>1</v>
      </c>
      <c r="R55" s="74"/>
    </row>
    <row r="56" spans="1:18" x14ac:dyDescent="0.3">
      <c r="A56" s="98"/>
      <c r="B56" s="88" t="s">
        <v>182</v>
      </c>
      <c r="C56" s="73" t="str" cm="1">
        <f t="array" ref="C56">UPPER(INDEX(_xlfn.TEXTSPLIT($D56, "-"), 3))</f>
        <v>DIP</v>
      </c>
      <c r="D56" s="88" t="s">
        <v>385</v>
      </c>
      <c r="E56" s="88" t="s">
        <v>24</v>
      </c>
      <c r="F56" s="73" t="s">
        <v>550</v>
      </c>
      <c r="G56" s="73" t="str">
        <f t="shared" si="2"/>
        <v>t-dip-mqap01-disk01</v>
      </c>
      <c r="H56" s="73" t="s">
        <v>181</v>
      </c>
      <c r="I56" s="73">
        <v>128</v>
      </c>
      <c r="J56" s="73" t="str">
        <f t="shared" si="1"/>
        <v>t-dip-mqap01-disk02</v>
      </c>
      <c r="K56" s="73" t="s">
        <v>181</v>
      </c>
      <c r="L56" s="73">
        <v>128</v>
      </c>
      <c r="M56" s="73">
        <v>3</v>
      </c>
      <c r="N56" s="73" t="s">
        <v>194</v>
      </c>
      <c r="O56" s="73" t="s">
        <v>198</v>
      </c>
      <c r="P56" s="73" t="s">
        <v>210</v>
      </c>
      <c r="Q56" s="73" t="b">
        <v>1</v>
      </c>
      <c r="R56" s="73"/>
    </row>
    <row r="57" spans="1:18" x14ac:dyDescent="0.3">
      <c r="A57" s="98"/>
      <c r="B57" s="78" t="s">
        <v>182</v>
      </c>
      <c r="C57" s="74" t="str" cm="1">
        <f t="array" ref="C57">UPPER(INDEX(_xlfn.TEXTSPLIT($D57, "-"), 3))</f>
        <v>DIP</v>
      </c>
      <c r="D57" s="78" t="s">
        <v>385</v>
      </c>
      <c r="E57" s="89" t="s">
        <v>24</v>
      </c>
      <c r="F57" s="74" t="s">
        <v>551</v>
      </c>
      <c r="G57" s="74" t="str">
        <f t="shared" si="2"/>
        <v>t-dip-mqweb01-disk01</v>
      </c>
      <c r="H57" s="74" t="s">
        <v>181</v>
      </c>
      <c r="I57" s="74">
        <v>128</v>
      </c>
      <c r="J57" s="74" t="str">
        <f t="shared" si="1"/>
        <v>t-dip-mqweb01-disk02</v>
      </c>
      <c r="K57" s="74" t="s">
        <v>181</v>
      </c>
      <c r="L57" s="74">
        <v>128</v>
      </c>
      <c r="M57" s="74">
        <v>3</v>
      </c>
      <c r="N57" s="74" t="s">
        <v>194</v>
      </c>
      <c r="O57" s="74" t="s">
        <v>198</v>
      </c>
      <c r="P57" s="74" t="s">
        <v>210</v>
      </c>
      <c r="Q57" s="74" t="b">
        <v>1</v>
      </c>
      <c r="R57" s="74"/>
    </row>
    <row r="58" spans="1:18" x14ac:dyDescent="0.3">
      <c r="A58" s="98"/>
      <c r="B58" s="88" t="s">
        <v>182</v>
      </c>
      <c r="C58" s="73" t="str" cm="1">
        <f t="array" ref="C58">UPPER(INDEX(_xlfn.TEXTSPLIT($D58, "-"), 3))</f>
        <v>DIP</v>
      </c>
      <c r="D58" s="88" t="s">
        <v>385</v>
      </c>
      <c r="E58" s="88" t="s">
        <v>24</v>
      </c>
      <c r="F58" s="73" t="s">
        <v>552</v>
      </c>
      <c r="G58" s="73" t="str">
        <f t="shared" si="2"/>
        <v>t-dip-oms01-disk01</v>
      </c>
      <c r="H58" s="73" t="s">
        <v>181</v>
      </c>
      <c r="I58" s="73">
        <v>128</v>
      </c>
      <c r="J58" s="73" t="str">
        <f t="shared" si="1"/>
        <v>t-dip-oms01-disk02</v>
      </c>
      <c r="K58" s="73" t="s">
        <v>181</v>
      </c>
      <c r="L58" s="73">
        <v>128</v>
      </c>
      <c r="M58" s="73">
        <v>3</v>
      </c>
      <c r="N58" s="73" t="s">
        <v>194</v>
      </c>
      <c r="O58" s="73" t="s">
        <v>198</v>
      </c>
      <c r="P58" s="73" t="s">
        <v>210</v>
      </c>
      <c r="Q58" s="73" t="b">
        <v>1</v>
      </c>
      <c r="R58" s="73"/>
    </row>
    <row r="59" spans="1:18" x14ac:dyDescent="0.3">
      <c r="A59" s="98"/>
      <c r="B59" s="78" t="s">
        <v>182</v>
      </c>
      <c r="C59" s="74" t="str" cm="1">
        <f t="array" ref="C59">UPPER(INDEX(_xlfn.TEXTSPLIT($D59, "-"), 3))</f>
        <v>DIP</v>
      </c>
      <c r="D59" s="78" t="s">
        <v>385</v>
      </c>
      <c r="E59" s="89" t="s">
        <v>24</v>
      </c>
      <c r="F59" s="74" t="s">
        <v>553</v>
      </c>
      <c r="G59" s="74" t="str">
        <f t="shared" si="2"/>
        <v>t-dip-web01-disk01</v>
      </c>
      <c r="H59" s="74" t="s">
        <v>181</v>
      </c>
      <c r="I59" s="74">
        <v>128</v>
      </c>
      <c r="J59" s="74" t="str">
        <f t="shared" si="1"/>
        <v>t-dip-web01-disk02</v>
      </c>
      <c r="K59" s="74" t="s">
        <v>181</v>
      </c>
      <c r="L59" s="74">
        <v>128</v>
      </c>
      <c r="M59" s="74">
        <v>3</v>
      </c>
      <c r="N59" s="74" t="s">
        <v>194</v>
      </c>
      <c r="O59" s="74" t="s">
        <v>198</v>
      </c>
      <c r="P59" s="74" t="s">
        <v>210</v>
      </c>
      <c r="Q59" s="74" t="b">
        <v>1</v>
      </c>
      <c r="R59" s="74"/>
    </row>
    <row r="60" spans="1:18" x14ac:dyDescent="0.3">
      <c r="A60" s="98"/>
      <c r="B60" s="88" t="s">
        <v>182</v>
      </c>
      <c r="C60" s="73" t="str" cm="1">
        <f t="array" ref="C60">UPPER(INDEX(_xlfn.TEXTSPLIT($D60, "-"), 3))</f>
        <v>IF</v>
      </c>
      <c r="D60" s="88" t="s">
        <v>474</v>
      </c>
      <c r="E60" s="88" t="s">
        <v>24</v>
      </c>
      <c r="F60" s="73" t="s">
        <v>599</v>
      </c>
      <c r="G60" s="73" t="str">
        <f t="shared" si="2"/>
        <v>t-if-auth01-disk01</v>
      </c>
      <c r="H60" s="73" t="s">
        <v>181</v>
      </c>
      <c r="I60" s="73">
        <v>128</v>
      </c>
      <c r="J60" s="73" t="str">
        <f t="shared" si="1"/>
        <v>t-if-auth01-disk02</v>
      </c>
      <c r="K60" s="73" t="s">
        <v>181</v>
      </c>
      <c r="L60" s="73">
        <v>128</v>
      </c>
      <c r="M60" s="73">
        <v>3</v>
      </c>
      <c r="N60" s="73" t="s">
        <v>194</v>
      </c>
      <c r="O60" s="73" t="s">
        <v>198</v>
      </c>
      <c r="P60" s="73" t="s">
        <v>210</v>
      </c>
      <c r="Q60" s="73" t="b">
        <v>1</v>
      </c>
      <c r="R60" s="73"/>
    </row>
    <row r="61" spans="1:18" x14ac:dyDescent="0.3">
      <c r="A61" s="98"/>
      <c r="B61" s="88" t="s">
        <v>182</v>
      </c>
      <c r="C61" s="73" t="str" cm="1">
        <f t="array" ref="C61">UPPER(INDEX(_xlfn.TEXTSPLIT($D61, "-"), 3))</f>
        <v>IF</v>
      </c>
      <c r="D61" s="88" t="s">
        <v>474</v>
      </c>
      <c r="E61" s="88" t="s">
        <v>24</v>
      </c>
      <c r="F61" s="73" t="s">
        <v>554</v>
      </c>
      <c r="G61" s="73" t="str">
        <f t="shared" si="2"/>
        <v>t-if-gramon01-disk01</v>
      </c>
      <c r="H61" s="73" t="s">
        <v>181</v>
      </c>
      <c r="I61" s="73">
        <v>128</v>
      </c>
      <c r="J61" s="73" t="str">
        <f t="shared" si="1"/>
        <v>t-if-gramon01-disk02</v>
      </c>
      <c r="K61" s="73" t="s">
        <v>181</v>
      </c>
      <c r="L61" s="73">
        <v>128</v>
      </c>
      <c r="M61" s="73">
        <v>3</v>
      </c>
      <c r="N61" s="73" t="s">
        <v>194</v>
      </c>
      <c r="O61" s="73" t="s">
        <v>198</v>
      </c>
      <c r="P61" s="73" t="s">
        <v>210</v>
      </c>
      <c r="Q61" s="73" t="b">
        <v>1</v>
      </c>
      <c r="R61" s="73"/>
    </row>
    <row r="62" spans="1:18" x14ac:dyDescent="0.3">
      <c r="A62" s="98"/>
      <c r="B62" s="78" t="s">
        <v>182</v>
      </c>
      <c r="C62" s="74" t="str" cm="1">
        <f t="array" ref="C62">UPPER(INDEX(_xlfn.TEXTSPLIT($D62, "-"), 3))</f>
        <v>DOIP</v>
      </c>
      <c r="D62" s="78" t="s">
        <v>386</v>
      </c>
      <c r="E62" s="89" t="s">
        <v>24</v>
      </c>
      <c r="F62" s="74" t="s">
        <v>555</v>
      </c>
      <c r="G62" s="74" t="str">
        <f t="shared" si="2"/>
        <v>t-doip-web01-disk01</v>
      </c>
      <c r="H62" s="74" t="s">
        <v>181</v>
      </c>
      <c r="I62" s="74">
        <v>128</v>
      </c>
      <c r="J62" s="74" t="str">
        <f t="shared" si="1"/>
        <v>t-doip-web01-disk02</v>
      </c>
      <c r="K62" s="74" t="s">
        <v>181</v>
      </c>
      <c r="L62" s="74">
        <v>128</v>
      </c>
      <c r="M62" s="74">
        <v>3</v>
      </c>
      <c r="N62" s="74" t="s">
        <v>194</v>
      </c>
      <c r="O62" s="74" t="s">
        <v>198</v>
      </c>
      <c r="P62" s="74" t="s">
        <v>210</v>
      </c>
      <c r="Q62" s="74" t="b">
        <v>1</v>
      </c>
      <c r="R62" s="74"/>
    </row>
    <row r="63" spans="1:18" x14ac:dyDescent="0.3">
      <c r="A63" s="98"/>
      <c r="B63" s="88" t="s">
        <v>182</v>
      </c>
      <c r="C63" s="73" t="str" cm="1">
        <f t="array" ref="C63">UPPER(INDEX(_xlfn.TEXTSPLIT($D63, "-"), 3))</f>
        <v>DOIP</v>
      </c>
      <c r="D63" s="88" t="s">
        <v>386</v>
      </c>
      <c r="E63" s="88" t="s">
        <v>24</v>
      </c>
      <c r="F63" s="73" t="s">
        <v>556</v>
      </c>
      <c r="G63" s="73" t="str">
        <f t="shared" si="2"/>
        <v>t-doip-ap01-disk01</v>
      </c>
      <c r="H63" s="73" t="s">
        <v>181</v>
      </c>
      <c r="I63" s="73">
        <v>128</v>
      </c>
      <c r="J63" s="73" t="str">
        <f t="shared" si="1"/>
        <v>t-doip-ap01-disk02</v>
      </c>
      <c r="K63" s="73" t="s">
        <v>181</v>
      </c>
      <c r="L63" s="73">
        <v>128</v>
      </c>
      <c r="M63" s="73">
        <v>3</v>
      </c>
      <c r="N63" s="73" t="s">
        <v>194</v>
      </c>
      <c r="O63" s="73" t="s">
        <v>198</v>
      </c>
      <c r="P63" s="73" t="s">
        <v>210</v>
      </c>
      <c r="Q63" s="73" t="b">
        <v>1</v>
      </c>
      <c r="R63" s="73"/>
    </row>
    <row r="64" spans="1:18" x14ac:dyDescent="0.3">
      <c r="A64" s="98"/>
      <c r="B64" s="78" t="s">
        <v>182</v>
      </c>
      <c r="C64" s="74" t="str" cm="1">
        <f t="array" ref="C64">UPPER(INDEX(_xlfn.TEXTSPLIT($D64, "-"), 3))</f>
        <v>DOIP</v>
      </c>
      <c r="D64" s="78" t="s">
        <v>386</v>
      </c>
      <c r="E64" s="89" t="s">
        <v>24</v>
      </c>
      <c r="F64" s="74" t="s">
        <v>557</v>
      </c>
      <c r="G64" s="74" t="str">
        <f t="shared" si="2"/>
        <v>t-doip-adm01-disk01</v>
      </c>
      <c r="H64" s="74" t="s">
        <v>181</v>
      </c>
      <c r="I64" s="74">
        <v>128</v>
      </c>
      <c r="J64" s="74" t="str">
        <f t="shared" si="1"/>
        <v>t-doip-adm01-disk02</v>
      </c>
      <c r="K64" s="74" t="s">
        <v>181</v>
      </c>
      <c r="L64" s="74">
        <v>128</v>
      </c>
      <c r="M64" s="74">
        <v>3</v>
      </c>
      <c r="N64" s="74" t="s">
        <v>194</v>
      </c>
      <c r="O64" s="74" t="s">
        <v>198</v>
      </c>
      <c r="P64" s="74" t="s">
        <v>210</v>
      </c>
      <c r="Q64" s="74" t="b">
        <v>1</v>
      </c>
      <c r="R64" s="74"/>
    </row>
    <row r="65" spans="1:18" x14ac:dyDescent="0.3">
      <c r="A65" s="98"/>
      <c r="B65" s="88" t="s">
        <v>182</v>
      </c>
      <c r="C65" s="73" t="str" cm="1">
        <f t="array" ref="C65">UPPER(INDEX(_xlfn.TEXTSPLIT($D65, "-"), 3))</f>
        <v>BDP</v>
      </c>
      <c r="D65" s="88" t="s">
        <v>384</v>
      </c>
      <c r="E65" s="88" t="s">
        <v>24</v>
      </c>
      <c r="F65" s="73" t="s">
        <v>558</v>
      </c>
      <c r="G65" s="73" t="str">
        <f t="shared" si="2"/>
        <v>t-bdp-crkweb01-disk01</v>
      </c>
      <c r="H65" s="73" t="s">
        <v>181</v>
      </c>
      <c r="I65" s="73">
        <v>128</v>
      </c>
      <c r="J65" s="73" t="str">
        <f t="shared" si="1"/>
        <v>t-bdp-crkweb01-disk02</v>
      </c>
      <c r="K65" s="73" t="s">
        <v>181</v>
      </c>
      <c r="L65" s="73">
        <v>128</v>
      </c>
      <c r="M65" s="73">
        <v>3</v>
      </c>
      <c r="N65" s="73" t="s">
        <v>194</v>
      </c>
      <c r="O65" s="73" t="s">
        <v>198</v>
      </c>
      <c r="P65" s="73" t="s">
        <v>210</v>
      </c>
      <c r="Q65" s="73" t="b">
        <v>1</v>
      </c>
      <c r="R65" s="73"/>
    </row>
    <row r="66" spans="1:18" x14ac:dyDescent="0.3">
      <c r="A66" s="98"/>
      <c r="B66" s="78" t="s">
        <v>182</v>
      </c>
      <c r="C66" s="74" t="str" cm="1">
        <f t="array" ref="C66">UPPER(INDEX(_xlfn.TEXTSPLIT($D66, "-"), 3))</f>
        <v>BDP</v>
      </c>
      <c r="D66" s="78" t="s">
        <v>384</v>
      </c>
      <c r="E66" s="89" t="s">
        <v>24</v>
      </c>
      <c r="F66" s="74" t="s">
        <v>559</v>
      </c>
      <c r="G66" s="74" t="str">
        <f t="shared" si="2"/>
        <v>t-bdp-crkap01-disk01</v>
      </c>
      <c r="H66" s="74" t="s">
        <v>181</v>
      </c>
      <c r="I66" s="74">
        <v>128</v>
      </c>
      <c r="J66" s="74" t="str">
        <f t="shared" ref="J66:J69" si="3">SUBSTITUTE($F66,"hazr-","")&amp;"-disk02"</f>
        <v>t-bdp-crkap01-disk02</v>
      </c>
      <c r="K66" s="74" t="s">
        <v>181</v>
      </c>
      <c r="L66" s="74">
        <v>128</v>
      </c>
      <c r="M66" s="74">
        <v>3</v>
      </c>
      <c r="N66" s="74" t="s">
        <v>194</v>
      </c>
      <c r="O66" s="74" t="s">
        <v>198</v>
      </c>
      <c r="P66" s="74" t="s">
        <v>210</v>
      </c>
      <c r="Q66" s="74" t="b">
        <v>1</v>
      </c>
      <c r="R66" s="74"/>
    </row>
    <row r="67" spans="1:18" x14ac:dyDescent="0.3">
      <c r="A67" s="98"/>
      <c r="B67" s="88" t="s">
        <v>182</v>
      </c>
      <c r="C67" s="73" t="str" cm="1">
        <f t="array" ref="C67">UPPER(INDEX(_xlfn.TEXTSPLIT($D67, "-"), 3))</f>
        <v>BDP</v>
      </c>
      <c r="D67" s="88" t="s">
        <v>384</v>
      </c>
      <c r="E67" s="88" t="s">
        <v>24</v>
      </c>
      <c r="F67" s="73" t="s">
        <v>560</v>
      </c>
      <c r="G67" s="73" t="str">
        <f t="shared" si="2"/>
        <v>t-bdp-crkml01-disk01</v>
      </c>
      <c r="H67" s="73" t="s">
        <v>181</v>
      </c>
      <c r="I67" s="73">
        <v>128</v>
      </c>
      <c r="J67" s="73" t="str">
        <f t="shared" si="3"/>
        <v>t-bdp-crkml01-disk02</v>
      </c>
      <c r="K67" s="73" t="s">
        <v>181</v>
      </c>
      <c r="L67" s="73">
        <v>128</v>
      </c>
      <c r="M67" s="73">
        <v>3</v>
      </c>
      <c r="N67" s="73" t="s">
        <v>194</v>
      </c>
      <c r="O67" s="73" t="s">
        <v>198</v>
      </c>
      <c r="P67" s="73" t="s">
        <v>210</v>
      </c>
      <c r="Q67" s="73" t="b">
        <v>1</v>
      </c>
      <c r="R67" s="73"/>
    </row>
    <row r="68" spans="1:18" x14ac:dyDescent="0.3">
      <c r="A68" s="98"/>
      <c r="B68" s="78" t="s">
        <v>586</v>
      </c>
      <c r="C68" s="74" t="str" cm="1">
        <f t="array" ref="C68">UPPER(INDEX(_xlfn.TEXTSPLIT($D68, "-"), 3))</f>
        <v>MON</v>
      </c>
      <c r="D68" s="78" t="s">
        <v>572</v>
      </c>
      <c r="E68" s="89" t="s">
        <v>24</v>
      </c>
      <c r="F68" s="74" t="s">
        <v>579</v>
      </c>
      <c r="G68" s="74" t="str">
        <f t="shared" si="2"/>
        <v>l-mon-whtap01-disk01</v>
      </c>
      <c r="H68" s="74" t="s">
        <v>181</v>
      </c>
      <c r="I68" s="74">
        <v>1024</v>
      </c>
      <c r="J68" s="74" t="str">
        <f t="shared" si="3"/>
        <v>l-mon-whtap01-disk02</v>
      </c>
      <c r="K68" s="74" t="s">
        <v>181</v>
      </c>
      <c r="L68" s="74">
        <v>128</v>
      </c>
      <c r="M68" s="74">
        <v>1</v>
      </c>
      <c r="N68" s="74" t="s">
        <v>194</v>
      </c>
      <c r="O68" s="74" t="s">
        <v>580</v>
      </c>
      <c r="P68" s="74" t="s">
        <v>585</v>
      </c>
      <c r="Q68" s="74" t="b">
        <v>1</v>
      </c>
      <c r="R68" s="74"/>
    </row>
    <row r="69" spans="1:18" x14ac:dyDescent="0.3">
      <c r="A69" s="98"/>
      <c r="B69" s="88" t="s">
        <v>586</v>
      </c>
      <c r="C69" s="73" t="s">
        <v>581</v>
      </c>
      <c r="D69" s="88" t="s">
        <v>572</v>
      </c>
      <c r="E69" s="88" t="s">
        <v>24</v>
      </c>
      <c r="F69" s="73" t="s">
        <v>578</v>
      </c>
      <c r="G69" s="73" t="str">
        <f t="shared" ref="G69" si="4">SUBSTITUTE($F69,"hazr-","")&amp;"-disk01"</f>
        <v>l-mon-whtap02-disk01</v>
      </c>
      <c r="H69" s="73" t="s">
        <v>181</v>
      </c>
      <c r="I69" s="73">
        <v>1024</v>
      </c>
      <c r="J69" s="73" t="str">
        <f t="shared" si="3"/>
        <v>l-mon-whtap02-disk02</v>
      </c>
      <c r="K69" s="73" t="s">
        <v>181</v>
      </c>
      <c r="L69" s="73">
        <v>128</v>
      </c>
      <c r="M69" s="73">
        <v>2</v>
      </c>
      <c r="N69" s="73" t="s">
        <v>194</v>
      </c>
      <c r="O69" s="73" t="s">
        <v>580</v>
      </c>
      <c r="P69" s="73" t="s">
        <v>584</v>
      </c>
      <c r="Q69" s="73" t="b">
        <v>1</v>
      </c>
      <c r="R69" s="73"/>
    </row>
    <row r="70" spans="1:18" x14ac:dyDescent="0.3">
      <c r="A70" s="98"/>
      <c r="B70" s="78" t="s">
        <v>586</v>
      </c>
      <c r="C70" s="74" t="str" cm="1">
        <f t="array" ref="C70">UPPER(INDEX(_xlfn.TEXTSPLIT($D70, "-"), 3))</f>
        <v>MON</v>
      </c>
      <c r="D70" s="78" t="s">
        <v>572</v>
      </c>
      <c r="E70" s="89" t="s">
        <v>24</v>
      </c>
      <c r="F70" s="74" t="s">
        <v>587</v>
      </c>
      <c r="G70" s="74" t="str">
        <f>SUBSTITUTE($F70,"hazr-","")&amp;"-disk01"</f>
        <v>l-mon-whtap03-disk01</v>
      </c>
      <c r="H70" s="74" t="s">
        <v>181</v>
      </c>
      <c r="I70" s="74">
        <v>128</v>
      </c>
      <c r="J70" s="74" t="s">
        <v>565</v>
      </c>
      <c r="K70" s="74" t="s">
        <v>565</v>
      </c>
      <c r="L70" s="74" t="s">
        <v>565</v>
      </c>
      <c r="M70" s="74">
        <v>3</v>
      </c>
      <c r="N70" s="74" t="s">
        <v>194</v>
      </c>
      <c r="O70" s="74" t="s">
        <v>580</v>
      </c>
      <c r="P70" s="74" t="s">
        <v>585</v>
      </c>
      <c r="Q70" s="74" t="b">
        <v>1</v>
      </c>
      <c r="R70" s="74"/>
    </row>
    <row r="71" spans="1:18" x14ac:dyDescent="0.3">
      <c r="A71" s="98"/>
      <c r="B71" s="88" t="s">
        <v>182</v>
      </c>
      <c r="C71" s="88" t="str" cm="1">
        <f t="array" ref="C71">UPPER(INDEX(_xlfn.TEXTSPLIT($D71, "-"), 3))</f>
        <v>IF</v>
      </c>
      <c r="D71" s="88" t="s">
        <v>474</v>
      </c>
      <c r="E71" s="88" t="s">
        <v>24</v>
      </c>
      <c r="F71" s="73" t="s">
        <v>595</v>
      </c>
      <c r="G71" s="73" t="str">
        <f>SUBSTITUTE($F71,"hazr-","")&amp;"-disk01"</f>
        <v>t-if-icsweb01-disk01</v>
      </c>
      <c r="H71" s="73" t="s">
        <v>181</v>
      </c>
      <c r="I71" s="73">
        <v>128</v>
      </c>
      <c r="J71" s="73" t="str">
        <f>SUBSTITUTE($F71,"hazr-","")&amp;"-disk02"</f>
        <v>t-if-icsweb01-disk02</v>
      </c>
      <c r="K71" s="73" t="s">
        <v>181</v>
      </c>
      <c r="L71" s="73">
        <v>128</v>
      </c>
      <c r="M71" s="73">
        <v>3</v>
      </c>
      <c r="N71" s="73" t="s">
        <v>194</v>
      </c>
      <c r="O71" s="73" t="s">
        <v>198</v>
      </c>
      <c r="P71" s="73" t="s">
        <v>210</v>
      </c>
      <c r="Q71" s="73" t="b">
        <v>1</v>
      </c>
      <c r="R71" s="73"/>
    </row>
    <row r="72" spans="1:18" x14ac:dyDescent="0.3">
      <c r="A72" s="98"/>
      <c r="B72" s="74" t="s">
        <v>182</v>
      </c>
      <c r="C72" s="74" t="str" cm="1">
        <f t="array" ref="C72">UPPER(INDEX(_xlfn.TEXTSPLIT($D72, "-"), 3))</f>
        <v>COM</v>
      </c>
      <c r="D72" s="74" t="s">
        <v>613</v>
      </c>
      <c r="E72" s="74" t="s">
        <v>24</v>
      </c>
      <c r="F72" s="74" t="s">
        <v>614</v>
      </c>
      <c r="G72" s="74" t="str">
        <f>SUBSTITUTE($F72,"hazr-","")&amp;"-disk01"</f>
        <v>t-com-esnweb01-disk01</v>
      </c>
      <c r="H72" s="74" t="s">
        <v>181</v>
      </c>
      <c r="I72" s="74">
        <v>128</v>
      </c>
      <c r="J72" s="74" t="str">
        <f t="shared" ref="J72:J74" si="5">SUBSTITUTE($F72,"hazr-","")&amp;"-disk02"</f>
        <v>t-com-esnweb01-disk02</v>
      </c>
      <c r="K72" s="74" t="s">
        <v>181</v>
      </c>
      <c r="L72" s="74">
        <v>128</v>
      </c>
      <c r="M72" s="74">
        <v>3</v>
      </c>
      <c r="N72" s="74" t="s">
        <v>194</v>
      </c>
      <c r="O72" s="74" t="s">
        <v>198</v>
      </c>
      <c r="P72" s="74" t="s">
        <v>210</v>
      </c>
      <c r="Q72" s="74" t="b">
        <v>1</v>
      </c>
      <c r="R72" s="74"/>
    </row>
    <row r="73" spans="1:18" x14ac:dyDescent="0.3">
      <c r="A73" s="98"/>
      <c r="B73" s="88" t="s">
        <v>182</v>
      </c>
      <c r="C73" s="88" t="str" cm="1">
        <f t="array" ref="C73">UPPER(INDEX(_xlfn.TEXTSPLIT($D73, "-"), 3))</f>
        <v>COM</v>
      </c>
      <c r="D73" s="73" t="s">
        <v>613</v>
      </c>
      <c r="E73" s="73" t="s">
        <v>24</v>
      </c>
      <c r="F73" s="73" t="s">
        <v>615</v>
      </c>
      <c r="G73" s="73" t="str">
        <f>SUBSTITUTE($F73,"hazr-","")&amp;"-disk01"</f>
        <v>t-com-esnwas01-disk01</v>
      </c>
      <c r="H73" s="73" t="s">
        <v>181</v>
      </c>
      <c r="I73" s="73">
        <v>128</v>
      </c>
      <c r="J73" s="73" t="str">
        <f t="shared" si="5"/>
        <v>t-com-esnwas01-disk02</v>
      </c>
      <c r="K73" s="73" t="s">
        <v>181</v>
      </c>
      <c r="L73" s="73">
        <v>128</v>
      </c>
      <c r="M73" s="73">
        <v>3</v>
      </c>
      <c r="N73" s="73" t="s">
        <v>194</v>
      </c>
      <c r="O73" s="73" t="s">
        <v>198</v>
      </c>
      <c r="P73" s="73" t="s">
        <v>210</v>
      </c>
      <c r="Q73" s="73" t="b">
        <v>1</v>
      </c>
      <c r="R73" s="73"/>
    </row>
    <row r="74" spans="1:18" x14ac:dyDescent="0.3">
      <c r="B74" s="74" t="s">
        <v>182</v>
      </c>
      <c r="C74" s="74" t="s">
        <v>619</v>
      </c>
      <c r="D74" s="74" t="s">
        <v>383</v>
      </c>
      <c r="E74" s="74" t="s">
        <v>24</v>
      </c>
      <c r="F74" s="74" t="s">
        <v>622</v>
      </c>
      <c r="G74" s="74" t="str">
        <f>SUBSTITUTE($F74,"hazr-","")&amp;"-disk01"</f>
        <v>t-dtg-bbigeoap01-disk01</v>
      </c>
      <c r="H74" s="74" t="s">
        <v>181</v>
      </c>
      <c r="I74" s="74">
        <v>128</v>
      </c>
      <c r="J74" s="74" t="str">
        <f t="shared" si="5"/>
        <v>t-dtg-bbigeoap01-disk02</v>
      </c>
      <c r="K74" s="74" t="s">
        <v>181</v>
      </c>
      <c r="L74" s="74">
        <v>128</v>
      </c>
      <c r="M74" s="74">
        <v>3</v>
      </c>
      <c r="N74" s="74" t="s">
        <v>623</v>
      </c>
      <c r="O74" s="74" t="s">
        <v>198</v>
      </c>
      <c r="P74" s="74" t="s">
        <v>210</v>
      </c>
      <c r="Q74" s="74" t="b">
        <v>1</v>
      </c>
      <c r="R74" s="74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M92"/>
  <sheetViews>
    <sheetView topLeftCell="A73" workbookViewId="0">
      <selection activeCell="A92" sqref="A92"/>
    </sheetView>
  </sheetViews>
  <sheetFormatPr defaultRowHeight="16.5" x14ac:dyDescent="0.3"/>
  <cols>
    <col min="1" max="1" width="1.5" customWidth="1"/>
    <col min="2" max="3" width="9" style="75"/>
    <col min="4" max="4" width="17.25" style="75" bestFit="1" customWidth="1"/>
    <col min="5" max="5" width="20.5" style="75" customWidth="1"/>
    <col min="6" max="6" width="13.75" style="75" bestFit="1" customWidth="1"/>
    <col min="7" max="7" width="20" style="75" bestFit="1" customWidth="1"/>
    <col min="8" max="8" width="18.5" style="75" bestFit="1" customWidth="1"/>
    <col min="9" max="10" width="18.5" style="75" customWidth="1"/>
    <col min="11" max="11" width="18" style="75" customWidth="1"/>
    <col min="12" max="12" width="9" style="75"/>
  </cols>
  <sheetData>
    <row r="1" spans="1:13" x14ac:dyDescent="0.3">
      <c r="B1" s="96" t="s">
        <v>0</v>
      </c>
      <c r="C1" s="96" t="s">
        <v>1</v>
      </c>
      <c r="D1" s="72" t="s">
        <v>33</v>
      </c>
      <c r="E1" s="72" t="s">
        <v>34</v>
      </c>
      <c r="F1" s="72" t="s">
        <v>91</v>
      </c>
      <c r="G1" s="72" t="s">
        <v>92</v>
      </c>
      <c r="H1" s="72" t="s">
        <v>93</v>
      </c>
      <c r="I1" s="72" t="s">
        <v>184</v>
      </c>
      <c r="J1" s="72" t="s">
        <v>567</v>
      </c>
      <c r="K1" s="72" t="s">
        <v>31</v>
      </c>
      <c r="L1" s="72" t="s">
        <v>36</v>
      </c>
      <c r="M1" s="48"/>
    </row>
    <row r="2" spans="1:13" x14ac:dyDescent="0.3">
      <c r="A2" s="100"/>
      <c r="B2" s="80" t="s">
        <v>182</v>
      </c>
      <c r="C2" s="80" t="str" cm="1">
        <f t="array" ref="C2">UPPER(INDEX(_xlfn.TEXTSPLIT($E2, "-"), 2))</f>
        <v>CS</v>
      </c>
      <c r="D2" s="80" t="s">
        <v>198</v>
      </c>
      <c r="E2" s="80" t="str">
        <f>SUBSTITUTE(I2,"hazr-","")&amp;"-nsg"</f>
        <v>t-cs-chtweb01-nsg</v>
      </c>
      <c r="F2" s="80" t="s">
        <v>198</v>
      </c>
      <c r="G2" s="73" t="s">
        <v>199</v>
      </c>
      <c r="H2" s="73" t="s">
        <v>209</v>
      </c>
      <c r="I2" s="73" t="s">
        <v>206</v>
      </c>
      <c r="J2" s="73" t="s">
        <v>205</v>
      </c>
      <c r="K2" s="73" t="str">
        <f>SUBSTITUTE(I2,"hazr-","")&amp;"-nic"</f>
        <v>t-cs-chtweb01-nic</v>
      </c>
      <c r="L2" s="81" t="s">
        <v>566</v>
      </c>
      <c r="M2" s="81"/>
    </row>
    <row r="3" spans="1:13" x14ac:dyDescent="0.3">
      <c r="A3" s="100"/>
      <c r="B3" s="82" t="s">
        <v>182</v>
      </c>
      <c r="C3" s="82" t="str" cm="1">
        <f t="array" ref="C3">UPPER(INDEX(_xlfn.TEXTSPLIT($E3, "-"), 2))</f>
        <v>CS</v>
      </c>
      <c r="D3" s="82" t="s">
        <v>198</v>
      </c>
      <c r="E3" s="82" t="str">
        <f>SUBSTITUTE(I3,"hazr-","")&amp;"-nsg"</f>
        <v>t-cs-chtintweb01-nsg</v>
      </c>
      <c r="F3" s="82" t="s">
        <v>198</v>
      </c>
      <c r="G3" s="74" t="s">
        <v>200</v>
      </c>
      <c r="H3" s="74" t="s">
        <v>208</v>
      </c>
      <c r="I3" s="74" t="s">
        <v>207</v>
      </c>
      <c r="J3" s="74" t="s">
        <v>205</v>
      </c>
      <c r="K3" s="74" t="str">
        <f>SUBSTITUTE(I3,"hazr-","")&amp;"-nic"</f>
        <v>t-cs-chtintweb01-nic</v>
      </c>
      <c r="L3" s="83" t="s">
        <v>566</v>
      </c>
      <c r="M3" s="83"/>
    </row>
    <row r="4" spans="1:13" x14ac:dyDescent="0.3">
      <c r="A4" s="100"/>
      <c r="B4" s="80" t="s">
        <v>182</v>
      </c>
      <c r="C4" s="80" t="str" cm="1">
        <f t="array" ref="C4">UPPER(INDEX(_xlfn.TEXTSPLIT($E4, "-"), 2))</f>
        <v>CS</v>
      </c>
      <c r="D4" s="80" t="s">
        <v>198</v>
      </c>
      <c r="E4" s="80" t="str">
        <f t="shared" ref="E4:E64" si="0">SUBSTITUTE(I4,"hazr-","")&amp;"-nsg"</f>
        <v>t-cs-chtap01-nsg</v>
      </c>
      <c r="F4" s="80" t="s">
        <v>198</v>
      </c>
      <c r="G4" s="73" t="s">
        <v>200</v>
      </c>
      <c r="H4" s="73" t="s">
        <v>208</v>
      </c>
      <c r="I4" s="73" t="s">
        <v>284</v>
      </c>
      <c r="J4" s="73" t="s">
        <v>205</v>
      </c>
      <c r="K4" s="73" t="str">
        <f t="shared" ref="K4:K64" si="1">SUBSTITUTE(I4,"hazr-","")&amp;"-nic"</f>
        <v>t-cs-chtap01-nic</v>
      </c>
      <c r="L4" s="81" t="s">
        <v>566</v>
      </c>
      <c r="M4" s="81"/>
    </row>
    <row r="5" spans="1:13" x14ac:dyDescent="0.3">
      <c r="A5" s="97"/>
      <c r="B5" s="82" t="s">
        <v>182</v>
      </c>
      <c r="C5" s="82" t="str" cm="1">
        <f t="array" ref="C5">UPPER(INDEX(_xlfn.TEXTSPLIT($E5, "-"), 2))</f>
        <v>DIS</v>
      </c>
      <c r="D5" s="82" t="s">
        <v>198</v>
      </c>
      <c r="E5" s="82" t="str">
        <f t="shared" si="0"/>
        <v>t-dis-ap01-nsg</v>
      </c>
      <c r="F5" s="82" t="s">
        <v>198</v>
      </c>
      <c r="G5" s="74" t="s">
        <v>476</v>
      </c>
      <c r="H5" s="74" t="s">
        <v>387</v>
      </c>
      <c r="I5" s="74" t="s">
        <v>499</v>
      </c>
      <c r="J5" s="74" t="s">
        <v>286</v>
      </c>
      <c r="K5" s="74" t="str">
        <f t="shared" si="1"/>
        <v>t-dis-ap01-nic</v>
      </c>
      <c r="L5" s="83" t="s">
        <v>566</v>
      </c>
      <c r="M5" s="83"/>
    </row>
    <row r="6" spans="1:13" x14ac:dyDescent="0.3">
      <c r="A6" s="97"/>
      <c r="B6" s="80" t="s">
        <v>182</v>
      </c>
      <c r="C6" s="80" t="str" cm="1">
        <f t="array" ref="C6">UPPER(INDEX(_xlfn.TEXTSPLIT($E6, "-"), 2))</f>
        <v>DIS</v>
      </c>
      <c r="D6" s="80" t="s">
        <v>198</v>
      </c>
      <c r="E6" s="80" t="str">
        <f t="shared" si="0"/>
        <v>t-dis-adm01-nsg</v>
      </c>
      <c r="F6" s="80" t="s">
        <v>198</v>
      </c>
      <c r="G6" s="73" t="s">
        <v>476</v>
      </c>
      <c r="H6" s="73" t="s">
        <v>387</v>
      </c>
      <c r="I6" s="73" t="s">
        <v>500</v>
      </c>
      <c r="J6" s="73" t="s">
        <v>286</v>
      </c>
      <c r="K6" s="73" t="str">
        <f t="shared" si="1"/>
        <v>t-dis-adm01-nic</v>
      </c>
      <c r="L6" s="81" t="s">
        <v>566</v>
      </c>
      <c r="M6" s="81"/>
    </row>
    <row r="7" spans="1:13" x14ac:dyDescent="0.3">
      <c r="A7" s="97"/>
      <c r="B7" s="82" t="s">
        <v>182</v>
      </c>
      <c r="C7" s="82" t="str" cm="1">
        <f t="array" ref="C7">UPPER(INDEX(_xlfn.TEXTSPLIT($E7, "-"), 2))</f>
        <v>DIS</v>
      </c>
      <c r="D7" s="82" t="s">
        <v>198</v>
      </c>
      <c r="E7" s="82" t="str">
        <f t="shared" si="0"/>
        <v>t-dis-bbiweb01-nsg</v>
      </c>
      <c r="F7" s="82" t="s">
        <v>198</v>
      </c>
      <c r="G7" s="74" t="s">
        <v>477</v>
      </c>
      <c r="H7" s="74" t="s">
        <v>390</v>
      </c>
      <c r="I7" s="74" t="s">
        <v>501</v>
      </c>
      <c r="J7" s="74" t="s">
        <v>286</v>
      </c>
      <c r="K7" s="74" t="str">
        <f t="shared" si="1"/>
        <v>t-dis-bbiweb01-nic</v>
      </c>
      <c r="L7" s="83" t="s">
        <v>566</v>
      </c>
      <c r="M7" s="83"/>
    </row>
    <row r="8" spans="1:13" x14ac:dyDescent="0.3">
      <c r="A8" s="97"/>
      <c r="B8" s="80" t="s">
        <v>182</v>
      </c>
      <c r="C8" s="80" t="str" cm="1">
        <f t="array" ref="C8">UPPER(INDEX(_xlfn.TEXTSPLIT($E8, "-"), 2))</f>
        <v>DIS</v>
      </c>
      <c r="D8" s="80" t="s">
        <v>198</v>
      </c>
      <c r="E8" s="80" t="str">
        <f t="shared" si="0"/>
        <v>t-dis-bbicltap01-nsg</v>
      </c>
      <c r="F8" s="80" t="s">
        <v>198</v>
      </c>
      <c r="G8" s="73" t="s">
        <v>476</v>
      </c>
      <c r="H8" s="73" t="s">
        <v>387</v>
      </c>
      <c r="I8" s="73" t="s">
        <v>502</v>
      </c>
      <c r="J8" s="73" t="s">
        <v>286</v>
      </c>
      <c r="K8" s="73" t="str">
        <f t="shared" si="1"/>
        <v>t-dis-bbicltap01-nic</v>
      </c>
      <c r="L8" s="81" t="s">
        <v>566</v>
      </c>
      <c r="M8" s="81"/>
    </row>
    <row r="9" spans="1:13" x14ac:dyDescent="0.3">
      <c r="A9" s="97"/>
      <c r="B9" s="82" t="s">
        <v>182</v>
      </c>
      <c r="C9" s="82" t="str" cm="1">
        <f t="array" ref="C9">UPPER(INDEX(_xlfn.TEXTSPLIT($E9, "-"), 2))</f>
        <v>DIS</v>
      </c>
      <c r="D9" s="82" t="s">
        <v>198</v>
      </c>
      <c r="E9" s="82" t="str">
        <f t="shared" si="0"/>
        <v>t-dis-bbimsgap01-nsg</v>
      </c>
      <c r="F9" s="82" t="s">
        <v>198</v>
      </c>
      <c r="G9" s="74" t="s">
        <v>476</v>
      </c>
      <c r="H9" s="74" t="s">
        <v>387</v>
      </c>
      <c r="I9" s="74" t="s">
        <v>503</v>
      </c>
      <c r="J9" s="74" t="s">
        <v>286</v>
      </c>
      <c r="K9" s="74" t="str">
        <f t="shared" si="1"/>
        <v>t-dis-bbimsgap01-nic</v>
      </c>
      <c r="L9" s="83" t="s">
        <v>566</v>
      </c>
      <c r="M9" s="83"/>
    </row>
    <row r="10" spans="1:13" x14ac:dyDescent="0.3">
      <c r="A10" s="97"/>
      <c r="B10" s="82" t="s">
        <v>182</v>
      </c>
      <c r="C10" s="82" t="str" cm="1">
        <f t="array" ref="C10">UPPER(INDEX(_xlfn.TEXTSPLIT($E10, "-"), 2))</f>
        <v>DIS</v>
      </c>
      <c r="D10" s="82" t="s">
        <v>198</v>
      </c>
      <c r="E10" s="82" t="str">
        <f t="shared" si="0"/>
        <v>t-dis-bat01-nsg</v>
      </c>
      <c r="F10" s="82" t="s">
        <v>198</v>
      </c>
      <c r="G10" s="74" t="s">
        <v>476</v>
      </c>
      <c r="H10" s="74" t="s">
        <v>387</v>
      </c>
      <c r="I10" s="74" t="s">
        <v>504</v>
      </c>
      <c r="J10" s="74" t="s">
        <v>286</v>
      </c>
      <c r="K10" s="74" t="str">
        <f t="shared" si="1"/>
        <v>t-dis-bat01-nic</v>
      </c>
      <c r="L10" s="83" t="s">
        <v>566</v>
      </c>
      <c r="M10" s="83"/>
    </row>
    <row r="11" spans="1:13" x14ac:dyDescent="0.3">
      <c r="A11" s="97"/>
      <c r="B11" s="80" t="s">
        <v>182</v>
      </c>
      <c r="C11" s="80" t="str" cm="1">
        <f t="array" ref="C11">UPPER(INDEX(_xlfn.TEXTSPLIT($E11, "-"), 2))</f>
        <v>DIS</v>
      </c>
      <c r="D11" s="80" t="s">
        <v>198</v>
      </c>
      <c r="E11" s="80" t="str">
        <f t="shared" si="0"/>
        <v>t-dis-drvcltap01-nsg</v>
      </c>
      <c r="F11" s="80" t="s">
        <v>198</v>
      </c>
      <c r="G11" s="73" t="s">
        <v>476</v>
      </c>
      <c r="H11" s="73" t="s">
        <v>387</v>
      </c>
      <c r="I11" s="73" t="s">
        <v>505</v>
      </c>
      <c r="J11" s="73" t="s">
        <v>286</v>
      </c>
      <c r="K11" s="73" t="str">
        <f t="shared" si="1"/>
        <v>t-dis-drvcltap01-nic</v>
      </c>
      <c r="L11" s="81" t="s">
        <v>566</v>
      </c>
      <c r="M11" s="81"/>
    </row>
    <row r="12" spans="1:13" x14ac:dyDescent="0.3">
      <c r="A12" s="97"/>
      <c r="B12" s="80" t="s">
        <v>182</v>
      </c>
      <c r="C12" s="80" t="str" cm="1">
        <f t="array" ref="C12">UPPER(INDEX(_xlfn.TEXTSPLIT($E12, "-"), 2))</f>
        <v>DIS</v>
      </c>
      <c r="D12" s="80" t="s">
        <v>198</v>
      </c>
      <c r="E12" s="80" t="str">
        <f t="shared" si="0"/>
        <v>t-dis-drvmsgap01-nsg</v>
      </c>
      <c r="F12" s="80" t="s">
        <v>198</v>
      </c>
      <c r="G12" s="73" t="s">
        <v>476</v>
      </c>
      <c r="H12" s="73" t="s">
        <v>387</v>
      </c>
      <c r="I12" s="73" t="s">
        <v>506</v>
      </c>
      <c r="J12" s="73" t="s">
        <v>286</v>
      </c>
      <c r="K12" s="73" t="str">
        <f t="shared" si="1"/>
        <v>t-dis-drvmsgap01-nic</v>
      </c>
      <c r="L12" s="81" t="s">
        <v>566</v>
      </c>
      <c r="M12" s="81"/>
    </row>
    <row r="13" spans="1:13" x14ac:dyDescent="0.3">
      <c r="A13" s="97"/>
      <c r="B13" s="82" t="s">
        <v>182</v>
      </c>
      <c r="C13" s="82" t="str" cm="1">
        <f t="array" ref="C13">UPPER(INDEX(_xlfn.TEXTSPLIT($E13, "-"), 2))</f>
        <v>DIS</v>
      </c>
      <c r="D13" s="82" t="s">
        <v>198</v>
      </c>
      <c r="E13" s="82" t="str">
        <f t="shared" si="0"/>
        <v>t-dis-web01-nsg</v>
      </c>
      <c r="F13" s="82" t="s">
        <v>198</v>
      </c>
      <c r="G13" s="74" t="s">
        <v>477</v>
      </c>
      <c r="H13" s="74" t="s">
        <v>390</v>
      </c>
      <c r="I13" s="74" t="s">
        <v>507</v>
      </c>
      <c r="J13" s="74" t="s">
        <v>286</v>
      </c>
      <c r="K13" s="74" t="str">
        <f t="shared" si="1"/>
        <v>t-dis-web01-nic</v>
      </c>
      <c r="L13" s="83" t="s">
        <v>566</v>
      </c>
      <c r="M13" s="83"/>
    </row>
    <row r="14" spans="1:13" x14ac:dyDescent="0.3">
      <c r="A14" s="97"/>
      <c r="B14" s="80" t="s">
        <v>182</v>
      </c>
      <c r="C14" s="80" t="str" cm="1">
        <f t="array" ref="C14">UPPER(INDEX(_xlfn.TEXTSPLIT($E14, "-"), 2))</f>
        <v>DIS</v>
      </c>
      <c r="D14" s="80" t="s">
        <v>198</v>
      </c>
      <c r="E14" s="80" t="str">
        <f t="shared" si="0"/>
        <v>t-dis-cmsadm01-nsg</v>
      </c>
      <c r="F14" s="80" t="s">
        <v>198</v>
      </c>
      <c r="G14" s="73" t="s">
        <v>476</v>
      </c>
      <c r="H14" s="73" t="s">
        <v>387</v>
      </c>
      <c r="I14" s="73" t="s">
        <v>508</v>
      </c>
      <c r="J14" s="73" t="s">
        <v>286</v>
      </c>
      <c r="K14" s="73" t="str">
        <f t="shared" si="1"/>
        <v>t-dis-cmsadm01-nic</v>
      </c>
      <c r="L14" s="81" t="s">
        <v>566</v>
      </c>
      <c r="M14" s="81"/>
    </row>
    <row r="15" spans="1:13" x14ac:dyDescent="0.3">
      <c r="A15" s="97"/>
      <c r="B15" s="82" t="s">
        <v>182</v>
      </c>
      <c r="C15" s="82" t="str" cm="1">
        <f t="array" ref="C15">UPPER(INDEX(_xlfn.TEXTSPLIT($E15, "-"), 2))</f>
        <v>DIS</v>
      </c>
      <c r="D15" s="82" t="s">
        <v>198</v>
      </c>
      <c r="E15" s="82" t="str">
        <f t="shared" si="0"/>
        <v>t-dis-cmsap01-nsg</v>
      </c>
      <c r="F15" s="82" t="s">
        <v>198</v>
      </c>
      <c r="G15" s="74" t="s">
        <v>476</v>
      </c>
      <c r="H15" s="74" t="s">
        <v>387</v>
      </c>
      <c r="I15" s="74" t="s">
        <v>509</v>
      </c>
      <c r="J15" s="74" t="s">
        <v>286</v>
      </c>
      <c r="K15" s="74" t="str">
        <f t="shared" si="1"/>
        <v>t-dis-cmsap01-nic</v>
      </c>
      <c r="L15" s="83" t="s">
        <v>566</v>
      </c>
      <c r="M15" s="83"/>
    </row>
    <row r="16" spans="1:13" x14ac:dyDescent="0.3">
      <c r="A16" s="97"/>
      <c r="B16" s="80" t="s">
        <v>182</v>
      </c>
      <c r="C16" s="80" t="str" cm="1">
        <f t="array" ref="C16">UPPER(INDEX(_xlfn.TEXTSPLIT($E16, "-"), 2))</f>
        <v>DIS</v>
      </c>
      <c r="D16" s="80" t="s">
        <v>198</v>
      </c>
      <c r="E16" s="80" t="str">
        <f t="shared" si="0"/>
        <v>t-dis-cmsweb01-nsg</v>
      </c>
      <c r="F16" s="80" t="s">
        <v>198</v>
      </c>
      <c r="G16" s="73" t="s">
        <v>477</v>
      </c>
      <c r="H16" s="73" t="s">
        <v>390</v>
      </c>
      <c r="I16" s="73" t="s">
        <v>510</v>
      </c>
      <c r="J16" s="73" t="s">
        <v>286</v>
      </c>
      <c r="K16" s="73" t="str">
        <f t="shared" si="1"/>
        <v>t-dis-cmsweb01-nic</v>
      </c>
      <c r="L16" s="81" t="s">
        <v>566</v>
      </c>
      <c r="M16" s="81"/>
    </row>
    <row r="17" spans="1:13" x14ac:dyDescent="0.3">
      <c r="A17" s="97"/>
      <c r="B17" s="82" t="s">
        <v>182</v>
      </c>
      <c r="C17" s="82" t="str" cm="1">
        <f t="array" ref="C17">UPPER(INDEX(_xlfn.TEXTSPLIT($E17, "-"), 2))</f>
        <v>DIS</v>
      </c>
      <c r="D17" s="82" t="s">
        <v>198</v>
      </c>
      <c r="E17" s="82" t="str">
        <f t="shared" si="0"/>
        <v>t-dis-cmbsap01-nsg</v>
      </c>
      <c r="F17" s="82" t="s">
        <v>198</v>
      </c>
      <c r="G17" s="74" t="s">
        <v>476</v>
      </c>
      <c r="H17" s="74" t="s">
        <v>387</v>
      </c>
      <c r="I17" s="74" t="s">
        <v>511</v>
      </c>
      <c r="J17" s="74" t="s">
        <v>286</v>
      </c>
      <c r="K17" s="74" t="str">
        <f t="shared" si="1"/>
        <v>t-dis-cmbsap01-nic</v>
      </c>
      <c r="L17" s="83" t="s">
        <v>566</v>
      </c>
      <c r="M17" s="83"/>
    </row>
    <row r="18" spans="1:13" x14ac:dyDescent="0.3">
      <c r="A18" s="97"/>
      <c r="B18" s="80" t="s">
        <v>182</v>
      </c>
      <c r="C18" s="80" t="str" cm="1">
        <f t="array" ref="C18">UPPER(INDEX(_xlfn.TEXTSPLIT($E18, "-"), 2))</f>
        <v>DIS</v>
      </c>
      <c r="D18" s="80" t="s">
        <v>198</v>
      </c>
      <c r="E18" s="80" t="str">
        <f t="shared" si="0"/>
        <v>t-dis-dfir01-nsg</v>
      </c>
      <c r="F18" s="80" t="s">
        <v>198</v>
      </c>
      <c r="G18" s="73" t="s">
        <v>476</v>
      </c>
      <c r="H18" s="73" t="s">
        <v>387</v>
      </c>
      <c r="I18" s="73" t="s">
        <v>512</v>
      </c>
      <c r="J18" s="73" t="s">
        <v>286</v>
      </c>
      <c r="K18" s="73" t="str">
        <f t="shared" si="1"/>
        <v>t-dis-dfir01-nic</v>
      </c>
      <c r="L18" s="81" t="s">
        <v>566</v>
      </c>
      <c r="M18" s="81"/>
    </row>
    <row r="19" spans="1:13" x14ac:dyDescent="0.3">
      <c r="A19" s="97"/>
      <c r="B19" s="82" t="s">
        <v>182</v>
      </c>
      <c r="C19" s="82" t="str" cm="1">
        <f t="array" ref="C19">UPPER(INDEX(_xlfn.TEXTSPLIT($E19, "-"), 2))</f>
        <v>DTG</v>
      </c>
      <c r="D19" s="82" t="s">
        <v>198</v>
      </c>
      <c r="E19" s="82" t="str">
        <f t="shared" si="0"/>
        <v>t-dtg-ingap01-nsg</v>
      </c>
      <c r="F19" s="82" t="s">
        <v>198</v>
      </c>
      <c r="G19" s="74" t="s">
        <v>476</v>
      </c>
      <c r="H19" s="74" t="s">
        <v>398</v>
      </c>
      <c r="I19" s="74" t="s">
        <v>513</v>
      </c>
      <c r="J19" s="74" t="s">
        <v>383</v>
      </c>
      <c r="K19" s="74" t="str">
        <f t="shared" si="1"/>
        <v>t-dtg-ingap01-nic</v>
      </c>
      <c r="L19" s="83" t="s">
        <v>566</v>
      </c>
      <c r="M19" s="83"/>
    </row>
    <row r="20" spans="1:13" x14ac:dyDescent="0.3">
      <c r="A20" s="97"/>
      <c r="B20" s="80" t="s">
        <v>182</v>
      </c>
      <c r="C20" s="80" t="str" cm="1">
        <f t="array" ref="C20">UPPER(INDEX(_xlfn.TEXTSPLIT($E20, "-"), 2))</f>
        <v>DTG</v>
      </c>
      <c r="D20" s="80" t="s">
        <v>198</v>
      </c>
      <c r="E20" s="80" t="str">
        <f t="shared" si="0"/>
        <v>t-dtg-ap01-nsg</v>
      </c>
      <c r="F20" s="80" t="s">
        <v>198</v>
      </c>
      <c r="G20" s="73" t="s">
        <v>476</v>
      </c>
      <c r="H20" s="73" t="s">
        <v>398</v>
      </c>
      <c r="I20" s="73" t="s">
        <v>514</v>
      </c>
      <c r="J20" s="73" t="s">
        <v>383</v>
      </c>
      <c r="K20" s="73" t="str">
        <f t="shared" si="1"/>
        <v>t-dtg-ap01-nic</v>
      </c>
      <c r="L20" s="81" t="s">
        <v>566</v>
      </c>
      <c r="M20" s="81"/>
    </row>
    <row r="21" spans="1:13" x14ac:dyDescent="0.3">
      <c r="A21" s="97"/>
      <c r="B21" s="82" t="s">
        <v>182</v>
      </c>
      <c r="C21" s="82" t="str" cm="1">
        <f t="array" ref="C21">UPPER(INDEX(_xlfn.TEXTSPLIT($E21, "-"), 2))</f>
        <v>DTG</v>
      </c>
      <c r="D21" s="82" t="s">
        <v>198</v>
      </c>
      <c r="E21" s="82" t="str">
        <f t="shared" si="0"/>
        <v>t-dtg-extgeoap01-nsg</v>
      </c>
      <c r="F21" s="82" t="s">
        <v>198</v>
      </c>
      <c r="G21" s="74" t="s">
        <v>476</v>
      </c>
      <c r="H21" s="74" t="s">
        <v>398</v>
      </c>
      <c r="I21" s="74" t="s">
        <v>515</v>
      </c>
      <c r="J21" s="74" t="s">
        <v>383</v>
      </c>
      <c r="K21" s="74" t="str">
        <f t="shared" si="1"/>
        <v>t-dtg-extgeoap01-nic</v>
      </c>
      <c r="L21" s="83" t="s">
        <v>566</v>
      </c>
      <c r="M21" s="83"/>
    </row>
    <row r="22" spans="1:13" x14ac:dyDescent="0.3">
      <c r="A22" s="97"/>
      <c r="B22" s="80" t="s">
        <v>182</v>
      </c>
      <c r="C22" s="80" t="str" cm="1">
        <f t="array" ref="C22">UPPER(INDEX(_xlfn.TEXTSPLIT($E22, "-"), 2))</f>
        <v>DTG</v>
      </c>
      <c r="D22" s="80" t="s">
        <v>198</v>
      </c>
      <c r="E22" s="80" t="str">
        <f t="shared" si="0"/>
        <v>t-dtg-geoap01-nsg</v>
      </c>
      <c r="F22" s="80" t="s">
        <v>198</v>
      </c>
      <c r="G22" s="73" t="s">
        <v>476</v>
      </c>
      <c r="H22" s="73" t="s">
        <v>398</v>
      </c>
      <c r="I22" s="73" t="s">
        <v>516</v>
      </c>
      <c r="J22" s="73" t="s">
        <v>383</v>
      </c>
      <c r="K22" s="73" t="str">
        <f t="shared" si="1"/>
        <v>t-dtg-geoap01-nic</v>
      </c>
      <c r="L22" s="81" t="s">
        <v>566</v>
      </c>
      <c r="M22" s="81"/>
    </row>
    <row r="23" spans="1:13" x14ac:dyDescent="0.3">
      <c r="A23" s="97"/>
      <c r="B23" s="82" t="s">
        <v>182</v>
      </c>
      <c r="C23" s="82" t="str" cm="1">
        <f t="array" ref="C23">UPPER(INDEX(_xlfn.TEXTSPLIT($E23, "-"), 2))</f>
        <v>DTG</v>
      </c>
      <c r="D23" s="82" t="s">
        <v>198</v>
      </c>
      <c r="E23" s="82" t="str">
        <f t="shared" si="0"/>
        <v>t-dtg-mq01-nsg</v>
      </c>
      <c r="F23" s="82" t="s">
        <v>198</v>
      </c>
      <c r="G23" s="74" t="s">
        <v>477</v>
      </c>
      <c r="H23" s="74" t="s">
        <v>403</v>
      </c>
      <c r="I23" s="74" t="s">
        <v>517</v>
      </c>
      <c r="J23" s="74" t="s">
        <v>383</v>
      </c>
      <c r="K23" s="74" t="str">
        <f t="shared" si="1"/>
        <v>t-dtg-mq01-nic</v>
      </c>
      <c r="L23" s="83" t="s">
        <v>566</v>
      </c>
      <c r="M23" s="83"/>
    </row>
    <row r="24" spans="1:13" x14ac:dyDescent="0.3">
      <c r="A24" s="97"/>
      <c r="B24" s="80" t="s">
        <v>182</v>
      </c>
      <c r="C24" s="80" t="str" cm="1">
        <f t="array" ref="C24">UPPER(INDEX(_xlfn.TEXTSPLIT($E24, "-"), 2))</f>
        <v>DTG</v>
      </c>
      <c r="D24" s="80" t="s">
        <v>198</v>
      </c>
      <c r="E24" s="80" t="str">
        <f t="shared" si="0"/>
        <v>t-dtg-admweb01-nsg</v>
      </c>
      <c r="F24" s="80" t="s">
        <v>198</v>
      </c>
      <c r="G24" s="73" t="s">
        <v>476</v>
      </c>
      <c r="H24" s="73" t="s">
        <v>398</v>
      </c>
      <c r="I24" s="73" t="s">
        <v>518</v>
      </c>
      <c r="J24" s="73" t="s">
        <v>383</v>
      </c>
      <c r="K24" s="73" t="str">
        <f t="shared" si="1"/>
        <v>t-dtg-admweb01-nic</v>
      </c>
      <c r="L24" s="81" t="s">
        <v>566</v>
      </c>
      <c r="M24" s="81"/>
    </row>
    <row r="25" spans="1:13" x14ac:dyDescent="0.3">
      <c r="A25" s="97"/>
      <c r="B25" s="82" t="s">
        <v>182</v>
      </c>
      <c r="C25" s="82" t="str" cm="1">
        <f t="array" ref="C25">UPPER(INDEX(_xlfn.TEXTSPLIT($E25, "-"), 2))</f>
        <v>DTG</v>
      </c>
      <c r="D25" s="82" t="s">
        <v>198</v>
      </c>
      <c r="E25" s="82" t="str">
        <f t="shared" si="0"/>
        <v>t-dtg-admap01-nsg</v>
      </c>
      <c r="F25" s="82" t="s">
        <v>198</v>
      </c>
      <c r="G25" s="74" t="s">
        <v>476</v>
      </c>
      <c r="H25" s="74" t="s">
        <v>398</v>
      </c>
      <c r="I25" s="74" t="s">
        <v>519</v>
      </c>
      <c r="J25" s="74" t="s">
        <v>383</v>
      </c>
      <c r="K25" s="74" t="str">
        <f t="shared" si="1"/>
        <v>t-dtg-admap01-nic</v>
      </c>
      <c r="L25" s="83" t="s">
        <v>566</v>
      </c>
      <c r="M25" s="83"/>
    </row>
    <row r="26" spans="1:13" x14ac:dyDescent="0.3">
      <c r="A26" s="97"/>
      <c r="B26" s="80" t="s">
        <v>182</v>
      </c>
      <c r="C26" s="80" t="str" cm="1">
        <f t="array" ref="C26">UPPER(INDEX(_xlfn.TEXTSPLIT($E26, "-"), 2))</f>
        <v>DTG</v>
      </c>
      <c r="D26" s="80" t="s">
        <v>198</v>
      </c>
      <c r="E26" s="80" t="str">
        <f t="shared" si="0"/>
        <v>t-dtg-dtoms01-nsg</v>
      </c>
      <c r="F26" s="80" t="s">
        <v>198</v>
      </c>
      <c r="G26" s="73" t="s">
        <v>476</v>
      </c>
      <c r="H26" s="73" t="s">
        <v>398</v>
      </c>
      <c r="I26" s="73" t="s">
        <v>520</v>
      </c>
      <c r="J26" s="73" t="s">
        <v>383</v>
      </c>
      <c r="K26" s="73" t="str">
        <f t="shared" si="1"/>
        <v>t-dtg-dtoms01-nic</v>
      </c>
      <c r="L26" s="81" t="s">
        <v>566</v>
      </c>
      <c r="M26" s="81"/>
    </row>
    <row r="27" spans="1:13" x14ac:dyDescent="0.3">
      <c r="A27" s="97"/>
      <c r="B27" s="82" t="s">
        <v>182</v>
      </c>
      <c r="C27" s="82" t="str" cm="1">
        <f t="array" ref="C27">UPPER(INDEX(_xlfn.TEXTSPLIT($E27, "-"), 2))</f>
        <v>DTG</v>
      </c>
      <c r="D27" s="82" t="s">
        <v>198</v>
      </c>
      <c r="E27" s="82" t="str">
        <f t="shared" si="0"/>
        <v>t-dtg-tsdb01-nsg</v>
      </c>
      <c r="F27" s="82" t="s">
        <v>198</v>
      </c>
      <c r="G27" s="74" t="s">
        <v>476</v>
      </c>
      <c r="H27" s="74" t="s">
        <v>483</v>
      </c>
      <c r="I27" s="74" t="s">
        <v>521</v>
      </c>
      <c r="J27" s="74" t="s">
        <v>383</v>
      </c>
      <c r="K27" s="74" t="str">
        <f t="shared" si="1"/>
        <v>t-dtg-tsdb01-nic</v>
      </c>
      <c r="L27" s="83" t="s">
        <v>566</v>
      </c>
      <c r="M27" s="83"/>
    </row>
    <row r="28" spans="1:13" x14ac:dyDescent="0.3">
      <c r="A28" s="97"/>
      <c r="B28" s="80" t="s">
        <v>182</v>
      </c>
      <c r="C28" s="80" t="str" cm="1">
        <f t="array" ref="C28">UPPER(INDEX(_xlfn.TEXTSPLIT($E28, "-"), 2))</f>
        <v>DTG</v>
      </c>
      <c r="D28" s="80" t="s">
        <v>198</v>
      </c>
      <c r="E28" s="80" t="str">
        <f t="shared" si="0"/>
        <v>t-dtg-web01-nsg</v>
      </c>
      <c r="F28" s="80" t="s">
        <v>198</v>
      </c>
      <c r="G28" s="73" t="s">
        <v>477</v>
      </c>
      <c r="H28" s="73" t="s">
        <v>403</v>
      </c>
      <c r="I28" s="73" t="s">
        <v>522</v>
      </c>
      <c r="J28" s="73" t="s">
        <v>383</v>
      </c>
      <c r="K28" s="73" t="str">
        <f t="shared" si="1"/>
        <v>t-dtg-web01-nic</v>
      </c>
      <c r="L28" s="81" t="s">
        <v>566</v>
      </c>
      <c r="M28" s="81"/>
    </row>
    <row r="29" spans="1:13" x14ac:dyDescent="0.3">
      <c r="A29" s="97"/>
      <c r="B29" s="82" t="s">
        <v>182</v>
      </c>
      <c r="C29" s="82" t="str" cm="1">
        <f t="array" ref="C29">UPPER(INDEX(_xlfn.TEXTSPLIT($E29, "-"), 2))</f>
        <v>DTG</v>
      </c>
      <c r="D29" s="82" t="s">
        <v>198</v>
      </c>
      <c r="E29" s="82" t="str">
        <f t="shared" si="0"/>
        <v>t-dtg-zkp01-nsg</v>
      </c>
      <c r="F29" s="82" t="s">
        <v>198</v>
      </c>
      <c r="G29" s="74" t="s">
        <v>476</v>
      </c>
      <c r="H29" s="74" t="s">
        <v>398</v>
      </c>
      <c r="I29" s="74" t="s">
        <v>523</v>
      </c>
      <c r="J29" s="74" t="s">
        <v>383</v>
      </c>
      <c r="K29" s="74" t="str">
        <f t="shared" si="1"/>
        <v>t-dtg-zkp01-nic</v>
      </c>
      <c r="L29" s="83" t="s">
        <v>566</v>
      </c>
      <c r="M29" s="83"/>
    </row>
    <row r="30" spans="1:13" x14ac:dyDescent="0.3">
      <c r="A30" s="97"/>
      <c r="B30" s="80" t="s">
        <v>182</v>
      </c>
      <c r="C30" s="80" t="str" cm="1">
        <f t="array" ref="C30">UPPER(INDEX(_xlfn.TEXTSPLIT($E30, "-"), 2))</f>
        <v>DTG</v>
      </c>
      <c r="D30" s="80" t="s">
        <v>198</v>
      </c>
      <c r="E30" s="80" t="str">
        <f t="shared" si="0"/>
        <v>t-dtg-zkp02-nsg</v>
      </c>
      <c r="F30" s="80" t="s">
        <v>198</v>
      </c>
      <c r="G30" s="73" t="s">
        <v>476</v>
      </c>
      <c r="H30" s="73" t="s">
        <v>398</v>
      </c>
      <c r="I30" s="73" t="s">
        <v>524</v>
      </c>
      <c r="J30" s="73" t="s">
        <v>383</v>
      </c>
      <c r="K30" s="73" t="str">
        <f t="shared" si="1"/>
        <v>t-dtg-zkp02-nic</v>
      </c>
      <c r="L30" s="81" t="s">
        <v>566</v>
      </c>
      <c r="M30" s="81"/>
    </row>
    <row r="31" spans="1:13" x14ac:dyDescent="0.3">
      <c r="A31" s="97"/>
      <c r="B31" s="82" t="s">
        <v>182</v>
      </c>
      <c r="C31" s="82" t="str" cm="1">
        <f t="array" ref="C31">UPPER(INDEX(_xlfn.TEXTSPLIT($E31, "-"), 2))</f>
        <v>DTG</v>
      </c>
      <c r="D31" s="82" t="s">
        <v>198</v>
      </c>
      <c r="E31" s="82" t="str">
        <f t="shared" si="0"/>
        <v>t-dtg-zkp03-nsg</v>
      </c>
      <c r="F31" s="82" t="s">
        <v>198</v>
      </c>
      <c r="G31" s="74" t="s">
        <v>476</v>
      </c>
      <c r="H31" s="74" t="s">
        <v>398</v>
      </c>
      <c r="I31" s="74" t="s">
        <v>525</v>
      </c>
      <c r="J31" s="74" t="s">
        <v>383</v>
      </c>
      <c r="K31" s="74" t="str">
        <f t="shared" si="1"/>
        <v>t-dtg-zkp03-nic</v>
      </c>
      <c r="L31" s="83" t="s">
        <v>566</v>
      </c>
      <c r="M31" s="83"/>
    </row>
    <row r="32" spans="1:13" x14ac:dyDescent="0.3">
      <c r="A32" s="97"/>
      <c r="B32" s="80" t="s">
        <v>182</v>
      </c>
      <c r="C32" s="80" t="str" cm="1">
        <f t="array" ref="C32">UPPER(INDEX(_xlfn.TEXTSPLIT($E32, "-"), 2))</f>
        <v>DTG</v>
      </c>
      <c r="D32" s="80" t="s">
        <v>198</v>
      </c>
      <c r="E32" s="80" t="str">
        <f t="shared" si="0"/>
        <v>t-dtg-kfk01-nsg</v>
      </c>
      <c r="F32" s="80" t="s">
        <v>198</v>
      </c>
      <c r="G32" s="73" t="s">
        <v>476</v>
      </c>
      <c r="H32" s="73" t="s">
        <v>398</v>
      </c>
      <c r="I32" s="73" t="s">
        <v>526</v>
      </c>
      <c r="J32" s="73" t="s">
        <v>383</v>
      </c>
      <c r="K32" s="73" t="str">
        <f t="shared" si="1"/>
        <v>t-dtg-kfk01-nic</v>
      </c>
      <c r="L32" s="81" t="s">
        <v>566</v>
      </c>
      <c r="M32" s="81"/>
    </row>
    <row r="33" spans="1:13" x14ac:dyDescent="0.3">
      <c r="A33" s="97"/>
      <c r="B33" s="82" t="s">
        <v>182</v>
      </c>
      <c r="C33" s="82" t="str" cm="1">
        <f t="array" ref="C33">UPPER(INDEX(_xlfn.TEXTSPLIT($E33, "-"), 2))</f>
        <v>DTG</v>
      </c>
      <c r="D33" s="82" t="s">
        <v>198</v>
      </c>
      <c r="E33" s="82" t="str">
        <f t="shared" si="0"/>
        <v>t-dtg-kfk02-nsg</v>
      </c>
      <c r="F33" s="82" t="s">
        <v>198</v>
      </c>
      <c r="G33" s="74" t="s">
        <v>476</v>
      </c>
      <c r="H33" s="74" t="s">
        <v>398</v>
      </c>
      <c r="I33" s="74" t="s">
        <v>527</v>
      </c>
      <c r="J33" s="74" t="s">
        <v>383</v>
      </c>
      <c r="K33" s="74" t="str">
        <f t="shared" si="1"/>
        <v>t-dtg-kfk02-nic</v>
      </c>
      <c r="L33" s="83" t="s">
        <v>566</v>
      </c>
      <c r="M33" s="83"/>
    </row>
    <row r="34" spans="1:13" x14ac:dyDescent="0.3">
      <c r="A34" s="97"/>
      <c r="B34" s="80" t="s">
        <v>182</v>
      </c>
      <c r="C34" s="80" t="str" cm="1">
        <f t="array" ref="C34">UPPER(INDEX(_xlfn.TEXTSPLIT($E34, "-"), 2))</f>
        <v>DTG</v>
      </c>
      <c r="D34" s="80" t="s">
        <v>198</v>
      </c>
      <c r="E34" s="80" t="str">
        <f t="shared" si="0"/>
        <v>t-dtg-kfk03-nsg</v>
      </c>
      <c r="F34" s="80" t="s">
        <v>198</v>
      </c>
      <c r="G34" s="73" t="s">
        <v>476</v>
      </c>
      <c r="H34" s="73" t="s">
        <v>398</v>
      </c>
      <c r="I34" s="73" t="s">
        <v>528</v>
      </c>
      <c r="J34" s="73" t="s">
        <v>383</v>
      </c>
      <c r="K34" s="73" t="str">
        <f t="shared" si="1"/>
        <v>t-dtg-kfk03-nic</v>
      </c>
      <c r="L34" s="81" t="s">
        <v>566</v>
      </c>
      <c r="M34" s="81"/>
    </row>
    <row r="35" spans="1:13" x14ac:dyDescent="0.3">
      <c r="A35" s="97"/>
      <c r="B35" s="82" t="s">
        <v>182</v>
      </c>
      <c r="C35" s="82" t="str" cm="1">
        <f t="array" ref="C35">UPPER(INDEX(_xlfn.TEXTSPLIT($E35, "-"), 2))</f>
        <v>DTG</v>
      </c>
      <c r="D35" s="82" t="s">
        <v>198</v>
      </c>
      <c r="E35" s="82" t="str">
        <f t="shared" si="0"/>
        <v>t-dtg-mdoms01-nsg</v>
      </c>
      <c r="F35" s="82" t="s">
        <v>198</v>
      </c>
      <c r="G35" s="74" t="s">
        <v>476</v>
      </c>
      <c r="H35" s="74" t="s">
        <v>398</v>
      </c>
      <c r="I35" s="74" t="s">
        <v>529</v>
      </c>
      <c r="J35" s="74" t="s">
        <v>383</v>
      </c>
      <c r="K35" s="74" t="str">
        <f t="shared" si="1"/>
        <v>t-dtg-mdoms01-nic</v>
      </c>
      <c r="L35" s="83" t="s">
        <v>566</v>
      </c>
      <c r="M35" s="83"/>
    </row>
    <row r="36" spans="1:13" x14ac:dyDescent="0.3">
      <c r="A36" s="97"/>
      <c r="B36" s="80" t="s">
        <v>182</v>
      </c>
      <c r="C36" s="80" t="str" cm="1">
        <f t="array" ref="C36">UPPER(INDEX(_xlfn.TEXTSPLIT($E36, "-"), 2))</f>
        <v>DTG</v>
      </c>
      <c r="D36" s="80" t="s">
        <v>198</v>
      </c>
      <c r="E36" s="80" t="str">
        <f t="shared" si="0"/>
        <v>t-dtg-cdmlap01-nsg</v>
      </c>
      <c r="F36" s="80" t="s">
        <v>198</v>
      </c>
      <c r="G36" s="73" t="s">
        <v>476</v>
      </c>
      <c r="H36" s="73" t="s">
        <v>398</v>
      </c>
      <c r="I36" s="73" t="s">
        <v>530</v>
      </c>
      <c r="J36" s="73" t="s">
        <v>383</v>
      </c>
      <c r="K36" s="73" t="str">
        <f t="shared" si="1"/>
        <v>t-dtg-cdmlap01-nic</v>
      </c>
      <c r="L36" s="81" t="s">
        <v>566</v>
      </c>
      <c r="M36" s="81"/>
    </row>
    <row r="37" spans="1:13" x14ac:dyDescent="0.3">
      <c r="A37" s="97"/>
      <c r="B37" s="82" t="s">
        <v>182</v>
      </c>
      <c r="C37" s="82" t="str" cm="1">
        <f t="array" ref="C37">UPPER(INDEX(_xlfn.TEXTSPLIT($E37, "-"), 2))</f>
        <v>DTG</v>
      </c>
      <c r="D37" s="82" t="s">
        <v>198</v>
      </c>
      <c r="E37" s="82" t="str">
        <f t="shared" si="0"/>
        <v>t-dtg-cdstap01-nsg</v>
      </c>
      <c r="F37" s="82" t="s">
        <v>198</v>
      </c>
      <c r="G37" s="74" t="s">
        <v>476</v>
      </c>
      <c r="H37" s="74" t="s">
        <v>398</v>
      </c>
      <c r="I37" s="74" t="s">
        <v>531</v>
      </c>
      <c r="J37" s="74" t="s">
        <v>383</v>
      </c>
      <c r="K37" s="74" t="str">
        <f t="shared" si="1"/>
        <v>t-dtg-cdstap01-nic</v>
      </c>
      <c r="L37" s="83" t="s">
        <v>566</v>
      </c>
      <c r="M37" s="83"/>
    </row>
    <row r="38" spans="1:13" x14ac:dyDescent="0.3">
      <c r="A38" s="97"/>
      <c r="B38" s="80" t="s">
        <v>182</v>
      </c>
      <c r="C38" s="80" t="str" cm="1">
        <f t="array" ref="C38">UPPER(INDEX(_xlfn.TEXTSPLIT($E38, "-"), 2))</f>
        <v>DTG</v>
      </c>
      <c r="D38" s="80" t="s">
        <v>198</v>
      </c>
      <c r="E38" s="80" t="str">
        <f t="shared" si="0"/>
        <v>t-dtg-cdsvadm01-nsg</v>
      </c>
      <c r="F38" s="80" t="s">
        <v>198</v>
      </c>
      <c r="G38" s="73" t="s">
        <v>476</v>
      </c>
      <c r="H38" s="73" t="s">
        <v>398</v>
      </c>
      <c r="I38" s="73" t="s">
        <v>532</v>
      </c>
      <c r="J38" s="73" t="s">
        <v>383</v>
      </c>
      <c r="K38" s="73" t="str">
        <f t="shared" si="1"/>
        <v>t-dtg-cdsvadm01-nic</v>
      </c>
      <c r="L38" s="81" t="s">
        <v>566</v>
      </c>
      <c r="M38" s="81"/>
    </row>
    <row r="39" spans="1:13" x14ac:dyDescent="0.3">
      <c r="A39" s="97"/>
      <c r="B39" s="82" t="s">
        <v>182</v>
      </c>
      <c r="C39" s="82" t="str" cm="1">
        <f t="array" ref="C39">UPPER(INDEX(_xlfn.TEXTSPLIT($E39, "-"), 2))</f>
        <v>DTG</v>
      </c>
      <c r="D39" s="82" t="s">
        <v>198</v>
      </c>
      <c r="E39" s="82" t="str">
        <f t="shared" si="0"/>
        <v>t-dtg-diosap01-nsg</v>
      </c>
      <c r="F39" s="82" t="s">
        <v>198</v>
      </c>
      <c r="G39" s="74" t="s">
        <v>476</v>
      </c>
      <c r="H39" s="74" t="s">
        <v>398</v>
      </c>
      <c r="I39" s="74" t="s">
        <v>533</v>
      </c>
      <c r="J39" s="74" t="s">
        <v>383</v>
      </c>
      <c r="K39" s="74" t="str">
        <f t="shared" si="1"/>
        <v>t-dtg-diosap01-nic</v>
      </c>
      <c r="L39" s="83" t="s">
        <v>566</v>
      </c>
      <c r="M39" s="83"/>
    </row>
    <row r="40" spans="1:13" x14ac:dyDescent="0.3">
      <c r="A40" s="97"/>
      <c r="B40" s="80" t="s">
        <v>182</v>
      </c>
      <c r="C40" s="80" t="str" cm="1">
        <f t="array" ref="C40">UPPER(INDEX(_xlfn.TEXTSPLIT($E40, "-"), 2))</f>
        <v>DTG</v>
      </c>
      <c r="D40" s="80" t="s">
        <v>198</v>
      </c>
      <c r="E40" s="80" t="str">
        <f t="shared" si="0"/>
        <v>t-dtg-diosweb01-nsg</v>
      </c>
      <c r="F40" s="80" t="s">
        <v>198</v>
      </c>
      <c r="G40" s="73" t="s">
        <v>476</v>
      </c>
      <c r="H40" s="73" t="s">
        <v>398</v>
      </c>
      <c r="I40" s="73" t="s">
        <v>534</v>
      </c>
      <c r="J40" s="73" t="s">
        <v>383</v>
      </c>
      <c r="K40" s="73" t="str">
        <f t="shared" si="1"/>
        <v>t-dtg-diosweb01-nic</v>
      </c>
      <c r="L40" s="81" t="s">
        <v>566</v>
      </c>
      <c r="M40" s="81"/>
    </row>
    <row r="41" spans="1:13" x14ac:dyDescent="0.3">
      <c r="A41" s="97"/>
      <c r="B41" s="82" t="s">
        <v>182</v>
      </c>
      <c r="C41" s="82" t="str" cm="1">
        <f t="array" ref="C41">UPPER(INDEX(_xlfn.TEXTSPLIT($E41, "-"), 2))</f>
        <v>DTG</v>
      </c>
      <c r="D41" s="82" t="s">
        <v>198</v>
      </c>
      <c r="E41" s="82" t="str">
        <f t="shared" si="0"/>
        <v>t-dtg-dprweb01-nsg</v>
      </c>
      <c r="F41" s="82" t="s">
        <v>198</v>
      </c>
      <c r="G41" s="74" t="s">
        <v>477</v>
      </c>
      <c r="H41" s="74" t="s">
        <v>403</v>
      </c>
      <c r="I41" s="74" t="s">
        <v>535</v>
      </c>
      <c r="J41" s="74" t="s">
        <v>383</v>
      </c>
      <c r="K41" s="74" t="str">
        <f t="shared" si="1"/>
        <v>t-dtg-dprweb01-nic</v>
      </c>
      <c r="L41" s="83" t="s">
        <v>566</v>
      </c>
      <c r="M41" s="83"/>
    </row>
    <row r="42" spans="1:13" x14ac:dyDescent="0.3">
      <c r="A42" s="97"/>
      <c r="B42" s="80" t="s">
        <v>182</v>
      </c>
      <c r="C42" s="80" t="str" cm="1">
        <f t="array" ref="C42">UPPER(INDEX(_xlfn.TEXTSPLIT($E42, "-"), 2))</f>
        <v>DTG</v>
      </c>
      <c r="D42" s="80" t="s">
        <v>198</v>
      </c>
      <c r="E42" s="80" t="str">
        <f t="shared" si="0"/>
        <v>t-dtg-dprap01-nsg</v>
      </c>
      <c r="F42" s="80" t="s">
        <v>198</v>
      </c>
      <c r="G42" s="73" t="s">
        <v>476</v>
      </c>
      <c r="H42" s="73" t="s">
        <v>398</v>
      </c>
      <c r="I42" s="73" t="s">
        <v>536</v>
      </c>
      <c r="J42" s="73" t="s">
        <v>383</v>
      </c>
      <c r="K42" s="73" t="str">
        <f t="shared" si="1"/>
        <v>t-dtg-dprap01-nic</v>
      </c>
      <c r="L42" s="81" t="s">
        <v>566</v>
      </c>
      <c r="M42" s="81"/>
    </row>
    <row r="43" spans="1:13" x14ac:dyDescent="0.3">
      <c r="A43" s="97"/>
      <c r="B43" s="82" t="s">
        <v>182</v>
      </c>
      <c r="C43" s="82" t="str" cm="1">
        <f t="array" ref="C43">UPPER(INDEX(_xlfn.TEXTSPLIT($E43, "-"), 2))</f>
        <v>BDP</v>
      </c>
      <c r="D43" s="82" t="s">
        <v>198</v>
      </c>
      <c r="E43" s="82" t="str">
        <f t="shared" si="0"/>
        <v>t-bdp-airfw01-nsg</v>
      </c>
      <c r="F43" s="82" t="s">
        <v>198</v>
      </c>
      <c r="G43" s="74" t="s">
        <v>476</v>
      </c>
      <c r="H43" s="74" t="s">
        <v>415</v>
      </c>
      <c r="I43" s="74" t="s">
        <v>537</v>
      </c>
      <c r="J43" s="74" t="s">
        <v>384</v>
      </c>
      <c r="K43" s="74" t="str">
        <f t="shared" si="1"/>
        <v>t-bdp-airfw01-nic</v>
      </c>
      <c r="L43" s="83" t="s">
        <v>566</v>
      </c>
      <c r="M43" s="83"/>
    </row>
    <row r="44" spans="1:13" x14ac:dyDescent="0.3">
      <c r="A44" s="97"/>
      <c r="B44" s="80" t="s">
        <v>182</v>
      </c>
      <c r="C44" s="80" t="str" cm="1">
        <f t="array" ref="C44">UPPER(INDEX(_xlfn.TEXTSPLIT($E44, "-"), 2))</f>
        <v>BDP</v>
      </c>
      <c r="D44" s="80" t="s">
        <v>198</v>
      </c>
      <c r="E44" s="80" t="str">
        <f t="shared" si="0"/>
        <v>t-bdp-kepler01-nsg</v>
      </c>
      <c r="F44" s="80" t="s">
        <v>198</v>
      </c>
      <c r="G44" s="73" t="s">
        <v>476</v>
      </c>
      <c r="H44" s="73" t="s">
        <v>415</v>
      </c>
      <c r="I44" s="73" t="s">
        <v>538</v>
      </c>
      <c r="J44" s="73" t="s">
        <v>384</v>
      </c>
      <c r="K44" s="73" t="str">
        <f t="shared" si="1"/>
        <v>t-bdp-kepler01-nic</v>
      </c>
      <c r="L44" s="81" t="s">
        <v>566</v>
      </c>
      <c r="M44" s="81"/>
    </row>
    <row r="45" spans="1:13" x14ac:dyDescent="0.3">
      <c r="A45" s="97"/>
      <c r="B45" s="82" t="s">
        <v>182</v>
      </c>
      <c r="C45" s="82" t="str" cm="1">
        <f t="array" ref="C45">UPPER(INDEX(_xlfn.TEXTSPLIT($E45, "-"), 2))</f>
        <v>BDP</v>
      </c>
      <c r="D45" s="82" t="s">
        <v>198</v>
      </c>
      <c r="E45" s="82" t="str">
        <f t="shared" si="0"/>
        <v>t-bdp-cxmadm01-nsg</v>
      </c>
      <c r="F45" s="82" t="s">
        <v>198</v>
      </c>
      <c r="G45" s="74" t="s">
        <v>476</v>
      </c>
      <c r="H45" s="74" t="s">
        <v>415</v>
      </c>
      <c r="I45" s="74" t="s">
        <v>539</v>
      </c>
      <c r="J45" s="74" t="s">
        <v>384</v>
      </c>
      <c r="K45" s="74" t="str">
        <f t="shared" si="1"/>
        <v>t-bdp-cxmadm01-nic</v>
      </c>
      <c r="L45" s="83" t="s">
        <v>566</v>
      </c>
      <c r="M45" s="83"/>
    </row>
    <row r="46" spans="1:13" x14ac:dyDescent="0.3">
      <c r="A46" s="97"/>
      <c r="B46" s="80" t="s">
        <v>182</v>
      </c>
      <c r="C46" s="80" t="str" cm="1">
        <f t="array" ref="C46">UPPER(INDEX(_xlfn.TEXTSPLIT($E46, "-"), 2))</f>
        <v>BDP</v>
      </c>
      <c r="D46" s="80" t="s">
        <v>198</v>
      </c>
      <c r="E46" s="80" t="str">
        <f t="shared" si="0"/>
        <v>t-bdp-slap01-nsg</v>
      </c>
      <c r="F46" s="80" t="s">
        <v>198</v>
      </c>
      <c r="G46" s="73" t="s">
        <v>476</v>
      </c>
      <c r="H46" s="73" t="s">
        <v>415</v>
      </c>
      <c r="I46" s="73" t="s">
        <v>540</v>
      </c>
      <c r="J46" s="73" t="s">
        <v>384</v>
      </c>
      <c r="K46" s="73" t="str">
        <f t="shared" si="1"/>
        <v>t-bdp-slap01-nic</v>
      </c>
      <c r="L46" s="81" t="s">
        <v>566</v>
      </c>
      <c r="M46" s="81"/>
    </row>
    <row r="47" spans="1:13" x14ac:dyDescent="0.3">
      <c r="A47" s="97"/>
      <c r="B47" s="82" t="s">
        <v>182</v>
      </c>
      <c r="C47" s="82" t="str" cm="1">
        <f t="array" ref="C47">UPPER(INDEX(_xlfn.TEXTSPLIT($E47, "-"), 2))</f>
        <v>DIP</v>
      </c>
      <c r="D47" s="82" t="s">
        <v>198</v>
      </c>
      <c r="E47" s="82" t="str">
        <f t="shared" si="0"/>
        <v>t-dip-adm01-nsg</v>
      </c>
      <c r="F47" s="82" t="s">
        <v>198</v>
      </c>
      <c r="G47" s="74" t="s">
        <v>476</v>
      </c>
      <c r="H47" s="74" t="s">
        <v>419</v>
      </c>
      <c r="I47" s="74" t="s">
        <v>541</v>
      </c>
      <c r="J47" s="74" t="s">
        <v>385</v>
      </c>
      <c r="K47" s="74" t="str">
        <f t="shared" si="1"/>
        <v>t-dip-adm01-nic</v>
      </c>
      <c r="L47" s="83" t="s">
        <v>566</v>
      </c>
      <c r="M47" s="83"/>
    </row>
    <row r="48" spans="1:13" x14ac:dyDescent="0.3">
      <c r="A48" s="97"/>
      <c r="B48" s="80" t="s">
        <v>182</v>
      </c>
      <c r="C48" s="80" t="str" cm="1">
        <f t="array" ref="C48">UPPER(INDEX(_xlfn.TEXTSPLIT($E48, "-"), 2))</f>
        <v>DIP</v>
      </c>
      <c r="D48" s="80" t="s">
        <v>198</v>
      </c>
      <c r="E48" s="80" t="str">
        <f t="shared" si="0"/>
        <v>t-dip-ap01-nsg</v>
      </c>
      <c r="F48" s="80" t="s">
        <v>198</v>
      </c>
      <c r="G48" s="73" t="s">
        <v>476</v>
      </c>
      <c r="H48" s="73" t="s">
        <v>419</v>
      </c>
      <c r="I48" s="73" t="s">
        <v>542</v>
      </c>
      <c r="J48" s="73" t="s">
        <v>385</v>
      </c>
      <c r="K48" s="73" t="str">
        <f t="shared" si="1"/>
        <v>t-dip-ap01-nic</v>
      </c>
      <c r="L48" s="81" t="s">
        <v>566</v>
      </c>
      <c r="M48" s="81"/>
    </row>
    <row r="49" spans="1:13" x14ac:dyDescent="0.3">
      <c r="A49" s="97"/>
      <c r="B49" s="82" t="s">
        <v>182</v>
      </c>
      <c r="C49" s="82" t="str" cm="1">
        <f t="array" ref="C49">UPPER(INDEX(_xlfn.TEXTSPLIT($E49, "-"), 2))</f>
        <v>DIP</v>
      </c>
      <c r="D49" s="82" t="s">
        <v>198</v>
      </c>
      <c r="E49" s="82" t="str">
        <f t="shared" si="0"/>
        <v>t-dip-flk01-nsg</v>
      </c>
      <c r="F49" s="82" t="s">
        <v>198</v>
      </c>
      <c r="G49" s="74" t="s">
        <v>476</v>
      </c>
      <c r="H49" s="74" t="s">
        <v>419</v>
      </c>
      <c r="I49" s="74" t="s">
        <v>543</v>
      </c>
      <c r="J49" s="74" t="s">
        <v>385</v>
      </c>
      <c r="K49" s="74" t="str">
        <f t="shared" si="1"/>
        <v>t-dip-flk01-nic</v>
      </c>
      <c r="L49" s="83" t="s">
        <v>566</v>
      </c>
      <c r="M49" s="83"/>
    </row>
    <row r="50" spans="1:13" x14ac:dyDescent="0.3">
      <c r="A50" s="97"/>
      <c r="B50" s="80" t="s">
        <v>182</v>
      </c>
      <c r="C50" s="80" t="str" cm="1">
        <f t="array" ref="C50">UPPER(INDEX(_xlfn.TEXTSPLIT($E50, "-"), 2))</f>
        <v>DIP</v>
      </c>
      <c r="D50" s="80" t="s">
        <v>198</v>
      </c>
      <c r="E50" s="80" t="str">
        <f t="shared" si="0"/>
        <v>t-dip-flk02-nsg</v>
      </c>
      <c r="F50" s="80" t="s">
        <v>198</v>
      </c>
      <c r="G50" s="73" t="s">
        <v>476</v>
      </c>
      <c r="H50" s="73" t="s">
        <v>419</v>
      </c>
      <c r="I50" s="73" t="s">
        <v>544</v>
      </c>
      <c r="J50" s="73" t="s">
        <v>385</v>
      </c>
      <c r="K50" s="73" t="str">
        <f t="shared" si="1"/>
        <v>t-dip-flk02-nic</v>
      </c>
      <c r="L50" s="81" t="s">
        <v>566</v>
      </c>
      <c r="M50" s="81"/>
    </row>
    <row r="51" spans="1:13" x14ac:dyDescent="0.3">
      <c r="A51" s="97"/>
      <c r="B51" s="82" t="s">
        <v>182</v>
      </c>
      <c r="C51" s="82" t="str" cm="1">
        <f t="array" ref="C51">UPPER(INDEX(_xlfn.TEXTSPLIT($E51, "-"), 2))</f>
        <v>DIP</v>
      </c>
      <c r="D51" s="82" t="s">
        <v>198</v>
      </c>
      <c r="E51" s="82" t="str">
        <f t="shared" si="0"/>
        <v>t-dip-flk03-nsg</v>
      </c>
      <c r="F51" s="82" t="s">
        <v>198</v>
      </c>
      <c r="G51" s="74" t="s">
        <v>476</v>
      </c>
      <c r="H51" s="74" t="s">
        <v>419</v>
      </c>
      <c r="I51" s="74" t="s">
        <v>545</v>
      </c>
      <c r="J51" s="74" t="s">
        <v>385</v>
      </c>
      <c r="K51" s="74" t="str">
        <f t="shared" si="1"/>
        <v>t-dip-flk03-nic</v>
      </c>
      <c r="L51" s="83" t="s">
        <v>566</v>
      </c>
      <c r="M51" s="83"/>
    </row>
    <row r="52" spans="1:13" x14ac:dyDescent="0.3">
      <c r="A52" s="97"/>
      <c r="B52" s="80" t="s">
        <v>182</v>
      </c>
      <c r="C52" s="80" t="str" cm="1">
        <f t="array" ref="C52">UPPER(INDEX(_xlfn.TEXTSPLIT($E52, "-"), 2))</f>
        <v>DIP</v>
      </c>
      <c r="D52" s="80" t="s">
        <v>198</v>
      </c>
      <c r="E52" s="80" t="str">
        <f t="shared" si="0"/>
        <v>t-dip-geoap01-nsg</v>
      </c>
      <c r="F52" s="80" t="s">
        <v>198</v>
      </c>
      <c r="G52" s="73" t="s">
        <v>476</v>
      </c>
      <c r="H52" s="73" t="s">
        <v>419</v>
      </c>
      <c r="I52" s="73" t="s">
        <v>546</v>
      </c>
      <c r="J52" s="73" t="s">
        <v>385</v>
      </c>
      <c r="K52" s="73" t="str">
        <f t="shared" si="1"/>
        <v>t-dip-geoap01-nic</v>
      </c>
      <c r="L52" s="81" t="s">
        <v>566</v>
      </c>
      <c r="M52" s="81"/>
    </row>
    <row r="53" spans="1:13" x14ac:dyDescent="0.3">
      <c r="A53" s="97"/>
      <c r="B53" s="82" t="s">
        <v>182</v>
      </c>
      <c r="C53" s="82" t="str" cm="1">
        <f t="array" ref="C53">UPPER(INDEX(_xlfn.TEXTSPLIT($E53, "-"), 2))</f>
        <v>DIP</v>
      </c>
      <c r="D53" s="82" t="s">
        <v>198</v>
      </c>
      <c r="E53" s="82" t="str">
        <f t="shared" si="0"/>
        <v>t-dip-kfk01-nsg</v>
      </c>
      <c r="F53" s="82" t="s">
        <v>198</v>
      </c>
      <c r="G53" s="74" t="s">
        <v>476</v>
      </c>
      <c r="H53" s="74" t="s">
        <v>419</v>
      </c>
      <c r="I53" s="74" t="s">
        <v>547</v>
      </c>
      <c r="J53" s="74" t="s">
        <v>385</v>
      </c>
      <c r="K53" s="74" t="str">
        <f t="shared" si="1"/>
        <v>t-dip-kfk01-nic</v>
      </c>
      <c r="L53" s="83" t="s">
        <v>566</v>
      </c>
      <c r="M53" s="83"/>
    </row>
    <row r="54" spans="1:13" x14ac:dyDescent="0.3">
      <c r="A54" s="97"/>
      <c r="B54" s="80" t="s">
        <v>182</v>
      </c>
      <c r="C54" s="80" t="str" cm="1">
        <f t="array" ref="C54">UPPER(INDEX(_xlfn.TEXTSPLIT($E54, "-"), 2))</f>
        <v>DIP</v>
      </c>
      <c r="D54" s="80" t="s">
        <v>198</v>
      </c>
      <c r="E54" s="80" t="str">
        <f t="shared" si="0"/>
        <v>t-dip-kfk02-nsg</v>
      </c>
      <c r="F54" s="80" t="s">
        <v>198</v>
      </c>
      <c r="G54" s="73" t="s">
        <v>476</v>
      </c>
      <c r="H54" s="73" t="s">
        <v>419</v>
      </c>
      <c r="I54" s="73" t="s">
        <v>548</v>
      </c>
      <c r="J54" s="73" t="s">
        <v>385</v>
      </c>
      <c r="K54" s="73" t="str">
        <f t="shared" si="1"/>
        <v>t-dip-kfk02-nic</v>
      </c>
      <c r="L54" s="81" t="s">
        <v>566</v>
      </c>
      <c r="M54" s="81"/>
    </row>
    <row r="55" spans="1:13" x14ac:dyDescent="0.3">
      <c r="A55" s="97"/>
      <c r="B55" s="82" t="s">
        <v>182</v>
      </c>
      <c r="C55" s="82" t="str" cm="1">
        <f t="array" ref="C55">UPPER(INDEX(_xlfn.TEXTSPLIT($E55, "-"), 2))</f>
        <v>DIP</v>
      </c>
      <c r="D55" s="82" t="s">
        <v>198</v>
      </c>
      <c r="E55" s="82" t="str">
        <f t="shared" si="0"/>
        <v>t-dip-kfk03-nsg</v>
      </c>
      <c r="F55" s="82" t="s">
        <v>198</v>
      </c>
      <c r="G55" s="74" t="s">
        <v>476</v>
      </c>
      <c r="H55" s="74" t="s">
        <v>419</v>
      </c>
      <c r="I55" s="74" t="s">
        <v>549</v>
      </c>
      <c r="J55" s="74" t="s">
        <v>385</v>
      </c>
      <c r="K55" s="74" t="str">
        <f t="shared" si="1"/>
        <v>t-dip-kfk03-nic</v>
      </c>
      <c r="L55" s="83" t="s">
        <v>566</v>
      </c>
      <c r="M55" s="83"/>
    </row>
    <row r="56" spans="1:13" x14ac:dyDescent="0.3">
      <c r="A56" s="97"/>
      <c r="B56" s="80" t="s">
        <v>182</v>
      </c>
      <c r="C56" s="80" t="str" cm="1">
        <f t="array" ref="C56">UPPER(INDEX(_xlfn.TEXTSPLIT($E56, "-"), 2))</f>
        <v>DIP</v>
      </c>
      <c r="D56" s="80" t="s">
        <v>198</v>
      </c>
      <c r="E56" s="80" t="str">
        <f t="shared" si="0"/>
        <v>t-dip-mqap01-nsg</v>
      </c>
      <c r="F56" s="80" t="s">
        <v>198</v>
      </c>
      <c r="G56" s="73" t="s">
        <v>476</v>
      </c>
      <c r="H56" s="73" t="s">
        <v>419</v>
      </c>
      <c r="I56" s="73" t="s">
        <v>550</v>
      </c>
      <c r="J56" s="73" t="s">
        <v>385</v>
      </c>
      <c r="K56" s="73" t="str">
        <f t="shared" si="1"/>
        <v>t-dip-mqap01-nic</v>
      </c>
      <c r="L56" s="81" t="s">
        <v>566</v>
      </c>
      <c r="M56" s="81"/>
    </row>
    <row r="57" spans="1:13" x14ac:dyDescent="0.3">
      <c r="A57" s="97"/>
      <c r="B57" s="82" t="s">
        <v>182</v>
      </c>
      <c r="C57" s="82" t="str" cm="1">
        <f t="array" ref="C57">UPPER(INDEX(_xlfn.TEXTSPLIT($E57, "-"), 2))</f>
        <v>DIP</v>
      </c>
      <c r="D57" s="82" t="s">
        <v>198</v>
      </c>
      <c r="E57" s="82" t="str">
        <f t="shared" si="0"/>
        <v>t-dip-mqweb01-nsg</v>
      </c>
      <c r="F57" s="82" t="s">
        <v>198</v>
      </c>
      <c r="G57" s="74" t="s">
        <v>476</v>
      </c>
      <c r="H57" s="74" t="s">
        <v>419</v>
      </c>
      <c r="I57" s="74" t="s">
        <v>551</v>
      </c>
      <c r="J57" s="74" t="s">
        <v>385</v>
      </c>
      <c r="K57" s="74" t="str">
        <f t="shared" si="1"/>
        <v>t-dip-mqweb01-nic</v>
      </c>
      <c r="L57" s="83" t="s">
        <v>566</v>
      </c>
      <c r="M57" s="83"/>
    </row>
    <row r="58" spans="1:13" x14ac:dyDescent="0.3">
      <c r="A58" s="97"/>
      <c r="B58" s="80" t="s">
        <v>182</v>
      </c>
      <c r="C58" s="80" t="str" cm="1">
        <f t="array" ref="C58">UPPER(INDEX(_xlfn.TEXTSPLIT($E58, "-"), 2))</f>
        <v>DIP</v>
      </c>
      <c r="D58" s="80" t="s">
        <v>198</v>
      </c>
      <c r="E58" s="80" t="str">
        <f t="shared" si="0"/>
        <v>t-dip-oms01-nsg</v>
      </c>
      <c r="F58" s="80" t="s">
        <v>198</v>
      </c>
      <c r="G58" s="73" t="s">
        <v>476</v>
      </c>
      <c r="H58" s="73" t="s">
        <v>419</v>
      </c>
      <c r="I58" s="73" t="s">
        <v>552</v>
      </c>
      <c r="J58" s="73" t="s">
        <v>385</v>
      </c>
      <c r="K58" s="73" t="str">
        <f t="shared" si="1"/>
        <v>t-dip-oms01-nic</v>
      </c>
      <c r="L58" s="81" t="s">
        <v>566</v>
      </c>
      <c r="M58" s="81"/>
    </row>
    <row r="59" spans="1:13" x14ac:dyDescent="0.3">
      <c r="A59" s="97"/>
      <c r="B59" s="82" t="s">
        <v>182</v>
      </c>
      <c r="C59" s="82" t="str" cm="1">
        <f t="array" ref="C59">UPPER(INDEX(_xlfn.TEXTSPLIT($E59, "-"), 2))</f>
        <v>DIP</v>
      </c>
      <c r="D59" s="82" t="s">
        <v>198</v>
      </c>
      <c r="E59" s="82" t="str">
        <f t="shared" si="0"/>
        <v>t-dip-web01-nsg</v>
      </c>
      <c r="F59" s="82" t="s">
        <v>198</v>
      </c>
      <c r="G59" s="74" t="s">
        <v>476</v>
      </c>
      <c r="H59" s="74" t="s">
        <v>419</v>
      </c>
      <c r="I59" s="74" t="s">
        <v>553</v>
      </c>
      <c r="J59" s="74" t="s">
        <v>385</v>
      </c>
      <c r="K59" s="74" t="str">
        <f t="shared" si="1"/>
        <v>t-dip-web01-nic</v>
      </c>
      <c r="L59" s="83" t="s">
        <v>566</v>
      </c>
      <c r="M59" s="83"/>
    </row>
    <row r="60" spans="1:13" x14ac:dyDescent="0.3">
      <c r="A60" s="97"/>
      <c r="B60" s="80" t="s">
        <v>182</v>
      </c>
      <c r="C60" s="80" t="str" cm="1">
        <f t="array" ref="C60">UPPER(INDEX(_xlfn.TEXTSPLIT($E60, "-"), 2))</f>
        <v>IF</v>
      </c>
      <c r="D60" s="80" t="s">
        <v>198</v>
      </c>
      <c r="E60" s="80" t="str">
        <f t="shared" si="0"/>
        <v>t-if-auth01-nsg</v>
      </c>
      <c r="F60" s="80" t="s">
        <v>198</v>
      </c>
      <c r="G60" s="73" t="s">
        <v>476</v>
      </c>
      <c r="H60" s="73" t="s">
        <v>321</v>
      </c>
      <c r="I60" s="73" t="s">
        <v>599</v>
      </c>
      <c r="J60" s="73" t="s">
        <v>474</v>
      </c>
      <c r="K60" s="73" t="str">
        <f t="shared" si="1"/>
        <v>t-if-auth01-nic</v>
      </c>
      <c r="L60" s="81" t="s">
        <v>566</v>
      </c>
      <c r="M60" s="81"/>
    </row>
    <row r="61" spans="1:13" x14ac:dyDescent="0.3">
      <c r="A61" s="97"/>
      <c r="B61" s="80" t="s">
        <v>182</v>
      </c>
      <c r="C61" s="80" t="str" cm="1">
        <f t="array" ref="C61">UPPER(INDEX(_xlfn.TEXTSPLIT($E61, "-"), 2))</f>
        <v>IF</v>
      </c>
      <c r="D61" s="80" t="s">
        <v>198</v>
      </c>
      <c r="E61" s="80" t="str">
        <f t="shared" si="0"/>
        <v>t-if-gramon01-nsg</v>
      </c>
      <c r="F61" s="80" t="s">
        <v>198</v>
      </c>
      <c r="G61" s="73" t="s">
        <v>476</v>
      </c>
      <c r="H61" s="73" t="s">
        <v>497</v>
      </c>
      <c r="I61" s="73" t="s">
        <v>554</v>
      </c>
      <c r="J61" s="73" t="s">
        <v>474</v>
      </c>
      <c r="K61" s="73" t="str">
        <f t="shared" si="1"/>
        <v>t-if-gramon01-nic</v>
      </c>
      <c r="L61" s="81" t="s">
        <v>566</v>
      </c>
      <c r="M61" s="81"/>
    </row>
    <row r="62" spans="1:13" x14ac:dyDescent="0.3">
      <c r="A62" s="97"/>
      <c r="B62" s="82" t="s">
        <v>182</v>
      </c>
      <c r="C62" s="82" t="str" cm="1">
        <f t="array" ref="C62">UPPER(INDEX(_xlfn.TEXTSPLIT($E62, "-"), 2))</f>
        <v>DOIP</v>
      </c>
      <c r="D62" s="82" t="s">
        <v>198</v>
      </c>
      <c r="E62" s="82" t="str">
        <f t="shared" si="0"/>
        <v>t-doip-web01-nsg</v>
      </c>
      <c r="F62" s="82" t="s">
        <v>198</v>
      </c>
      <c r="G62" s="74" t="s">
        <v>476</v>
      </c>
      <c r="H62" s="74" t="s">
        <v>429</v>
      </c>
      <c r="I62" s="74" t="s">
        <v>555</v>
      </c>
      <c r="J62" s="74" t="s">
        <v>386</v>
      </c>
      <c r="K62" s="74" t="str">
        <f t="shared" si="1"/>
        <v>t-doip-web01-nic</v>
      </c>
      <c r="L62" s="83" t="s">
        <v>566</v>
      </c>
      <c r="M62" s="83"/>
    </row>
    <row r="63" spans="1:13" x14ac:dyDescent="0.3">
      <c r="A63" s="97"/>
      <c r="B63" s="80" t="s">
        <v>182</v>
      </c>
      <c r="C63" s="80" t="str" cm="1">
        <f t="array" ref="C63">UPPER(INDEX(_xlfn.TEXTSPLIT($E63, "-"), 2))</f>
        <v>DOIP</v>
      </c>
      <c r="D63" s="80" t="s">
        <v>198</v>
      </c>
      <c r="E63" s="80" t="str">
        <f t="shared" si="0"/>
        <v>t-doip-ap01-nsg</v>
      </c>
      <c r="F63" s="80" t="s">
        <v>198</v>
      </c>
      <c r="G63" s="73" t="s">
        <v>476</v>
      </c>
      <c r="H63" s="73" t="s">
        <v>429</v>
      </c>
      <c r="I63" s="73" t="s">
        <v>556</v>
      </c>
      <c r="J63" s="73" t="s">
        <v>386</v>
      </c>
      <c r="K63" s="73" t="str">
        <f t="shared" si="1"/>
        <v>t-doip-ap01-nic</v>
      </c>
      <c r="L63" s="81" t="s">
        <v>566</v>
      </c>
      <c r="M63" s="81"/>
    </row>
    <row r="64" spans="1:13" x14ac:dyDescent="0.3">
      <c r="A64" s="97"/>
      <c r="B64" s="82" t="s">
        <v>182</v>
      </c>
      <c r="C64" s="82" t="str" cm="1">
        <f t="array" ref="C64">UPPER(INDEX(_xlfn.TEXTSPLIT($E64, "-"), 2))</f>
        <v>DOIP</v>
      </c>
      <c r="D64" s="82" t="s">
        <v>198</v>
      </c>
      <c r="E64" s="82" t="str">
        <f t="shared" si="0"/>
        <v>t-doip-adm01-nsg</v>
      </c>
      <c r="F64" s="82" t="s">
        <v>198</v>
      </c>
      <c r="G64" s="74" t="s">
        <v>476</v>
      </c>
      <c r="H64" s="74" t="s">
        <v>429</v>
      </c>
      <c r="I64" s="74" t="s">
        <v>557</v>
      </c>
      <c r="J64" s="74" t="s">
        <v>386</v>
      </c>
      <c r="K64" s="74" t="str">
        <f t="shared" si="1"/>
        <v>t-doip-adm01-nic</v>
      </c>
      <c r="L64" s="83" t="s">
        <v>566</v>
      </c>
      <c r="M64" s="83"/>
    </row>
    <row r="65" spans="1:13" x14ac:dyDescent="0.3">
      <c r="A65" s="97"/>
      <c r="B65" s="80" t="s">
        <v>182</v>
      </c>
      <c r="C65" s="80" t="str" cm="1">
        <f t="array" ref="C65">UPPER(INDEX(_xlfn.TEXTSPLIT($E65, "-"), 2))</f>
        <v>BDP</v>
      </c>
      <c r="D65" s="80" t="s">
        <v>198</v>
      </c>
      <c r="E65" s="80" t="str">
        <f t="shared" ref="E65:E67" si="2">SUBSTITUTE(I65,"hazr-","")&amp;"-nsg"</f>
        <v>t-bdp-crkweb01-nsg</v>
      </c>
      <c r="F65" s="80" t="s">
        <v>198</v>
      </c>
      <c r="G65" s="73" t="s">
        <v>477</v>
      </c>
      <c r="H65" s="73" t="s">
        <v>433</v>
      </c>
      <c r="I65" s="73" t="s">
        <v>558</v>
      </c>
      <c r="J65" s="73" t="s">
        <v>384</v>
      </c>
      <c r="K65" s="73" t="str">
        <f t="shared" ref="K65:K67" si="3">SUBSTITUTE(I65,"hazr-","")&amp;"-nic"</f>
        <v>t-bdp-crkweb01-nic</v>
      </c>
      <c r="L65" s="81" t="s">
        <v>566</v>
      </c>
      <c r="M65" s="81"/>
    </row>
    <row r="66" spans="1:13" x14ac:dyDescent="0.3">
      <c r="A66" s="97"/>
      <c r="B66" s="82" t="s">
        <v>182</v>
      </c>
      <c r="C66" s="82" t="str" cm="1">
        <f t="array" ref="C66">UPPER(INDEX(_xlfn.TEXTSPLIT($E66, "-"), 2))</f>
        <v>BDP</v>
      </c>
      <c r="D66" s="82" t="s">
        <v>198</v>
      </c>
      <c r="E66" s="82" t="str">
        <f t="shared" si="2"/>
        <v>t-bdp-crkap01-nsg</v>
      </c>
      <c r="F66" s="82" t="s">
        <v>198</v>
      </c>
      <c r="G66" s="74" t="s">
        <v>476</v>
      </c>
      <c r="H66" s="74" t="s">
        <v>415</v>
      </c>
      <c r="I66" s="74" t="s">
        <v>559</v>
      </c>
      <c r="J66" s="74" t="s">
        <v>384</v>
      </c>
      <c r="K66" s="74" t="str">
        <f t="shared" si="3"/>
        <v>t-bdp-crkap01-nic</v>
      </c>
      <c r="L66" s="83" t="s">
        <v>566</v>
      </c>
      <c r="M66" s="83"/>
    </row>
    <row r="67" spans="1:13" x14ac:dyDescent="0.3">
      <c r="A67" s="97"/>
      <c r="B67" s="80" t="s">
        <v>182</v>
      </c>
      <c r="C67" s="80" t="str" cm="1">
        <f t="array" ref="C67">UPPER(INDEX(_xlfn.TEXTSPLIT($E67, "-"), 2))</f>
        <v>BDP</v>
      </c>
      <c r="D67" s="80" t="s">
        <v>198</v>
      </c>
      <c r="E67" s="80" t="str">
        <f t="shared" si="2"/>
        <v>t-bdp-crkml01-nsg</v>
      </c>
      <c r="F67" s="80" t="s">
        <v>198</v>
      </c>
      <c r="G67" s="73" t="s">
        <v>476</v>
      </c>
      <c r="H67" s="73" t="s">
        <v>415</v>
      </c>
      <c r="I67" s="73" t="s">
        <v>560</v>
      </c>
      <c r="J67" s="73" t="s">
        <v>384</v>
      </c>
      <c r="K67" s="73" t="str">
        <f t="shared" si="3"/>
        <v>t-bdp-crkml01-nic</v>
      </c>
      <c r="L67" s="81" t="s">
        <v>566</v>
      </c>
      <c r="M67" s="81"/>
    </row>
    <row r="68" spans="1:13" x14ac:dyDescent="0.3">
      <c r="A68" s="97"/>
      <c r="B68" s="82" t="s">
        <v>182</v>
      </c>
      <c r="C68" s="82" t="str" cm="1">
        <f t="array" ref="C68">UPPER(INDEX(_xlfn.TEXTSPLIT($E68, "-"), 2))</f>
        <v>DIS</v>
      </c>
      <c r="D68" s="82" t="s">
        <v>198</v>
      </c>
      <c r="E68" s="82" t="str">
        <f>SUBSTITUTE(H68,"-sbn","")&amp;"-nsg"</f>
        <v>t-dis-db-nsg</v>
      </c>
      <c r="F68" s="82" t="s">
        <v>198</v>
      </c>
      <c r="G68" s="74" t="s">
        <v>476</v>
      </c>
      <c r="H68" s="74" t="s">
        <v>295</v>
      </c>
      <c r="I68" s="74"/>
      <c r="J68" s="74"/>
      <c r="K68" s="74"/>
      <c r="L68" s="74" t="s">
        <v>570</v>
      </c>
      <c r="M68" s="74"/>
    </row>
    <row r="69" spans="1:13" x14ac:dyDescent="0.3">
      <c r="A69" s="97"/>
      <c r="B69" s="80" t="s">
        <v>182</v>
      </c>
      <c r="C69" s="80" t="str" cm="1">
        <f t="array" ref="C69">UPPER(INDEX(_xlfn.TEXTSPLIT($E69, "-"), 2))</f>
        <v>DIS</v>
      </c>
      <c r="D69" s="80" t="s">
        <v>198</v>
      </c>
      <c r="E69" s="80" t="str">
        <f t="shared" ref="E69:E85" si="4">SUBSTITUTE(H69,"-sbn","")&amp;"-nsg"</f>
        <v>t-dis-pe-nsg</v>
      </c>
      <c r="F69" s="80" t="s">
        <v>198</v>
      </c>
      <c r="G69" s="73" t="s">
        <v>476</v>
      </c>
      <c r="H69" s="73" t="s">
        <v>302</v>
      </c>
      <c r="I69" s="73"/>
      <c r="J69" s="73"/>
      <c r="K69" s="73"/>
      <c r="L69" s="73" t="s">
        <v>570</v>
      </c>
      <c r="M69" s="73"/>
    </row>
    <row r="70" spans="1:13" x14ac:dyDescent="0.3">
      <c r="A70" s="97"/>
      <c r="B70" s="82" t="s">
        <v>182</v>
      </c>
      <c r="C70" s="82" t="str" cm="1">
        <f t="array" ref="C70">UPPER(INDEX(_xlfn.TEXTSPLIT($E70, "-"), 2))</f>
        <v>PULS</v>
      </c>
      <c r="D70" s="82" t="s">
        <v>198</v>
      </c>
      <c r="E70" s="82" t="str">
        <f t="shared" si="4"/>
        <v>t-puls-db-nsg</v>
      </c>
      <c r="F70" s="82" t="s">
        <v>198</v>
      </c>
      <c r="G70" s="74" t="s">
        <v>476</v>
      </c>
      <c r="H70" s="74" t="s">
        <v>571</v>
      </c>
      <c r="I70" s="74"/>
      <c r="J70" s="74"/>
      <c r="K70" s="74"/>
      <c r="L70" s="74" t="s">
        <v>570</v>
      </c>
      <c r="M70" s="74"/>
    </row>
    <row r="71" spans="1:13" x14ac:dyDescent="0.3">
      <c r="A71" s="97"/>
      <c r="B71" s="80" t="s">
        <v>182</v>
      </c>
      <c r="C71" s="80" t="str" cm="1">
        <f t="array" ref="C71">UPPER(INDEX(_xlfn.TEXTSPLIT($E71, "-"), 2))</f>
        <v>PULS</v>
      </c>
      <c r="D71" s="80" t="s">
        <v>198</v>
      </c>
      <c r="E71" s="80" t="str">
        <f t="shared" si="4"/>
        <v>t-puls-pe-nsg</v>
      </c>
      <c r="F71" s="80" t="s">
        <v>198</v>
      </c>
      <c r="G71" s="73" t="s">
        <v>476</v>
      </c>
      <c r="H71" s="73" t="s">
        <v>305</v>
      </c>
      <c r="I71" s="73"/>
      <c r="J71" s="73"/>
      <c r="K71" s="73"/>
      <c r="L71" s="73" t="s">
        <v>570</v>
      </c>
      <c r="M71" s="73"/>
    </row>
    <row r="72" spans="1:13" x14ac:dyDescent="0.3">
      <c r="A72" s="97"/>
      <c r="B72" s="82" t="s">
        <v>182</v>
      </c>
      <c r="C72" s="82" t="str" cm="1">
        <f t="array" ref="C72">UPPER(INDEX(_xlfn.TEXTSPLIT($E72, "-"), 2))</f>
        <v>DOIP</v>
      </c>
      <c r="D72" s="82" t="s">
        <v>198</v>
      </c>
      <c r="E72" s="82" t="str">
        <f t="shared" si="4"/>
        <v>t-doip-db-nsg</v>
      </c>
      <c r="F72" s="82" t="s">
        <v>198</v>
      </c>
      <c r="G72" s="74" t="s">
        <v>476</v>
      </c>
      <c r="H72" s="74" t="s">
        <v>307</v>
      </c>
      <c r="I72" s="74"/>
      <c r="J72" s="74"/>
      <c r="K72" s="74"/>
      <c r="L72" s="74" t="s">
        <v>570</v>
      </c>
      <c r="M72" s="74"/>
    </row>
    <row r="73" spans="1:13" x14ac:dyDescent="0.3">
      <c r="A73" s="97"/>
      <c r="B73" s="80" t="s">
        <v>182</v>
      </c>
      <c r="C73" s="80" t="str" cm="1">
        <f t="array" ref="C73">UPPER(INDEX(_xlfn.TEXTSPLIT($E73, "-"), 2))</f>
        <v>DOIP</v>
      </c>
      <c r="D73" s="80" t="s">
        <v>198</v>
      </c>
      <c r="E73" s="80" t="str">
        <f t="shared" si="4"/>
        <v>t-doip-pe-nsg</v>
      </c>
      <c r="F73" s="80" t="s">
        <v>198</v>
      </c>
      <c r="G73" s="73" t="s">
        <v>476</v>
      </c>
      <c r="H73" s="73" t="s">
        <v>308</v>
      </c>
      <c r="I73" s="73"/>
      <c r="J73" s="73"/>
      <c r="K73" s="73"/>
      <c r="L73" s="73" t="s">
        <v>570</v>
      </c>
      <c r="M73" s="73"/>
    </row>
    <row r="74" spans="1:13" x14ac:dyDescent="0.3">
      <c r="A74" s="97"/>
      <c r="B74" s="82" t="s">
        <v>182</v>
      </c>
      <c r="C74" s="82" t="str" cm="1">
        <f t="array" ref="C74">UPPER(INDEX(_xlfn.TEXTSPLIT($E74, "-"), 2))</f>
        <v>DTG</v>
      </c>
      <c r="D74" s="82" t="s">
        <v>198</v>
      </c>
      <c r="E74" s="82" t="str">
        <f t="shared" si="4"/>
        <v>t-dtg-db-nsg</v>
      </c>
      <c r="F74" s="82" t="s">
        <v>198</v>
      </c>
      <c r="G74" s="74" t="s">
        <v>476</v>
      </c>
      <c r="H74" s="74" t="s">
        <v>309</v>
      </c>
      <c r="I74" s="74"/>
      <c r="J74" s="74"/>
      <c r="K74" s="74"/>
      <c r="L74" s="74" t="s">
        <v>570</v>
      </c>
      <c r="M74" s="74"/>
    </row>
    <row r="75" spans="1:13" x14ac:dyDescent="0.3">
      <c r="A75" s="97"/>
      <c r="B75" s="80" t="s">
        <v>182</v>
      </c>
      <c r="C75" s="80" t="str" cm="1">
        <f t="array" ref="C75">UPPER(INDEX(_xlfn.TEXTSPLIT($E75, "-"), 2))</f>
        <v>DTG</v>
      </c>
      <c r="D75" s="80" t="s">
        <v>198</v>
      </c>
      <c r="E75" s="80" t="str">
        <f t="shared" si="4"/>
        <v>t-dtg-pe-nsg</v>
      </c>
      <c r="F75" s="80" t="s">
        <v>198</v>
      </c>
      <c r="G75" s="73" t="s">
        <v>476</v>
      </c>
      <c r="H75" s="73" t="s">
        <v>311</v>
      </c>
      <c r="I75" s="73"/>
      <c r="J75" s="73"/>
      <c r="K75" s="73"/>
      <c r="L75" s="73" t="s">
        <v>570</v>
      </c>
      <c r="M75" s="73"/>
    </row>
    <row r="76" spans="1:13" x14ac:dyDescent="0.3">
      <c r="A76" s="97"/>
      <c r="B76" s="82" t="s">
        <v>182</v>
      </c>
      <c r="C76" s="82" t="str" cm="1">
        <f t="array" ref="C76">UPPER(INDEX(_xlfn.TEXTSPLIT($E76, "-"), 2))</f>
        <v>BDP</v>
      </c>
      <c r="D76" s="82" t="s">
        <v>198</v>
      </c>
      <c r="E76" s="82" t="str">
        <f t="shared" si="4"/>
        <v>t-bdp-db-nsg</v>
      </c>
      <c r="F76" s="82" t="s">
        <v>198</v>
      </c>
      <c r="G76" s="74" t="s">
        <v>476</v>
      </c>
      <c r="H76" s="74" t="s">
        <v>312</v>
      </c>
      <c r="I76" s="74"/>
      <c r="J76" s="74"/>
      <c r="K76" s="74"/>
      <c r="L76" s="74" t="s">
        <v>570</v>
      </c>
      <c r="M76" s="74"/>
    </row>
    <row r="77" spans="1:13" x14ac:dyDescent="0.3">
      <c r="A77" s="97"/>
      <c r="B77" s="80" t="s">
        <v>182</v>
      </c>
      <c r="C77" s="80" t="str" cm="1">
        <f t="array" ref="C77">UPPER(INDEX(_xlfn.TEXTSPLIT($E77, "-"), 2))</f>
        <v>BDP</v>
      </c>
      <c r="D77" s="80" t="s">
        <v>198</v>
      </c>
      <c r="E77" s="80" t="str">
        <f t="shared" si="4"/>
        <v>t-bdp-pe-nsg</v>
      </c>
      <c r="F77" s="80" t="s">
        <v>198</v>
      </c>
      <c r="G77" s="73" t="s">
        <v>476</v>
      </c>
      <c r="H77" s="73" t="s">
        <v>314</v>
      </c>
      <c r="I77" s="73"/>
      <c r="J77" s="73"/>
      <c r="K77" s="73"/>
      <c r="L77" s="73" t="s">
        <v>570</v>
      </c>
      <c r="M77" s="73"/>
    </row>
    <row r="78" spans="1:13" x14ac:dyDescent="0.3">
      <c r="A78" s="97"/>
      <c r="B78" s="82" t="s">
        <v>182</v>
      </c>
      <c r="C78" s="82" t="str" cm="1">
        <f t="array" ref="C78">UPPER(INDEX(_xlfn.TEXTSPLIT($E78, "-"), 2))</f>
        <v>DIP</v>
      </c>
      <c r="D78" s="82" t="s">
        <v>198</v>
      </c>
      <c r="E78" s="82" t="str">
        <f t="shared" si="4"/>
        <v>t-dip-db-nsg</v>
      </c>
      <c r="F78" s="82" t="s">
        <v>198</v>
      </c>
      <c r="G78" s="74" t="s">
        <v>476</v>
      </c>
      <c r="H78" s="74" t="s">
        <v>316</v>
      </c>
      <c r="I78" s="74"/>
      <c r="J78" s="74"/>
      <c r="K78" s="74"/>
      <c r="L78" s="74" t="s">
        <v>570</v>
      </c>
      <c r="M78" s="74"/>
    </row>
    <row r="79" spans="1:13" x14ac:dyDescent="0.3">
      <c r="A79" s="97"/>
      <c r="B79" s="80" t="s">
        <v>182</v>
      </c>
      <c r="C79" s="80" t="str" cm="1">
        <f t="array" ref="C79">UPPER(INDEX(_xlfn.TEXTSPLIT($E79, "-"), 2))</f>
        <v>DIP</v>
      </c>
      <c r="D79" s="80" t="s">
        <v>198</v>
      </c>
      <c r="E79" s="80" t="str">
        <f t="shared" si="4"/>
        <v>t-dip-pe-nsg</v>
      </c>
      <c r="F79" s="80" t="s">
        <v>198</v>
      </c>
      <c r="G79" s="73" t="s">
        <v>476</v>
      </c>
      <c r="H79" s="73" t="s">
        <v>317</v>
      </c>
      <c r="I79" s="73"/>
      <c r="J79" s="73"/>
      <c r="K79" s="73"/>
      <c r="L79" s="73" t="s">
        <v>570</v>
      </c>
      <c r="M79" s="73"/>
    </row>
    <row r="80" spans="1:13" x14ac:dyDescent="0.3">
      <c r="A80" s="99"/>
      <c r="B80" s="82" t="s">
        <v>182</v>
      </c>
      <c r="C80" s="82" t="str" cm="1">
        <f t="array" ref="C80">UPPER(INDEX(_xlfn.TEXTSPLIT($E80, "-"), 2))</f>
        <v>COM</v>
      </c>
      <c r="D80" s="82" t="s">
        <v>198</v>
      </c>
      <c r="E80" s="82" t="str">
        <f>SUBSTITUTE(H80,"-sbn","")&amp;"-nsg"</f>
        <v>t-com-db-nsg</v>
      </c>
      <c r="F80" s="82" t="s">
        <v>198</v>
      </c>
      <c r="G80" s="74" t="s">
        <v>476</v>
      </c>
      <c r="H80" s="74" t="s">
        <v>319</v>
      </c>
      <c r="I80" s="74"/>
      <c r="J80" s="74"/>
      <c r="K80" s="74"/>
      <c r="L80" s="74" t="s">
        <v>570</v>
      </c>
      <c r="M80" s="74"/>
    </row>
    <row r="81" spans="1:13" x14ac:dyDescent="0.3">
      <c r="A81" s="99"/>
      <c r="B81" s="80" t="s">
        <v>182</v>
      </c>
      <c r="C81" s="80" t="str" cm="1">
        <f t="array" ref="C81">UPPER(INDEX(_xlfn.TEXTSPLIT($E81, "-"), 2))</f>
        <v>COM</v>
      </c>
      <c r="D81" s="80" t="s">
        <v>198</v>
      </c>
      <c r="E81" s="80" t="str">
        <f t="shared" si="4"/>
        <v>t-com-pe-nsg</v>
      </c>
      <c r="F81" s="80" t="s">
        <v>198</v>
      </c>
      <c r="G81" s="73" t="s">
        <v>476</v>
      </c>
      <c r="H81" s="73" t="s">
        <v>320</v>
      </c>
      <c r="I81" s="73"/>
      <c r="J81" s="73"/>
      <c r="K81" s="73"/>
      <c r="L81" s="73" t="s">
        <v>570</v>
      </c>
      <c r="M81" s="73"/>
    </row>
    <row r="82" spans="1:13" x14ac:dyDescent="0.3">
      <c r="A82" s="97"/>
      <c r="B82" s="82" t="s">
        <v>182</v>
      </c>
      <c r="C82" s="82" t="str" cm="1">
        <f t="array" ref="C82">UPPER(INDEX(_xlfn.TEXTSPLIT($E82, "-"), 2))</f>
        <v>IF</v>
      </c>
      <c r="D82" s="82" t="s">
        <v>198</v>
      </c>
      <c r="E82" s="82" t="str">
        <f t="shared" si="4"/>
        <v>t-if-db-nsg</v>
      </c>
      <c r="F82" s="82" t="s">
        <v>198</v>
      </c>
      <c r="G82" s="74" t="s">
        <v>476</v>
      </c>
      <c r="H82" s="74" t="s">
        <v>322</v>
      </c>
      <c r="I82" s="74"/>
      <c r="J82" s="74"/>
      <c r="K82" s="74"/>
      <c r="L82" s="74" t="s">
        <v>570</v>
      </c>
      <c r="M82" s="74"/>
    </row>
    <row r="83" spans="1:13" x14ac:dyDescent="0.3">
      <c r="A83" s="97"/>
      <c r="B83" s="80" t="s">
        <v>182</v>
      </c>
      <c r="C83" s="80" t="str" cm="1">
        <f t="array" ref="C83">UPPER(INDEX(_xlfn.TEXTSPLIT($E83, "-"), 2))</f>
        <v>IF</v>
      </c>
      <c r="D83" s="80" t="s">
        <v>198</v>
      </c>
      <c r="E83" s="80" t="str">
        <f t="shared" si="4"/>
        <v>t-if-pe-nsg</v>
      </c>
      <c r="F83" s="80" t="s">
        <v>198</v>
      </c>
      <c r="G83" s="73" t="s">
        <v>476</v>
      </c>
      <c r="H83" s="73" t="s">
        <v>323</v>
      </c>
      <c r="I83" s="73"/>
      <c r="J83" s="73"/>
      <c r="K83" s="73"/>
      <c r="L83" s="73" t="s">
        <v>570</v>
      </c>
      <c r="M83" s="73"/>
    </row>
    <row r="84" spans="1:13" x14ac:dyDescent="0.3">
      <c r="A84" s="97"/>
      <c r="B84" s="82" t="s">
        <v>182</v>
      </c>
      <c r="C84" s="82" t="str" cm="1">
        <f t="array" ref="C84">UPPER(INDEX(_xlfn.TEXTSPLIT($E84, "-"), 2))</f>
        <v>CS</v>
      </c>
      <c r="D84" s="82" t="s">
        <v>198</v>
      </c>
      <c r="E84" s="82" t="str">
        <f t="shared" si="4"/>
        <v>t-cs-db-nsg</v>
      </c>
      <c r="F84" s="82" t="s">
        <v>198</v>
      </c>
      <c r="G84" s="74" t="s">
        <v>476</v>
      </c>
      <c r="H84" s="74" t="s">
        <v>213</v>
      </c>
      <c r="I84" s="74"/>
      <c r="J84" s="74"/>
      <c r="K84" s="74"/>
      <c r="L84" s="74" t="s">
        <v>570</v>
      </c>
      <c r="M84" s="74"/>
    </row>
    <row r="85" spans="1:13" x14ac:dyDescent="0.3">
      <c r="A85" s="97"/>
      <c r="B85" s="80" t="s">
        <v>182</v>
      </c>
      <c r="C85" s="80" t="str" cm="1">
        <f t="array" ref="C85">UPPER(INDEX(_xlfn.TEXTSPLIT($E85, "-"), 2))</f>
        <v>CS</v>
      </c>
      <c r="D85" s="80" t="s">
        <v>198</v>
      </c>
      <c r="E85" s="80" t="str">
        <f t="shared" si="4"/>
        <v>t-cs-pe-nsg</v>
      </c>
      <c r="F85" s="80" t="s">
        <v>198</v>
      </c>
      <c r="G85" s="73" t="s">
        <v>476</v>
      </c>
      <c r="H85" s="73" t="s">
        <v>214</v>
      </c>
      <c r="I85" s="73"/>
      <c r="J85" s="73"/>
      <c r="K85" s="73" t="s">
        <v>606</v>
      </c>
      <c r="L85" s="73" t="s">
        <v>570</v>
      </c>
      <c r="M85" s="73"/>
    </row>
    <row r="86" spans="1:13" x14ac:dyDescent="0.3">
      <c r="A86" s="110"/>
      <c r="B86" s="82" t="s">
        <v>586</v>
      </c>
      <c r="C86" s="82" t="str" cm="1">
        <f t="array" ref="C86">UPPER(INDEX(_xlfn.TEXTSPLIT($D86, "-"), 3))</f>
        <v>MON</v>
      </c>
      <c r="D86" s="82" t="s">
        <v>572</v>
      </c>
      <c r="E86" s="82" t="str">
        <f t="shared" ref="E86:E91" si="5">SUBSTITUTE(I86,"hazr-","")&amp;"-nsg"</f>
        <v>l-mon-whtap01-nsg</v>
      </c>
      <c r="F86" s="82" t="s">
        <v>572</v>
      </c>
      <c r="G86" s="74" t="s">
        <v>282</v>
      </c>
      <c r="H86" s="74" t="s">
        <v>577</v>
      </c>
      <c r="I86" s="74" t="s">
        <v>579</v>
      </c>
      <c r="J86" s="74" t="s">
        <v>572</v>
      </c>
      <c r="K86" s="74" t="s">
        <v>582</v>
      </c>
      <c r="L86" s="74" t="s">
        <v>566</v>
      </c>
      <c r="M86" s="74" t="s">
        <v>592</v>
      </c>
    </row>
    <row r="87" spans="1:13" x14ac:dyDescent="0.3">
      <c r="A87" s="110"/>
      <c r="B87" s="80" t="s">
        <v>586</v>
      </c>
      <c r="C87" s="80" t="str" cm="1">
        <f t="array" ref="C87">UPPER(INDEX(_xlfn.TEXTSPLIT($D87, "-"), 3))</f>
        <v>MON</v>
      </c>
      <c r="D87" s="80" t="s">
        <v>572</v>
      </c>
      <c r="E87" s="80" t="str">
        <f t="shared" si="5"/>
        <v>l-mon-whtap02-nsg</v>
      </c>
      <c r="F87" s="80" t="s">
        <v>572</v>
      </c>
      <c r="G87" s="73" t="s">
        <v>282</v>
      </c>
      <c r="H87" s="73" t="s">
        <v>577</v>
      </c>
      <c r="I87" s="73" t="s">
        <v>578</v>
      </c>
      <c r="J87" s="73" t="s">
        <v>572</v>
      </c>
      <c r="K87" s="73" t="s">
        <v>583</v>
      </c>
      <c r="L87" s="73" t="s">
        <v>566</v>
      </c>
      <c r="M87" s="73" t="s">
        <v>592</v>
      </c>
    </row>
    <row r="88" spans="1:13" x14ac:dyDescent="0.3">
      <c r="A88" s="110"/>
      <c r="B88" s="82" t="s">
        <v>586</v>
      </c>
      <c r="C88" s="82" t="str" cm="1">
        <f t="array" ref="C88">UPPER(INDEX(_xlfn.TEXTSPLIT($D88, "-"), 3))</f>
        <v>MON</v>
      </c>
      <c r="D88" s="82" t="s">
        <v>572</v>
      </c>
      <c r="E88" s="82" t="str">
        <f t="shared" si="5"/>
        <v>l-mon-whtap03-nsg</v>
      </c>
      <c r="F88" s="82" t="s">
        <v>572</v>
      </c>
      <c r="G88" s="74" t="s">
        <v>282</v>
      </c>
      <c r="H88" s="74" t="s">
        <v>577</v>
      </c>
      <c r="I88" s="74" t="s">
        <v>588</v>
      </c>
      <c r="J88" s="74" t="s">
        <v>572</v>
      </c>
      <c r="K88" s="74" t="s">
        <v>590</v>
      </c>
      <c r="L88" s="74" t="s">
        <v>566</v>
      </c>
      <c r="M88" s="74" t="s">
        <v>591</v>
      </c>
    </row>
    <row r="89" spans="1:13" x14ac:dyDescent="0.3">
      <c r="A89" s="97"/>
      <c r="B89" s="80" t="s">
        <v>182</v>
      </c>
      <c r="C89" s="80" t="str" cm="1">
        <f t="array" ref="C89">UPPER(INDEX(_xlfn.TEXTSPLIT($D89, "-"), 3))</f>
        <v>DCH</v>
      </c>
      <c r="D89" s="80" t="s">
        <v>198</v>
      </c>
      <c r="E89" s="80" t="str">
        <f t="shared" si="5"/>
        <v>t-if-icsweb01-nsg</v>
      </c>
      <c r="F89" s="80" t="s">
        <v>198</v>
      </c>
      <c r="G89" s="73" t="s">
        <v>199</v>
      </c>
      <c r="H89" s="73" t="s">
        <v>338</v>
      </c>
      <c r="I89" s="73" t="s">
        <v>595</v>
      </c>
      <c r="J89" s="73" t="s">
        <v>474</v>
      </c>
      <c r="K89" s="73" t="str">
        <f>SUBSTITUTE(I89,"hazr-","")&amp;"-nic"</f>
        <v>t-if-icsweb01-nic</v>
      </c>
      <c r="L89" s="73" t="s">
        <v>566</v>
      </c>
      <c r="M89" s="73" t="s">
        <v>597</v>
      </c>
    </row>
    <row r="90" spans="1:13" x14ac:dyDescent="0.3">
      <c r="A90" s="97"/>
      <c r="B90" s="82" t="s">
        <v>182</v>
      </c>
      <c r="C90" s="82" t="str" cm="1">
        <f t="array" ref="C90">UPPER(INDEX(_xlfn.TEXTSPLIT($D90, "-"), 3))</f>
        <v>COM</v>
      </c>
      <c r="D90" s="82" t="s">
        <v>613</v>
      </c>
      <c r="E90" s="82" t="str">
        <f t="shared" si="5"/>
        <v>t-com-esnweb01-nsg</v>
      </c>
      <c r="F90" s="82" t="s">
        <v>198</v>
      </c>
      <c r="G90" s="74" t="s">
        <v>199</v>
      </c>
      <c r="H90" s="74" t="s">
        <v>336</v>
      </c>
      <c r="I90" s="74" t="s">
        <v>614</v>
      </c>
      <c r="J90" s="74" t="s">
        <v>613</v>
      </c>
      <c r="K90" s="74" t="str">
        <f>SUBSTITUTE(I90,"hazr-","")&amp;"-nic"</f>
        <v>t-com-esnweb01-nic</v>
      </c>
      <c r="L90" s="74" t="s">
        <v>566</v>
      </c>
      <c r="M90" s="74" t="s">
        <v>624</v>
      </c>
    </row>
    <row r="91" spans="1:13" x14ac:dyDescent="0.3">
      <c r="A91" s="97"/>
      <c r="B91" s="80" t="s">
        <v>182</v>
      </c>
      <c r="C91" s="80" t="str" cm="1">
        <f t="array" ref="C91">UPPER(INDEX(_xlfn.TEXTSPLIT($D91, "-"), 3))</f>
        <v>COM</v>
      </c>
      <c r="D91" s="80" t="s">
        <v>613</v>
      </c>
      <c r="E91" s="80" t="str">
        <f t="shared" si="5"/>
        <v>t-com-esnwas01-nsg</v>
      </c>
      <c r="F91" s="80" t="s">
        <v>198</v>
      </c>
      <c r="G91" s="73" t="s">
        <v>200</v>
      </c>
      <c r="H91" s="73" t="s">
        <v>318</v>
      </c>
      <c r="I91" s="73" t="s">
        <v>615</v>
      </c>
      <c r="J91" s="73" t="s">
        <v>613</v>
      </c>
      <c r="K91" s="73" t="str">
        <f t="shared" ref="K91:K92" si="6">SUBSTITUTE(I91,"hazr-","")&amp;"-nic"</f>
        <v>t-com-esnwas01-nic</v>
      </c>
      <c r="L91" s="73" t="s">
        <v>566</v>
      </c>
      <c r="M91" s="73" t="s">
        <v>624</v>
      </c>
    </row>
    <row r="92" spans="1:13" x14ac:dyDescent="0.3">
      <c r="B92" s="82" t="s">
        <v>182</v>
      </c>
      <c r="C92" s="82" t="str" cm="1">
        <f t="array" ref="C92">UPPER(INDEX(_xlfn.TEXTSPLIT($D92, "-"), 3))</f>
        <v>COM</v>
      </c>
      <c r="D92" s="82" t="s">
        <v>613</v>
      </c>
      <c r="E92" s="82" t="str">
        <f t="shared" ref="E92" si="7">SUBSTITUTE(I92,"hazr-","")&amp;"-nsg"</f>
        <v>t-dtg-bbigeoap01-nsg</v>
      </c>
      <c r="F92" s="82" t="s">
        <v>198</v>
      </c>
      <c r="G92" s="74" t="s">
        <v>200</v>
      </c>
      <c r="H92" s="74" t="s">
        <v>310</v>
      </c>
      <c r="I92" s="74" t="s">
        <v>622</v>
      </c>
      <c r="J92" s="74" t="s">
        <v>383</v>
      </c>
      <c r="K92" s="74" t="str">
        <f>SUBSTITUTE(I92,"hazr-","")&amp;"-nic"</f>
        <v>t-dtg-bbigeoap01-nic</v>
      </c>
      <c r="L92" s="74" t="s">
        <v>566</v>
      </c>
      <c r="M92" s="115" t="s">
        <v>625</v>
      </c>
    </row>
  </sheetData>
  <phoneticPr fontId="1" type="noConversion"/>
  <conditionalFormatting sqref="E1:E1048576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2" t="s">
        <v>23</v>
      </c>
      <c r="B15" s="52" t="s">
        <v>29</v>
      </c>
      <c r="C15" s="52" t="s">
        <v>96</v>
      </c>
      <c r="D15" s="52"/>
      <c r="E15" s="52"/>
      <c r="F15" s="52" t="s">
        <v>42</v>
      </c>
      <c r="G15" s="52"/>
      <c r="H15" s="53"/>
      <c r="I15" s="54"/>
      <c r="J15" s="54"/>
      <c r="K15" s="54"/>
      <c r="L15" s="54"/>
      <c r="M15" s="53"/>
    </row>
    <row r="16" spans="1:16" x14ac:dyDescent="0.3">
      <c r="A16" s="52" t="s">
        <v>23</v>
      </c>
      <c r="B16" s="52" t="s">
        <v>29</v>
      </c>
      <c r="C16" s="52" t="s">
        <v>96</v>
      </c>
      <c r="D16" s="52"/>
      <c r="E16" s="52"/>
      <c r="F16" s="52" t="s">
        <v>42</v>
      </c>
      <c r="G16" s="52"/>
      <c r="H16" s="52"/>
      <c r="I16" s="55"/>
      <c r="J16" s="55"/>
      <c r="K16" s="55"/>
      <c r="L16" s="55"/>
      <c r="M16" s="52"/>
    </row>
    <row r="17" spans="1:13" x14ac:dyDescent="0.3">
      <c r="A17" s="52" t="s">
        <v>23</v>
      </c>
      <c r="B17" s="52" t="s">
        <v>29</v>
      </c>
      <c r="C17" s="52" t="s">
        <v>95</v>
      </c>
      <c r="D17" s="52"/>
      <c r="E17" s="52"/>
      <c r="F17" s="52" t="s">
        <v>42</v>
      </c>
      <c r="G17" s="52"/>
      <c r="H17" s="52"/>
      <c r="I17" s="55"/>
      <c r="J17" s="55"/>
      <c r="K17" s="55"/>
      <c r="L17" s="55"/>
      <c r="M17" s="52"/>
    </row>
    <row r="18" spans="1:13" x14ac:dyDescent="0.3">
      <c r="A18" s="56" t="s">
        <v>23</v>
      </c>
      <c r="B18" s="56" t="s">
        <v>29</v>
      </c>
      <c r="C18" s="52" t="s">
        <v>95</v>
      </c>
      <c r="D18" s="57">
        <v>4096</v>
      </c>
      <c r="E18" s="57" t="s">
        <v>72</v>
      </c>
      <c r="F18" s="56" t="s">
        <v>42</v>
      </c>
      <c r="G18" s="57" t="s">
        <v>43</v>
      </c>
      <c r="H18" s="58" t="s">
        <v>59</v>
      </c>
      <c r="I18" s="59" t="s">
        <v>58</v>
      </c>
      <c r="J18" s="59" t="s">
        <v>58</v>
      </c>
      <c r="K18" s="59" t="s">
        <v>68</v>
      </c>
      <c r="L18" s="59" t="s">
        <v>58</v>
      </c>
      <c r="M18" s="57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0" t="s">
        <v>23</v>
      </c>
      <c r="B24" s="52" t="s">
        <v>30</v>
      </c>
      <c r="C24" s="52" t="s">
        <v>97</v>
      </c>
      <c r="D24" s="52"/>
      <c r="E24" s="52"/>
      <c r="F24" s="52" t="s">
        <v>42</v>
      </c>
      <c r="G24" s="52"/>
      <c r="H24" s="53"/>
      <c r="I24" s="54"/>
      <c r="J24" s="54"/>
      <c r="K24" s="54"/>
      <c r="L24" s="54"/>
      <c r="M24" s="61"/>
    </row>
    <row r="25" spans="1:13" x14ac:dyDescent="0.3">
      <c r="A25" s="60" t="s">
        <v>23</v>
      </c>
      <c r="B25" s="52" t="s">
        <v>30</v>
      </c>
      <c r="C25" s="52" t="s">
        <v>97</v>
      </c>
      <c r="D25" s="52"/>
      <c r="E25" s="52"/>
      <c r="F25" s="52" t="s">
        <v>42</v>
      </c>
      <c r="G25" s="52"/>
      <c r="H25" s="52"/>
      <c r="I25" s="55"/>
      <c r="J25" s="55"/>
      <c r="K25" s="55"/>
      <c r="L25" s="55"/>
      <c r="M25" s="62"/>
    </row>
    <row r="26" spans="1:13" x14ac:dyDescent="0.3">
      <c r="A26" s="60" t="s">
        <v>23</v>
      </c>
      <c r="B26" s="52" t="s">
        <v>30</v>
      </c>
      <c r="C26" s="52" t="s">
        <v>97</v>
      </c>
      <c r="D26" s="52"/>
      <c r="E26" s="52"/>
      <c r="F26" s="52" t="s">
        <v>42</v>
      </c>
      <c r="G26" s="52"/>
      <c r="H26" s="52"/>
      <c r="I26" s="55"/>
      <c r="J26" s="55"/>
      <c r="K26" s="55"/>
      <c r="L26" s="55"/>
      <c r="M26" s="62"/>
    </row>
    <row r="27" spans="1:13" ht="17.25" thickBot="1" x14ac:dyDescent="0.35">
      <c r="A27" s="63" t="s">
        <v>23</v>
      </c>
      <c r="B27" s="64" t="s">
        <v>30</v>
      </c>
      <c r="C27" s="64" t="s">
        <v>97</v>
      </c>
      <c r="D27" s="65">
        <v>4096</v>
      </c>
      <c r="E27" s="65" t="s">
        <v>72</v>
      </c>
      <c r="F27" s="64" t="s">
        <v>42</v>
      </c>
      <c r="G27" s="65" t="s">
        <v>43</v>
      </c>
      <c r="H27" s="66" t="s">
        <v>59</v>
      </c>
      <c r="I27" s="67" t="s">
        <v>58</v>
      </c>
      <c r="J27" s="67" t="s">
        <v>58</v>
      </c>
      <c r="K27" s="67" t="s">
        <v>68</v>
      </c>
      <c r="L27" s="67" t="s">
        <v>58</v>
      </c>
      <c r="M27" s="68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sheetPr>
    <tabColor rgb="FF00B050"/>
  </sheetPr>
  <dimension ref="A1:J40"/>
  <sheetViews>
    <sheetView workbookViewId="0">
      <selection activeCell="J2" sqref="J2"/>
    </sheetView>
  </sheetViews>
  <sheetFormatPr defaultRowHeight="13.5" x14ac:dyDescent="0.3"/>
  <cols>
    <col min="1" max="1" width="1.875" style="1" customWidth="1"/>
    <col min="2" max="3" width="9" style="93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77" t="s">
        <v>0</v>
      </c>
      <c r="C1" s="77" t="s">
        <v>1</v>
      </c>
      <c r="D1" s="72" t="s">
        <v>100</v>
      </c>
      <c r="E1" s="72" t="s">
        <v>3</v>
      </c>
      <c r="F1" s="72" t="s">
        <v>218</v>
      </c>
      <c r="G1" s="72" t="s">
        <v>217</v>
      </c>
      <c r="H1" s="72" t="s">
        <v>235</v>
      </c>
      <c r="I1" s="72" t="s">
        <v>252</v>
      </c>
      <c r="J1" s="72" t="s">
        <v>254</v>
      </c>
    </row>
    <row r="2" spans="1:10" x14ac:dyDescent="0.3">
      <c r="A2" s="90"/>
      <c r="B2" s="74" t="s">
        <v>182</v>
      </c>
      <c r="C2" s="74" t="str" cm="1">
        <f t="array" ref="C2">UPPER(INDEX(_xlfn.TEXTSPLIT($F2, "-"), 3))</f>
        <v>EXT</v>
      </c>
      <c r="D2" s="74" t="s">
        <v>198</v>
      </c>
      <c r="E2" s="74" t="s">
        <v>24</v>
      </c>
      <c r="F2" s="74" t="s">
        <v>215</v>
      </c>
      <c r="G2" s="74" t="s">
        <v>219</v>
      </c>
      <c r="H2" s="74" t="s">
        <v>236</v>
      </c>
      <c r="I2" s="74" t="s">
        <v>253</v>
      </c>
      <c r="J2" s="74" t="s">
        <v>608</v>
      </c>
    </row>
    <row r="3" spans="1:10" x14ac:dyDescent="0.3">
      <c r="A3" s="90"/>
      <c r="B3" s="84" t="s">
        <v>182</v>
      </c>
      <c r="C3" s="84" t="str" cm="1">
        <f t="array" ref="C3">UPPER(INDEX(_xlfn.TEXTSPLIT($F3, "-"), 3))</f>
        <v>EXT</v>
      </c>
      <c r="D3" s="84" t="s">
        <v>198</v>
      </c>
      <c r="E3" s="84" t="s">
        <v>24</v>
      </c>
      <c r="F3" s="84" t="s">
        <v>215</v>
      </c>
      <c r="G3" s="84" t="s">
        <v>220</v>
      </c>
      <c r="H3" s="84" t="s">
        <v>237</v>
      </c>
      <c r="I3" s="84" t="s">
        <v>253</v>
      </c>
      <c r="J3" s="84" t="s">
        <v>255</v>
      </c>
    </row>
    <row r="4" spans="1:10" x14ac:dyDescent="0.3">
      <c r="A4" s="90"/>
      <c r="B4" s="74" t="s">
        <v>182</v>
      </c>
      <c r="C4" s="74" t="str" cm="1">
        <f t="array" ref="C4">UPPER(INDEX(_xlfn.TEXTSPLIT($F4, "-"), 3))</f>
        <v>EXT</v>
      </c>
      <c r="D4" s="74" t="s">
        <v>198</v>
      </c>
      <c r="E4" s="74" t="s">
        <v>24</v>
      </c>
      <c r="F4" s="74" t="s">
        <v>215</v>
      </c>
      <c r="G4" s="74" t="s">
        <v>221</v>
      </c>
      <c r="H4" s="74" t="s">
        <v>238</v>
      </c>
      <c r="I4" s="74" t="s">
        <v>253</v>
      </c>
      <c r="J4" s="74" t="s">
        <v>255</v>
      </c>
    </row>
    <row r="5" spans="1:10" x14ac:dyDescent="0.3">
      <c r="A5" s="90"/>
      <c r="B5" s="84" t="s">
        <v>182</v>
      </c>
      <c r="C5" s="84" t="str" cm="1">
        <f t="array" ref="C5">UPPER(INDEX(_xlfn.TEXTSPLIT($F5, "-"), 3))</f>
        <v>EXT</v>
      </c>
      <c r="D5" s="84" t="s">
        <v>198</v>
      </c>
      <c r="E5" s="84" t="s">
        <v>24</v>
      </c>
      <c r="F5" s="84" t="s">
        <v>215</v>
      </c>
      <c r="G5" s="84" t="s">
        <v>222</v>
      </c>
      <c r="H5" s="84" t="s">
        <v>239</v>
      </c>
      <c r="I5" s="84" t="s">
        <v>253</v>
      </c>
      <c r="J5" s="84" t="s">
        <v>255</v>
      </c>
    </row>
    <row r="6" spans="1:10" x14ac:dyDescent="0.3">
      <c r="A6" s="90"/>
      <c r="B6" s="74" t="s">
        <v>182</v>
      </c>
      <c r="C6" s="74" t="str" cm="1">
        <f t="array" ref="C6">UPPER(INDEX(_xlfn.TEXTSPLIT($F6, "-"), 3))</f>
        <v>EXT</v>
      </c>
      <c r="D6" s="74" t="s">
        <v>198</v>
      </c>
      <c r="E6" s="74" t="s">
        <v>24</v>
      </c>
      <c r="F6" s="74" t="s">
        <v>215</v>
      </c>
      <c r="G6" s="74" t="s">
        <v>223</v>
      </c>
      <c r="H6" s="74" t="s">
        <v>240</v>
      </c>
      <c r="I6" s="74" t="s">
        <v>253</v>
      </c>
      <c r="J6" s="74" t="s">
        <v>255</v>
      </c>
    </row>
    <row r="7" spans="1:10" x14ac:dyDescent="0.3">
      <c r="A7" s="90"/>
      <c r="B7" s="84" t="s">
        <v>182</v>
      </c>
      <c r="C7" s="84" t="str" cm="1">
        <f t="array" ref="C7">UPPER(INDEX(_xlfn.TEXTSPLIT($F7, "-"), 3))</f>
        <v>EXT</v>
      </c>
      <c r="D7" s="84" t="s">
        <v>198</v>
      </c>
      <c r="E7" s="84" t="s">
        <v>24</v>
      </c>
      <c r="F7" s="84" t="s">
        <v>215</v>
      </c>
      <c r="G7" s="84" t="s">
        <v>224</v>
      </c>
      <c r="H7" s="84" t="s">
        <v>241</v>
      </c>
      <c r="I7" s="84" t="s">
        <v>253</v>
      </c>
      <c r="J7" s="84" t="s">
        <v>255</v>
      </c>
    </row>
    <row r="8" spans="1:10" x14ac:dyDescent="0.3">
      <c r="A8" s="90"/>
      <c r="B8" s="74" t="s">
        <v>182</v>
      </c>
      <c r="C8" s="74" t="str" cm="1">
        <f t="array" ref="C8">UPPER(INDEX(_xlfn.TEXTSPLIT($F8, "-"), 3))</f>
        <v>EXT</v>
      </c>
      <c r="D8" s="74" t="s">
        <v>198</v>
      </c>
      <c r="E8" s="74" t="s">
        <v>24</v>
      </c>
      <c r="F8" s="74" t="s">
        <v>215</v>
      </c>
      <c r="G8" s="74" t="s">
        <v>256</v>
      </c>
      <c r="H8" s="74" t="s">
        <v>257</v>
      </c>
      <c r="I8" s="74" t="s">
        <v>253</v>
      </c>
      <c r="J8" s="74" t="s">
        <v>255</v>
      </c>
    </row>
    <row r="9" spans="1:10" x14ac:dyDescent="0.3">
      <c r="A9" s="90"/>
      <c r="B9" s="84" t="s">
        <v>182</v>
      </c>
      <c r="C9" s="84" t="str" cm="1">
        <f t="array" ref="C9">UPPER(INDEX(_xlfn.TEXTSPLIT($F9, "-"), 3))</f>
        <v>EXT</v>
      </c>
      <c r="D9" s="84" t="s">
        <v>198</v>
      </c>
      <c r="E9" s="84" t="s">
        <v>24</v>
      </c>
      <c r="F9" s="84" t="s">
        <v>215</v>
      </c>
      <c r="G9" s="84" t="s">
        <v>258</v>
      </c>
      <c r="H9" s="84" t="s">
        <v>292</v>
      </c>
      <c r="I9" s="84" t="s">
        <v>253</v>
      </c>
      <c r="J9" s="84" t="s">
        <v>255</v>
      </c>
    </row>
    <row r="10" spans="1:10" x14ac:dyDescent="0.3">
      <c r="A10" s="90"/>
      <c r="B10" s="74" t="s">
        <v>182</v>
      </c>
      <c r="C10" s="74" t="str" cm="1">
        <f t="array" ref="C10">UPPER(INDEX(_xlfn.TEXTSPLIT($F10, "-"), 3))</f>
        <v>EXT</v>
      </c>
      <c r="D10" s="74" t="s">
        <v>198</v>
      </c>
      <c r="E10" s="74" t="s">
        <v>24</v>
      </c>
      <c r="F10" s="74" t="s">
        <v>215</v>
      </c>
      <c r="G10" s="74" t="s">
        <v>259</v>
      </c>
      <c r="H10" s="74" t="s">
        <v>293</v>
      </c>
      <c r="I10" s="74" t="s">
        <v>253</v>
      </c>
      <c r="J10" s="74" t="s">
        <v>255</v>
      </c>
    </row>
    <row r="11" spans="1:10" x14ac:dyDescent="0.3">
      <c r="A11" s="90"/>
      <c r="B11" s="84" t="s">
        <v>182</v>
      </c>
      <c r="C11" s="84" t="str" cm="1">
        <f t="array" ref="C11">UPPER(INDEX(_xlfn.TEXTSPLIT($F11, "-"), 3))</f>
        <v>EXT</v>
      </c>
      <c r="D11" s="84" t="s">
        <v>198</v>
      </c>
      <c r="E11" s="84" t="s">
        <v>24</v>
      </c>
      <c r="F11" s="84" t="s">
        <v>215</v>
      </c>
      <c r="G11" s="84" t="s">
        <v>260</v>
      </c>
      <c r="H11" s="84" t="s">
        <v>294</v>
      </c>
      <c r="I11" s="84" t="s">
        <v>253</v>
      </c>
      <c r="J11" s="84" t="s">
        <v>255</v>
      </c>
    </row>
    <row r="12" spans="1:10" x14ac:dyDescent="0.3">
      <c r="A12" s="90"/>
      <c r="B12" s="84" t="s">
        <v>182</v>
      </c>
      <c r="C12" s="84" t="str" cm="1">
        <f t="array" ref="C12">UPPER(INDEX(_xlfn.TEXTSPLIT($F12, "-"), 3))</f>
        <v>EXT</v>
      </c>
      <c r="D12" s="84" t="s">
        <v>198</v>
      </c>
      <c r="E12" s="84" t="s">
        <v>24</v>
      </c>
      <c r="F12" s="84" t="s">
        <v>215</v>
      </c>
      <c r="G12" s="84" t="s">
        <v>225</v>
      </c>
      <c r="H12" s="84" t="s">
        <v>242</v>
      </c>
      <c r="I12" s="84" t="s">
        <v>253</v>
      </c>
      <c r="J12" s="84" t="s">
        <v>255</v>
      </c>
    </row>
    <row r="13" spans="1:10" x14ac:dyDescent="0.3">
      <c r="A13" s="90"/>
      <c r="B13" s="74" t="s">
        <v>182</v>
      </c>
      <c r="C13" s="74" t="str" cm="1">
        <f t="array" ref="C13">UPPER(INDEX(_xlfn.TEXTSPLIT($F13, "-"), 3))</f>
        <v>EXT</v>
      </c>
      <c r="D13" s="74" t="s">
        <v>198</v>
      </c>
      <c r="E13" s="74" t="s">
        <v>24</v>
      </c>
      <c r="F13" s="74" t="s">
        <v>215</v>
      </c>
      <c r="G13" s="74" t="s">
        <v>226</v>
      </c>
      <c r="H13" s="74" t="s">
        <v>243</v>
      </c>
      <c r="I13" s="74" t="s">
        <v>253</v>
      </c>
      <c r="J13" s="74" t="s">
        <v>255</v>
      </c>
    </row>
    <row r="14" spans="1:10" x14ac:dyDescent="0.3">
      <c r="A14" s="90"/>
      <c r="B14" s="84" t="s">
        <v>182</v>
      </c>
      <c r="C14" s="84" t="str" cm="1">
        <f t="array" ref="C14">UPPER(INDEX(_xlfn.TEXTSPLIT($F14, "-"), 3))</f>
        <v>EXT</v>
      </c>
      <c r="D14" s="84" t="s">
        <v>198</v>
      </c>
      <c r="E14" s="84" t="s">
        <v>24</v>
      </c>
      <c r="F14" s="84" t="s">
        <v>215</v>
      </c>
      <c r="G14" s="84" t="s">
        <v>227</v>
      </c>
      <c r="H14" s="84" t="s">
        <v>244</v>
      </c>
      <c r="I14" s="84" t="s">
        <v>253</v>
      </c>
      <c r="J14" s="84" t="s">
        <v>255</v>
      </c>
    </row>
    <row r="15" spans="1:10" x14ac:dyDescent="0.3">
      <c r="A15" s="90"/>
      <c r="B15" s="74" t="s">
        <v>182</v>
      </c>
      <c r="C15" s="74" t="str" cm="1">
        <f t="array" ref="C15">UPPER(INDEX(_xlfn.TEXTSPLIT($F15, "-"), 3))</f>
        <v>EXT</v>
      </c>
      <c r="D15" s="74" t="s">
        <v>198</v>
      </c>
      <c r="E15" s="74" t="s">
        <v>24</v>
      </c>
      <c r="F15" s="74" t="s">
        <v>215</v>
      </c>
      <c r="G15" s="74" t="s">
        <v>228</v>
      </c>
      <c r="H15" s="74" t="s">
        <v>245</v>
      </c>
      <c r="I15" s="74" t="s">
        <v>253</v>
      </c>
      <c r="J15" s="74" t="s">
        <v>255</v>
      </c>
    </row>
    <row r="16" spans="1:10" x14ac:dyDescent="0.3">
      <c r="A16" s="90"/>
      <c r="B16" s="84" t="s">
        <v>182</v>
      </c>
      <c r="C16" s="84" t="str" cm="1">
        <f t="array" ref="C16">UPPER(INDEX(_xlfn.TEXTSPLIT($F16, "-"), 3))</f>
        <v>EXT</v>
      </c>
      <c r="D16" s="84" t="s">
        <v>198</v>
      </c>
      <c r="E16" s="84" t="s">
        <v>24</v>
      </c>
      <c r="F16" s="84" t="s">
        <v>215</v>
      </c>
      <c r="G16" s="84" t="s">
        <v>229</v>
      </c>
      <c r="H16" s="84" t="s">
        <v>246</v>
      </c>
      <c r="I16" s="84" t="s">
        <v>253</v>
      </c>
      <c r="J16" s="84" t="s">
        <v>255</v>
      </c>
    </row>
    <row r="17" spans="1:10" x14ac:dyDescent="0.3">
      <c r="A17" s="90"/>
      <c r="B17" s="74" t="s">
        <v>182</v>
      </c>
      <c r="C17" s="74" t="str" cm="1">
        <f t="array" ref="C17">UPPER(INDEX(_xlfn.TEXTSPLIT($F17, "-"), 3))</f>
        <v>EXT</v>
      </c>
      <c r="D17" s="74" t="s">
        <v>198</v>
      </c>
      <c r="E17" s="74" t="s">
        <v>24</v>
      </c>
      <c r="F17" s="74" t="s">
        <v>215</v>
      </c>
      <c r="G17" s="74" t="s">
        <v>230</v>
      </c>
      <c r="H17" s="74" t="s">
        <v>247</v>
      </c>
      <c r="I17" s="74" t="s">
        <v>253</v>
      </c>
      <c r="J17" s="74" t="s">
        <v>255</v>
      </c>
    </row>
    <row r="18" spans="1:10" x14ac:dyDescent="0.3">
      <c r="A18" s="90"/>
      <c r="B18" s="84" t="s">
        <v>182</v>
      </c>
      <c r="C18" s="84" t="str" cm="1">
        <f t="array" ref="C18">UPPER(INDEX(_xlfn.TEXTSPLIT($F18, "-"), 3))</f>
        <v>EXT</v>
      </c>
      <c r="D18" s="84" t="s">
        <v>198</v>
      </c>
      <c r="E18" s="84" t="s">
        <v>24</v>
      </c>
      <c r="F18" s="84" t="s">
        <v>215</v>
      </c>
      <c r="G18" s="84" t="s">
        <v>231</v>
      </c>
      <c r="H18" s="84" t="s">
        <v>248</v>
      </c>
      <c r="I18" s="84" t="s">
        <v>253</v>
      </c>
      <c r="J18" s="84" t="s">
        <v>255</v>
      </c>
    </row>
    <row r="19" spans="1:10" x14ac:dyDescent="0.3">
      <c r="A19" s="90"/>
      <c r="B19" s="74" t="s">
        <v>182</v>
      </c>
      <c r="C19" s="74" t="str" cm="1">
        <f t="array" ref="C19">UPPER(INDEX(_xlfn.TEXTSPLIT($F19, "-"), 3))</f>
        <v>EXT</v>
      </c>
      <c r="D19" s="74" t="s">
        <v>198</v>
      </c>
      <c r="E19" s="74" t="s">
        <v>24</v>
      </c>
      <c r="F19" s="74" t="s">
        <v>215</v>
      </c>
      <c r="G19" s="74" t="s">
        <v>232</v>
      </c>
      <c r="H19" s="74" t="s">
        <v>249</v>
      </c>
      <c r="I19" s="74" t="s">
        <v>253</v>
      </c>
      <c r="J19" s="74" t="s">
        <v>255</v>
      </c>
    </row>
    <row r="20" spans="1:10" x14ac:dyDescent="0.3">
      <c r="A20" s="90"/>
      <c r="B20" s="84" t="s">
        <v>182</v>
      </c>
      <c r="C20" s="84" t="str" cm="1">
        <f t="array" ref="C20">UPPER(INDEX(_xlfn.TEXTSPLIT($F20, "-"), 3))</f>
        <v>EXT</v>
      </c>
      <c r="D20" s="84" t="s">
        <v>198</v>
      </c>
      <c r="E20" s="84" t="s">
        <v>24</v>
      </c>
      <c r="F20" s="84" t="s">
        <v>215</v>
      </c>
      <c r="G20" s="84" t="s">
        <v>233</v>
      </c>
      <c r="H20" s="84" t="s">
        <v>250</v>
      </c>
      <c r="I20" s="84" t="s">
        <v>253</v>
      </c>
      <c r="J20" s="84" t="s">
        <v>255</v>
      </c>
    </row>
    <row r="21" spans="1:10" x14ac:dyDescent="0.3">
      <c r="A21" s="90"/>
      <c r="B21" s="74" t="s">
        <v>182</v>
      </c>
      <c r="C21" s="74" t="str" cm="1">
        <f t="array" ref="C21">UPPER(INDEX(_xlfn.TEXTSPLIT($F21, "-"), 3))</f>
        <v>EXT</v>
      </c>
      <c r="D21" s="74" t="s">
        <v>198</v>
      </c>
      <c r="E21" s="74" t="s">
        <v>24</v>
      </c>
      <c r="F21" s="74" t="s">
        <v>215</v>
      </c>
      <c r="G21" s="74" t="s">
        <v>234</v>
      </c>
      <c r="H21" s="74" t="s">
        <v>251</v>
      </c>
      <c r="I21" s="74" t="s">
        <v>253</v>
      </c>
      <c r="J21" s="74" t="s">
        <v>255</v>
      </c>
    </row>
    <row r="22" spans="1:10" ht="8.25" customHeight="1" x14ac:dyDescent="0.3">
      <c r="A22" s="91"/>
      <c r="B22" s="92"/>
      <c r="C22" s="92"/>
      <c r="D22" s="92"/>
      <c r="E22" s="92"/>
      <c r="F22" s="92"/>
      <c r="G22" s="92"/>
      <c r="H22" s="92"/>
      <c r="I22" s="92"/>
      <c r="J22" s="92"/>
    </row>
    <row r="23" spans="1:10" x14ac:dyDescent="0.3">
      <c r="A23" s="90"/>
      <c r="B23" s="84" t="s">
        <v>182</v>
      </c>
      <c r="C23" s="84" t="str" cm="1">
        <f t="array" ref="C23">UPPER(INDEX(_xlfn.TEXTSPLIT($F23, "-"), 3))</f>
        <v>INT</v>
      </c>
      <c r="D23" s="84" t="s">
        <v>198</v>
      </c>
      <c r="E23" s="84" t="s">
        <v>24</v>
      </c>
      <c r="F23" s="84" t="s">
        <v>216</v>
      </c>
      <c r="G23" s="84" t="s">
        <v>219</v>
      </c>
      <c r="H23" s="84" t="s">
        <v>236</v>
      </c>
      <c r="I23" s="84" t="s">
        <v>253</v>
      </c>
      <c r="J23" s="84" t="s">
        <v>607</v>
      </c>
    </row>
    <row r="24" spans="1:10" x14ac:dyDescent="0.3">
      <c r="A24" s="90"/>
      <c r="B24" s="74" t="s">
        <v>182</v>
      </c>
      <c r="C24" s="74" t="str" cm="1">
        <f t="array" ref="C24">UPPER(INDEX(_xlfn.TEXTSPLIT($F24, "-"), 3))</f>
        <v>INT</v>
      </c>
      <c r="D24" s="74" t="s">
        <v>198</v>
      </c>
      <c r="E24" s="74" t="s">
        <v>24</v>
      </c>
      <c r="F24" s="74" t="s">
        <v>216</v>
      </c>
      <c r="G24" s="74" t="s">
        <v>220</v>
      </c>
      <c r="H24" s="74" t="s">
        <v>237</v>
      </c>
      <c r="I24" s="74" t="s">
        <v>253</v>
      </c>
      <c r="J24" s="74" t="s">
        <v>255</v>
      </c>
    </row>
    <row r="25" spans="1:10" x14ac:dyDescent="0.3">
      <c r="A25" s="90"/>
      <c r="B25" s="84" t="s">
        <v>182</v>
      </c>
      <c r="C25" s="84" t="str" cm="1">
        <f t="array" ref="C25">UPPER(INDEX(_xlfn.TEXTSPLIT($F25, "-"), 3))</f>
        <v>INT</v>
      </c>
      <c r="D25" s="84" t="s">
        <v>198</v>
      </c>
      <c r="E25" s="84" t="s">
        <v>24</v>
      </c>
      <c r="F25" s="84" t="s">
        <v>216</v>
      </c>
      <c r="G25" s="84" t="s">
        <v>221</v>
      </c>
      <c r="H25" s="84" t="s">
        <v>238</v>
      </c>
      <c r="I25" s="84" t="s">
        <v>253</v>
      </c>
      <c r="J25" s="84" t="s">
        <v>255</v>
      </c>
    </row>
    <row r="26" spans="1:10" x14ac:dyDescent="0.3">
      <c r="A26" s="90"/>
      <c r="B26" s="74" t="s">
        <v>182</v>
      </c>
      <c r="C26" s="74" t="str" cm="1">
        <f t="array" ref="C26">UPPER(INDEX(_xlfn.TEXTSPLIT($F26, "-"), 3))</f>
        <v>INT</v>
      </c>
      <c r="D26" s="74" t="s">
        <v>198</v>
      </c>
      <c r="E26" s="74" t="s">
        <v>24</v>
      </c>
      <c r="F26" s="74" t="s">
        <v>216</v>
      </c>
      <c r="G26" s="74" t="s">
        <v>222</v>
      </c>
      <c r="H26" s="74" t="s">
        <v>239</v>
      </c>
      <c r="I26" s="74" t="s">
        <v>253</v>
      </c>
      <c r="J26" s="74" t="s">
        <v>255</v>
      </c>
    </row>
    <row r="27" spans="1:10" x14ac:dyDescent="0.3">
      <c r="A27" s="90"/>
      <c r="B27" s="84" t="s">
        <v>182</v>
      </c>
      <c r="C27" s="84" t="str" cm="1">
        <f t="array" ref="C27">UPPER(INDEX(_xlfn.TEXTSPLIT($F27, "-"), 3))</f>
        <v>INT</v>
      </c>
      <c r="D27" s="84" t="s">
        <v>198</v>
      </c>
      <c r="E27" s="84" t="s">
        <v>24</v>
      </c>
      <c r="F27" s="84" t="s">
        <v>216</v>
      </c>
      <c r="G27" s="84" t="s">
        <v>223</v>
      </c>
      <c r="H27" s="84" t="s">
        <v>240</v>
      </c>
      <c r="I27" s="84" t="s">
        <v>253</v>
      </c>
      <c r="J27" s="84" t="s">
        <v>255</v>
      </c>
    </row>
    <row r="28" spans="1:10" x14ac:dyDescent="0.3">
      <c r="A28" s="90"/>
      <c r="B28" s="74" t="s">
        <v>182</v>
      </c>
      <c r="C28" s="74" t="str" cm="1">
        <f t="array" ref="C28">UPPER(INDEX(_xlfn.TEXTSPLIT($F28, "-"), 3))</f>
        <v>INT</v>
      </c>
      <c r="D28" s="74" t="s">
        <v>198</v>
      </c>
      <c r="E28" s="74" t="s">
        <v>24</v>
      </c>
      <c r="F28" s="74" t="s">
        <v>216</v>
      </c>
      <c r="G28" s="74" t="s">
        <v>282</v>
      </c>
      <c r="H28" s="74" t="s">
        <v>241</v>
      </c>
      <c r="I28" s="74" t="s">
        <v>253</v>
      </c>
      <c r="J28" s="74" t="s">
        <v>255</v>
      </c>
    </row>
    <row r="29" spans="1:10" x14ac:dyDescent="0.3">
      <c r="A29" s="90"/>
      <c r="B29" s="84" t="s">
        <v>182</v>
      </c>
      <c r="C29" s="84" t="str" cm="1">
        <f t="array" ref="C29">UPPER(INDEX(_xlfn.TEXTSPLIT($F29, "-"), 3))</f>
        <v>INT</v>
      </c>
      <c r="D29" s="84" t="s">
        <v>198</v>
      </c>
      <c r="E29" s="84" t="s">
        <v>24</v>
      </c>
      <c r="F29" s="84" t="s">
        <v>216</v>
      </c>
      <c r="G29" s="84" t="s">
        <v>256</v>
      </c>
      <c r="H29" s="84" t="s">
        <v>257</v>
      </c>
      <c r="I29" s="84" t="s">
        <v>253</v>
      </c>
      <c r="J29" s="84" t="s">
        <v>255</v>
      </c>
    </row>
    <row r="30" spans="1:10" x14ac:dyDescent="0.3">
      <c r="A30" s="90"/>
      <c r="B30" s="74" t="s">
        <v>182</v>
      </c>
      <c r="C30" s="74" t="str" cm="1">
        <f t="array" ref="C30">UPPER(INDEX(_xlfn.TEXTSPLIT($F30, "-"), 3))</f>
        <v>INT</v>
      </c>
      <c r="D30" s="74" t="s">
        <v>198</v>
      </c>
      <c r="E30" s="74" t="s">
        <v>24</v>
      </c>
      <c r="F30" s="74" t="s">
        <v>216</v>
      </c>
      <c r="G30" s="74" t="s">
        <v>283</v>
      </c>
      <c r="H30" s="74" t="s">
        <v>324</v>
      </c>
      <c r="I30" s="74" t="s">
        <v>253</v>
      </c>
      <c r="J30" s="74" t="s">
        <v>255</v>
      </c>
    </row>
    <row r="31" spans="1:10" x14ac:dyDescent="0.3">
      <c r="A31" s="90"/>
      <c r="B31" s="74" t="s">
        <v>182</v>
      </c>
      <c r="C31" s="74" t="str" cm="1">
        <f t="array" ref="C31">UPPER(INDEX(_xlfn.TEXTSPLIT($F31, "-"), 3))</f>
        <v>INT</v>
      </c>
      <c r="D31" s="74" t="s">
        <v>198</v>
      </c>
      <c r="E31" s="74" t="s">
        <v>24</v>
      </c>
      <c r="F31" s="74" t="s">
        <v>216</v>
      </c>
      <c r="G31" s="74" t="s">
        <v>225</v>
      </c>
      <c r="H31" s="74" t="s">
        <v>242</v>
      </c>
      <c r="I31" s="74" t="s">
        <v>253</v>
      </c>
      <c r="J31" s="74" t="s">
        <v>255</v>
      </c>
    </row>
    <row r="32" spans="1:10" x14ac:dyDescent="0.3">
      <c r="A32" s="90"/>
      <c r="B32" s="84" t="s">
        <v>182</v>
      </c>
      <c r="C32" s="84" t="str" cm="1">
        <f t="array" ref="C32">UPPER(INDEX(_xlfn.TEXTSPLIT($F32, "-"), 3))</f>
        <v>INT</v>
      </c>
      <c r="D32" s="84" t="s">
        <v>198</v>
      </c>
      <c r="E32" s="84" t="s">
        <v>24</v>
      </c>
      <c r="F32" s="84" t="s">
        <v>216</v>
      </c>
      <c r="G32" s="84" t="s">
        <v>226</v>
      </c>
      <c r="H32" s="84" t="s">
        <v>243</v>
      </c>
      <c r="I32" s="84" t="s">
        <v>253</v>
      </c>
      <c r="J32" s="84" t="s">
        <v>255</v>
      </c>
    </row>
    <row r="33" spans="1:10" x14ac:dyDescent="0.3">
      <c r="A33" s="90"/>
      <c r="B33" s="74" t="s">
        <v>182</v>
      </c>
      <c r="C33" s="74" t="str" cm="1">
        <f t="array" ref="C33">UPPER(INDEX(_xlfn.TEXTSPLIT($F33, "-"), 3))</f>
        <v>INT</v>
      </c>
      <c r="D33" s="74" t="s">
        <v>198</v>
      </c>
      <c r="E33" s="74" t="s">
        <v>24</v>
      </c>
      <c r="F33" s="74" t="s">
        <v>216</v>
      </c>
      <c r="G33" s="74" t="s">
        <v>227</v>
      </c>
      <c r="H33" s="74" t="s">
        <v>244</v>
      </c>
      <c r="I33" s="74" t="s">
        <v>253</v>
      </c>
      <c r="J33" s="74" t="s">
        <v>255</v>
      </c>
    </row>
    <row r="34" spans="1:10" x14ac:dyDescent="0.3">
      <c r="A34" s="90"/>
      <c r="B34" s="84" t="s">
        <v>182</v>
      </c>
      <c r="C34" s="84" t="str" cm="1">
        <f t="array" ref="C34">UPPER(INDEX(_xlfn.TEXTSPLIT($F34, "-"), 3))</f>
        <v>INT</v>
      </c>
      <c r="D34" s="84" t="s">
        <v>198</v>
      </c>
      <c r="E34" s="84" t="s">
        <v>24</v>
      </c>
      <c r="F34" s="84" t="s">
        <v>216</v>
      </c>
      <c r="G34" s="84" t="s">
        <v>228</v>
      </c>
      <c r="H34" s="84" t="s">
        <v>245</v>
      </c>
      <c r="I34" s="84" t="s">
        <v>253</v>
      </c>
      <c r="J34" s="84" t="s">
        <v>255</v>
      </c>
    </row>
    <row r="35" spans="1:10" x14ac:dyDescent="0.3">
      <c r="A35" s="90"/>
      <c r="B35" s="74" t="s">
        <v>182</v>
      </c>
      <c r="C35" s="74" t="str" cm="1">
        <f t="array" ref="C35">UPPER(INDEX(_xlfn.TEXTSPLIT($F35, "-"), 3))</f>
        <v>INT</v>
      </c>
      <c r="D35" s="74" t="s">
        <v>198</v>
      </c>
      <c r="E35" s="74" t="s">
        <v>24</v>
      </c>
      <c r="F35" s="74" t="s">
        <v>216</v>
      </c>
      <c r="G35" s="74" t="s">
        <v>229</v>
      </c>
      <c r="H35" s="74" t="s">
        <v>246</v>
      </c>
      <c r="I35" s="74" t="s">
        <v>253</v>
      </c>
      <c r="J35" s="74" t="s">
        <v>255</v>
      </c>
    </row>
    <row r="36" spans="1:10" x14ac:dyDescent="0.3">
      <c r="A36" s="90"/>
      <c r="B36" s="84" t="s">
        <v>182</v>
      </c>
      <c r="C36" s="84" t="str" cm="1">
        <f t="array" ref="C36">UPPER(INDEX(_xlfn.TEXTSPLIT($F36, "-"), 3))</f>
        <v>INT</v>
      </c>
      <c r="D36" s="84" t="s">
        <v>198</v>
      </c>
      <c r="E36" s="84" t="s">
        <v>24</v>
      </c>
      <c r="F36" s="84" t="s">
        <v>216</v>
      </c>
      <c r="G36" s="84" t="s">
        <v>230</v>
      </c>
      <c r="H36" s="84" t="s">
        <v>247</v>
      </c>
      <c r="I36" s="84" t="s">
        <v>253</v>
      </c>
      <c r="J36" s="84" t="s">
        <v>255</v>
      </c>
    </row>
    <row r="37" spans="1:10" x14ac:dyDescent="0.3">
      <c r="A37" s="90"/>
      <c r="B37" s="74" t="s">
        <v>182</v>
      </c>
      <c r="C37" s="74" t="str" cm="1">
        <f t="array" ref="C37">UPPER(INDEX(_xlfn.TEXTSPLIT($F37, "-"), 3))</f>
        <v>INT</v>
      </c>
      <c r="D37" s="74" t="s">
        <v>198</v>
      </c>
      <c r="E37" s="74" t="s">
        <v>24</v>
      </c>
      <c r="F37" s="74" t="s">
        <v>216</v>
      </c>
      <c r="G37" s="74" t="s">
        <v>231</v>
      </c>
      <c r="H37" s="74" t="s">
        <v>248</v>
      </c>
      <c r="I37" s="74" t="s">
        <v>253</v>
      </c>
      <c r="J37" s="74" t="s">
        <v>255</v>
      </c>
    </row>
    <row r="38" spans="1:10" x14ac:dyDescent="0.3">
      <c r="A38" s="90"/>
      <c r="B38" s="84" t="s">
        <v>182</v>
      </c>
      <c r="C38" s="84" t="str" cm="1">
        <f t="array" ref="C38">UPPER(INDEX(_xlfn.TEXTSPLIT($F38, "-"), 3))</f>
        <v>INT</v>
      </c>
      <c r="D38" s="84" t="s">
        <v>198</v>
      </c>
      <c r="E38" s="84" t="s">
        <v>24</v>
      </c>
      <c r="F38" s="84" t="s">
        <v>216</v>
      </c>
      <c r="G38" s="84" t="s">
        <v>232</v>
      </c>
      <c r="H38" s="84" t="s">
        <v>249</v>
      </c>
      <c r="I38" s="84" t="s">
        <v>253</v>
      </c>
      <c r="J38" s="84" t="s">
        <v>255</v>
      </c>
    </row>
    <row r="39" spans="1:10" x14ac:dyDescent="0.3">
      <c r="A39" s="90"/>
      <c r="B39" s="74" t="s">
        <v>182</v>
      </c>
      <c r="C39" s="74" t="str" cm="1">
        <f t="array" ref="C39">UPPER(INDEX(_xlfn.TEXTSPLIT($F39, "-"), 3))</f>
        <v>INT</v>
      </c>
      <c r="D39" s="74" t="s">
        <v>198</v>
      </c>
      <c r="E39" s="74" t="s">
        <v>24</v>
      </c>
      <c r="F39" s="74" t="s">
        <v>216</v>
      </c>
      <c r="G39" s="74" t="s">
        <v>233</v>
      </c>
      <c r="H39" s="74" t="s">
        <v>250</v>
      </c>
      <c r="I39" s="74" t="s">
        <v>253</v>
      </c>
      <c r="J39" s="74" t="s">
        <v>255</v>
      </c>
    </row>
    <row r="40" spans="1:10" x14ac:dyDescent="0.3">
      <c r="A40" s="90"/>
      <c r="B40" s="84" t="s">
        <v>182</v>
      </c>
      <c r="C40" s="84" t="str" cm="1">
        <f t="array" ref="C40">UPPER(INDEX(_xlfn.TEXTSPLIT($F40, "-"), 3))</f>
        <v>INT</v>
      </c>
      <c r="D40" s="84" t="s">
        <v>198</v>
      </c>
      <c r="E40" s="84" t="s">
        <v>24</v>
      </c>
      <c r="F40" s="84" t="s">
        <v>216</v>
      </c>
      <c r="G40" s="84" t="s">
        <v>234</v>
      </c>
      <c r="H40" s="84" t="s">
        <v>251</v>
      </c>
      <c r="I40" s="84" t="s">
        <v>253</v>
      </c>
      <c r="J40" s="84" t="s">
        <v>255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dimension ref="A1:Q41"/>
  <sheetViews>
    <sheetView topLeftCell="A19" workbookViewId="0">
      <selection activeCell="B41" sqref="B41"/>
    </sheetView>
  </sheetViews>
  <sheetFormatPr defaultRowHeight="16.5" x14ac:dyDescent="0.3"/>
  <cols>
    <col min="1" max="1" width="2.25" customWidth="1"/>
    <col min="4" max="4" width="11.375" bestFit="1" customWidth="1"/>
    <col min="5" max="5" width="10.875" bestFit="1" customWidth="1"/>
    <col min="6" max="6" width="20.75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125" bestFit="1" customWidth="1"/>
    <col min="20" max="21" width="15" bestFit="1" customWidth="1"/>
    <col min="27" max="27" width="19.125" customWidth="1"/>
  </cols>
  <sheetData>
    <row r="1" spans="1:17" x14ac:dyDescent="0.3">
      <c r="B1" s="77" t="s">
        <v>0</v>
      </c>
      <c r="C1" s="77" t="s">
        <v>1</v>
      </c>
      <c r="D1" s="72" t="s">
        <v>100</v>
      </c>
      <c r="E1" s="72" t="s">
        <v>3</v>
      </c>
      <c r="F1" s="72" t="s">
        <v>99</v>
      </c>
      <c r="G1" s="72" t="s">
        <v>101</v>
      </c>
      <c r="H1" s="72" t="s">
        <v>125</v>
      </c>
      <c r="I1" s="72" t="s">
        <v>124</v>
      </c>
      <c r="J1" s="72" t="s">
        <v>103</v>
      </c>
      <c r="K1" s="72" t="s">
        <v>104</v>
      </c>
      <c r="L1" s="72" t="s">
        <v>128</v>
      </c>
      <c r="M1" s="79" t="s">
        <v>105</v>
      </c>
      <c r="N1" s="79" t="s">
        <v>106</v>
      </c>
      <c r="O1" s="79" t="s">
        <v>107</v>
      </c>
      <c r="P1" s="79" t="s">
        <v>109</v>
      </c>
      <c r="Q1" s="72" t="s">
        <v>110</v>
      </c>
    </row>
    <row r="2" spans="1:17" x14ac:dyDescent="0.3">
      <c r="A2" s="97"/>
      <c r="B2" s="74" t="s">
        <v>182</v>
      </c>
      <c r="C2" s="74" t="str" cm="1">
        <f t="array" ref="C2">UPPER(INDEX(_xlfn.TEXTSPLIT($D2, "-"), 3))</f>
        <v>BDP</v>
      </c>
      <c r="D2" s="74" t="s">
        <v>384</v>
      </c>
      <c r="E2" s="74" t="s">
        <v>24</v>
      </c>
      <c r="F2" s="74" t="s">
        <v>382</v>
      </c>
      <c r="G2" s="74" t="s">
        <v>111</v>
      </c>
      <c r="H2" s="74" t="s">
        <v>610</v>
      </c>
      <c r="I2" s="74" t="s">
        <v>609</v>
      </c>
      <c r="J2" s="74" t="s">
        <v>102</v>
      </c>
      <c r="K2" s="74" t="str">
        <f t="shared" ref="K2:K40" si="0">SUBSTITUTE(F2, "hazr-", "")&amp;"-fe"</f>
        <v>t-bdp-crkml-lb-fe</v>
      </c>
      <c r="L2" s="74" t="s">
        <v>198</v>
      </c>
      <c r="M2" s="74" t="s">
        <v>200</v>
      </c>
      <c r="N2" s="74" t="s">
        <v>313</v>
      </c>
      <c r="O2" s="74" t="s">
        <v>108</v>
      </c>
      <c r="P2" s="74" t="s">
        <v>473</v>
      </c>
      <c r="Q2" s="87" t="str">
        <f t="shared" ref="Q2:Q40" si="1">SUBSTITUTE(F2, "hazr-", "")&amp;"-bp"</f>
        <v>t-bdp-crkml-lb-bp</v>
      </c>
    </row>
    <row r="3" spans="1:17" x14ac:dyDescent="0.3">
      <c r="A3" s="97"/>
      <c r="B3" s="84" t="s">
        <v>182</v>
      </c>
      <c r="C3" s="84" t="str" cm="1">
        <f t="array" ref="C3">UPPER(INDEX(_xlfn.TEXTSPLIT($D3, "-"), 3))</f>
        <v>BDP</v>
      </c>
      <c r="D3" s="84" t="s">
        <v>384</v>
      </c>
      <c r="E3" s="84" t="s">
        <v>24</v>
      </c>
      <c r="F3" s="84" t="s">
        <v>381</v>
      </c>
      <c r="G3" s="84" t="s">
        <v>111</v>
      </c>
      <c r="H3" s="84" t="s">
        <v>610</v>
      </c>
      <c r="I3" s="84" t="s">
        <v>609</v>
      </c>
      <c r="J3" s="84" t="s">
        <v>102</v>
      </c>
      <c r="K3" s="84" t="str">
        <f t="shared" si="0"/>
        <v>t-bdp-crkap-lb-fe</v>
      </c>
      <c r="L3" s="84" t="s">
        <v>198</v>
      </c>
      <c r="M3" s="84" t="s">
        <v>200</v>
      </c>
      <c r="N3" s="84" t="s">
        <v>313</v>
      </c>
      <c r="O3" s="84" t="s">
        <v>108</v>
      </c>
      <c r="P3" s="84" t="s">
        <v>472</v>
      </c>
      <c r="Q3" s="85" t="str">
        <f t="shared" si="1"/>
        <v>t-bdp-crkap-lb-bp</v>
      </c>
    </row>
    <row r="4" spans="1:17" x14ac:dyDescent="0.3">
      <c r="A4" s="97"/>
      <c r="B4" s="74" t="s">
        <v>182</v>
      </c>
      <c r="C4" s="74" t="str" cm="1">
        <f t="array" ref="C4">UPPER(INDEX(_xlfn.TEXTSPLIT($D4, "-"), 3))</f>
        <v>BDP</v>
      </c>
      <c r="D4" s="74" t="s">
        <v>384</v>
      </c>
      <c r="E4" s="74" t="s">
        <v>24</v>
      </c>
      <c r="F4" s="74" t="s">
        <v>367</v>
      </c>
      <c r="G4" s="74" t="s">
        <v>111</v>
      </c>
      <c r="H4" s="74" t="s">
        <v>610</v>
      </c>
      <c r="I4" s="74" t="s">
        <v>609</v>
      </c>
      <c r="J4" s="74" t="s">
        <v>102</v>
      </c>
      <c r="K4" s="74" t="str">
        <f t="shared" si="0"/>
        <v>t-bdp-slap-lb-fe</v>
      </c>
      <c r="L4" s="74" t="s">
        <v>198</v>
      </c>
      <c r="M4" s="74" t="s">
        <v>200</v>
      </c>
      <c r="N4" s="74" t="s">
        <v>313</v>
      </c>
      <c r="O4" s="74" t="s">
        <v>108</v>
      </c>
      <c r="P4" s="74" t="s">
        <v>464</v>
      </c>
      <c r="Q4" s="87" t="str">
        <f t="shared" si="1"/>
        <v>t-bdp-slap-lb-bp</v>
      </c>
    </row>
    <row r="5" spans="1:17" x14ac:dyDescent="0.3">
      <c r="A5" s="97"/>
      <c r="B5" s="84" t="s">
        <v>182</v>
      </c>
      <c r="C5" s="84" t="str" cm="1">
        <f t="array" ref="C5">UPPER(INDEX(_xlfn.TEXTSPLIT($D5, "-"), 3))</f>
        <v>BDP</v>
      </c>
      <c r="D5" s="84" t="s">
        <v>384</v>
      </c>
      <c r="E5" s="84" t="s">
        <v>24</v>
      </c>
      <c r="F5" s="84" t="s">
        <v>366</v>
      </c>
      <c r="G5" s="84" t="s">
        <v>111</v>
      </c>
      <c r="H5" s="84" t="s">
        <v>610</v>
      </c>
      <c r="I5" s="84" t="s">
        <v>609</v>
      </c>
      <c r="J5" s="84" t="s">
        <v>102</v>
      </c>
      <c r="K5" s="84" t="str">
        <f t="shared" si="0"/>
        <v>t-bdp-cxmadm-lb-fe</v>
      </c>
      <c r="L5" s="84" t="s">
        <v>198</v>
      </c>
      <c r="M5" s="84" t="s">
        <v>200</v>
      </c>
      <c r="N5" s="84" t="s">
        <v>313</v>
      </c>
      <c r="O5" s="84" t="s">
        <v>108</v>
      </c>
      <c r="P5" s="84" t="s">
        <v>463</v>
      </c>
      <c r="Q5" s="85" t="str">
        <f t="shared" si="1"/>
        <v>t-bdp-cxmadm-lb-bp</v>
      </c>
    </row>
    <row r="6" spans="1:17" x14ac:dyDescent="0.3">
      <c r="A6" s="97"/>
      <c r="B6" s="74" t="s">
        <v>182</v>
      </c>
      <c r="C6" s="74" t="str" cm="1">
        <f t="array" ref="C6">UPPER(INDEX(_xlfn.TEXTSPLIT($D6, "-"), 3))</f>
        <v>BDP</v>
      </c>
      <c r="D6" s="74" t="s">
        <v>384</v>
      </c>
      <c r="E6" s="74" t="s">
        <v>24</v>
      </c>
      <c r="F6" s="74" t="s">
        <v>380</v>
      </c>
      <c r="G6" s="74" t="s">
        <v>111</v>
      </c>
      <c r="H6" s="74" t="s">
        <v>610</v>
      </c>
      <c r="I6" s="74" t="s">
        <v>609</v>
      </c>
      <c r="J6" s="74" t="s">
        <v>102</v>
      </c>
      <c r="K6" s="74" t="str">
        <f t="shared" si="0"/>
        <v>t-bdp-crkweb-lb-fe</v>
      </c>
      <c r="L6" s="74" t="s">
        <v>198</v>
      </c>
      <c r="M6" s="74" t="s">
        <v>199</v>
      </c>
      <c r="N6" s="74" t="s">
        <v>332</v>
      </c>
      <c r="O6" s="74" t="s">
        <v>108</v>
      </c>
      <c r="P6" s="74" t="s">
        <v>471</v>
      </c>
      <c r="Q6" s="87" t="str">
        <f t="shared" si="1"/>
        <v>t-bdp-crkweb-lb-bp</v>
      </c>
    </row>
    <row r="7" spans="1:17" x14ac:dyDescent="0.3">
      <c r="A7" s="97"/>
      <c r="B7" s="84" t="s">
        <v>182</v>
      </c>
      <c r="C7" s="84" t="str" cm="1">
        <f t="array" ref="C7">UPPER(INDEX(_xlfn.TEXTSPLIT($D7, "-"), 3))</f>
        <v>CS</v>
      </c>
      <c r="D7" s="84" t="s">
        <v>205</v>
      </c>
      <c r="E7" s="84" t="s">
        <v>24</v>
      </c>
      <c r="F7" s="84" t="s">
        <v>376</v>
      </c>
      <c r="G7" s="84" t="s">
        <v>111</v>
      </c>
      <c r="H7" s="84" t="s">
        <v>610</v>
      </c>
      <c r="I7" s="84" t="s">
        <v>609</v>
      </c>
      <c r="J7" s="84" t="s">
        <v>102</v>
      </c>
      <c r="K7" s="84" t="str">
        <f t="shared" si="0"/>
        <v>t-cs-chtintweb-lb-fe</v>
      </c>
      <c r="L7" s="84" t="s">
        <v>198</v>
      </c>
      <c r="M7" s="84" t="s">
        <v>200</v>
      </c>
      <c r="N7" s="84" t="s">
        <v>208</v>
      </c>
      <c r="O7" s="84" t="s">
        <v>108</v>
      </c>
      <c r="P7" s="84" t="s">
        <v>467</v>
      </c>
      <c r="Q7" s="85" t="str">
        <f t="shared" si="1"/>
        <v>t-cs-chtintweb-lb-bp</v>
      </c>
    </row>
    <row r="8" spans="1:17" x14ac:dyDescent="0.3">
      <c r="A8" s="97"/>
      <c r="B8" s="74" t="s">
        <v>182</v>
      </c>
      <c r="C8" s="74" t="str" cm="1">
        <f t="array" ref="C8">UPPER(INDEX(_xlfn.TEXTSPLIT($D8, "-"), 3))</f>
        <v>CS</v>
      </c>
      <c r="D8" s="74" t="s">
        <v>205</v>
      </c>
      <c r="E8" s="74" t="s">
        <v>24</v>
      </c>
      <c r="F8" s="74" t="s">
        <v>374</v>
      </c>
      <c r="G8" s="74" t="s">
        <v>111</v>
      </c>
      <c r="H8" s="74" t="s">
        <v>610</v>
      </c>
      <c r="I8" s="74" t="s">
        <v>609</v>
      </c>
      <c r="J8" s="74" t="s">
        <v>102</v>
      </c>
      <c r="K8" s="74" t="str">
        <f t="shared" si="0"/>
        <v>t-cs-chtap-lb-fe</v>
      </c>
      <c r="L8" s="74" t="s">
        <v>198</v>
      </c>
      <c r="M8" s="74" t="s">
        <v>200</v>
      </c>
      <c r="N8" s="74" t="s">
        <v>208</v>
      </c>
      <c r="O8" s="74" t="s">
        <v>108</v>
      </c>
      <c r="P8" s="74" t="s">
        <v>465</v>
      </c>
      <c r="Q8" s="87" t="str">
        <f t="shared" si="1"/>
        <v>t-cs-chtap-lb-bp</v>
      </c>
    </row>
    <row r="9" spans="1:17" x14ac:dyDescent="0.3">
      <c r="A9" s="97"/>
      <c r="B9" s="84" t="s">
        <v>182</v>
      </c>
      <c r="C9" s="84" t="str" cm="1">
        <f t="array" ref="C9">UPPER(INDEX(_xlfn.TEXTSPLIT($D9, "-"), 3))</f>
        <v>CS</v>
      </c>
      <c r="D9" s="84" t="s">
        <v>205</v>
      </c>
      <c r="E9" s="84" t="s">
        <v>24</v>
      </c>
      <c r="F9" s="84" t="s">
        <v>375</v>
      </c>
      <c r="G9" s="84" t="s">
        <v>111</v>
      </c>
      <c r="H9" s="84" t="s">
        <v>610</v>
      </c>
      <c r="I9" s="84" t="s">
        <v>609</v>
      </c>
      <c r="J9" s="84" t="s">
        <v>102</v>
      </c>
      <c r="K9" s="84" t="str">
        <f t="shared" si="0"/>
        <v>t-cs-chtweb-lb-fe</v>
      </c>
      <c r="L9" s="84" t="s">
        <v>198</v>
      </c>
      <c r="M9" s="84" t="s">
        <v>199</v>
      </c>
      <c r="N9" s="84" t="s">
        <v>209</v>
      </c>
      <c r="O9" s="84" t="s">
        <v>108</v>
      </c>
      <c r="P9" s="84" t="s">
        <v>466</v>
      </c>
      <c r="Q9" s="85" t="str">
        <f t="shared" si="1"/>
        <v>t-cs-chtweb-lb-bp</v>
      </c>
    </row>
    <row r="10" spans="1:17" x14ac:dyDescent="0.3">
      <c r="A10" s="97"/>
      <c r="B10" s="84" t="s">
        <v>182</v>
      </c>
      <c r="C10" s="84" t="str" cm="1">
        <f t="array" ref="C10">UPPER(INDEX(_xlfn.TEXTSPLIT($D10, "-"), 3))</f>
        <v>DIS</v>
      </c>
      <c r="D10" s="84" t="s">
        <v>286</v>
      </c>
      <c r="E10" s="84" t="s">
        <v>24</v>
      </c>
      <c r="F10" s="84" t="s">
        <v>346</v>
      </c>
      <c r="G10" s="84" t="s">
        <v>111</v>
      </c>
      <c r="H10" s="84" t="s">
        <v>610</v>
      </c>
      <c r="I10" s="84" t="s">
        <v>609</v>
      </c>
      <c r="J10" s="84" t="s">
        <v>102</v>
      </c>
      <c r="K10" s="84" t="str">
        <f t="shared" si="0"/>
        <v>t-dis-drvmsgap-lb-fe</v>
      </c>
      <c r="L10" s="84" t="s">
        <v>198</v>
      </c>
      <c r="M10" s="84" t="s">
        <v>200</v>
      </c>
      <c r="N10" s="84" t="s">
        <v>288</v>
      </c>
      <c r="O10" s="84" t="s">
        <v>108</v>
      </c>
      <c r="P10" s="84" t="s">
        <v>442</v>
      </c>
      <c r="Q10" s="85" t="str">
        <f t="shared" si="1"/>
        <v>t-dis-drvmsgap-lb-bp</v>
      </c>
    </row>
    <row r="11" spans="1:17" x14ac:dyDescent="0.3">
      <c r="A11" s="97"/>
      <c r="B11" s="74" t="s">
        <v>182</v>
      </c>
      <c r="C11" s="74" t="str" cm="1">
        <f t="array" ref="C11">UPPER(INDEX(_xlfn.TEXTSPLIT($D11, "-"), 3))</f>
        <v>DIS</v>
      </c>
      <c r="D11" s="74" t="s">
        <v>286</v>
      </c>
      <c r="E11" s="74" t="s">
        <v>24</v>
      </c>
      <c r="F11" s="74" t="s">
        <v>345</v>
      </c>
      <c r="G11" s="74" t="s">
        <v>111</v>
      </c>
      <c r="H11" s="74" t="s">
        <v>610</v>
      </c>
      <c r="I11" s="74" t="s">
        <v>609</v>
      </c>
      <c r="J11" s="74" t="s">
        <v>102</v>
      </c>
      <c r="K11" s="74" t="str">
        <f t="shared" si="0"/>
        <v>t-dis-drvcltap-lb-fe</v>
      </c>
      <c r="L11" s="74" t="s">
        <v>198</v>
      </c>
      <c r="M11" s="74" t="s">
        <v>200</v>
      </c>
      <c r="N11" s="74" t="s">
        <v>288</v>
      </c>
      <c r="O11" s="74" t="s">
        <v>108</v>
      </c>
      <c r="P11" s="74" t="s">
        <v>441</v>
      </c>
      <c r="Q11" s="87" t="str">
        <f t="shared" si="1"/>
        <v>t-dis-drvcltap-lb-bp</v>
      </c>
    </row>
    <row r="12" spans="1:17" x14ac:dyDescent="0.3">
      <c r="A12" s="97"/>
      <c r="B12" s="74" t="s">
        <v>182</v>
      </c>
      <c r="C12" s="74" t="str" cm="1">
        <f t="array" ref="C12">UPPER(INDEX(_xlfn.TEXTSPLIT($D12, "-"), 3))</f>
        <v>DIS</v>
      </c>
      <c r="D12" s="74" t="s">
        <v>286</v>
      </c>
      <c r="E12" s="74" t="s">
        <v>24</v>
      </c>
      <c r="F12" s="74" t="s">
        <v>344</v>
      </c>
      <c r="G12" s="74" t="s">
        <v>111</v>
      </c>
      <c r="H12" s="74" t="s">
        <v>610</v>
      </c>
      <c r="I12" s="74" t="s">
        <v>609</v>
      </c>
      <c r="J12" s="74" t="s">
        <v>102</v>
      </c>
      <c r="K12" s="74" t="str">
        <f t="shared" si="0"/>
        <v>t-dis-bbimsgap-lb-fe</v>
      </c>
      <c r="L12" s="74" t="s">
        <v>198</v>
      </c>
      <c r="M12" s="74" t="s">
        <v>200</v>
      </c>
      <c r="N12" s="74" t="s">
        <v>288</v>
      </c>
      <c r="O12" s="74" t="s">
        <v>108</v>
      </c>
      <c r="P12" s="74" t="s">
        <v>440</v>
      </c>
      <c r="Q12" s="87" t="str">
        <f t="shared" si="1"/>
        <v>t-dis-bbimsgap-lb-bp</v>
      </c>
    </row>
    <row r="13" spans="1:17" x14ac:dyDescent="0.3">
      <c r="A13" s="97"/>
      <c r="B13" s="84" t="s">
        <v>182</v>
      </c>
      <c r="C13" s="84" t="str" cm="1">
        <f t="array" ref="C13">UPPER(INDEX(_xlfn.TEXTSPLIT($D13, "-"), 3))</f>
        <v>DIS</v>
      </c>
      <c r="D13" s="84" t="s">
        <v>286</v>
      </c>
      <c r="E13" s="84" t="s">
        <v>24</v>
      </c>
      <c r="F13" s="84" t="s">
        <v>343</v>
      </c>
      <c r="G13" s="84" t="s">
        <v>111</v>
      </c>
      <c r="H13" s="84" t="s">
        <v>610</v>
      </c>
      <c r="I13" s="84" t="s">
        <v>609</v>
      </c>
      <c r="J13" s="84" t="s">
        <v>102</v>
      </c>
      <c r="K13" s="84" t="str">
        <f t="shared" si="0"/>
        <v>t-dis-bbicltap-lb-fe</v>
      </c>
      <c r="L13" s="84" t="s">
        <v>198</v>
      </c>
      <c r="M13" s="84" t="s">
        <v>200</v>
      </c>
      <c r="N13" s="84" t="s">
        <v>288</v>
      </c>
      <c r="O13" s="84" t="s">
        <v>108</v>
      </c>
      <c r="P13" s="84" t="s">
        <v>439</v>
      </c>
      <c r="Q13" s="85" t="str">
        <f t="shared" si="1"/>
        <v>t-dis-bbicltap-lb-bp</v>
      </c>
    </row>
    <row r="14" spans="1:17" x14ac:dyDescent="0.3">
      <c r="A14" s="97"/>
      <c r="B14" s="74" t="s">
        <v>182</v>
      </c>
      <c r="C14" s="74" t="str" cm="1">
        <f t="array" ref="C14">UPPER(INDEX(_xlfn.TEXTSPLIT($D14, "-"), 3))</f>
        <v>DIS</v>
      </c>
      <c r="D14" s="74" t="s">
        <v>286</v>
      </c>
      <c r="E14" s="74" t="s">
        <v>24</v>
      </c>
      <c r="F14" s="74" t="s">
        <v>341</v>
      </c>
      <c r="G14" s="74" t="s">
        <v>111</v>
      </c>
      <c r="H14" s="74" t="s">
        <v>610</v>
      </c>
      <c r="I14" s="74" t="s">
        <v>609</v>
      </c>
      <c r="J14" s="74" t="s">
        <v>102</v>
      </c>
      <c r="K14" s="74" t="str">
        <f t="shared" si="0"/>
        <v>t-dis-adm-lb-fe</v>
      </c>
      <c r="L14" s="74" t="s">
        <v>198</v>
      </c>
      <c r="M14" s="74" t="s">
        <v>200</v>
      </c>
      <c r="N14" s="74" t="s">
        <v>288</v>
      </c>
      <c r="O14" s="74" t="s">
        <v>108</v>
      </c>
      <c r="P14" s="74" t="s">
        <v>438</v>
      </c>
      <c r="Q14" s="87" t="str">
        <f t="shared" si="1"/>
        <v>t-dis-adm-lb-bp</v>
      </c>
    </row>
    <row r="15" spans="1:17" x14ac:dyDescent="0.3">
      <c r="A15" s="97"/>
      <c r="B15" s="84" t="s">
        <v>182</v>
      </c>
      <c r="C15" s="84" t="str" cm="1">
        <f t="array" ref="C15">UPPER(INDEX(_xlfn.TEXTSPLIT($D15, "-"), 3))</f>
        <v>DIS</v>
      </c>
      <c r="D15" s="84" t="s">
        <v>286</v>
      </c>
      <c r="E15" s="84" t="s">
        <v>24</v>
      </c>
      <c r="F15" s="84" t="s">
        <v>350</v>
      </c>
      <c r="G15" s="84" t="s">
        <v>111</v>
      </c>
      <c r="H15" s="84" t="s">
        <v>610</v>
      </c>
      <c r="I15" s="84" t="s">
        <v>609</v>
      </c>
      <c r="J15" s="84" t="s">
        <v>102</v>
      </c>
      <c r="K15" s="84" t="str">
        <f t="shared" si="0"/>
        <v>t-dis-cmbsap-lb-fe</v>
      </c>
      <c r="L15" s="84" t="s">
        <v>198</v>
      </c>
      <c r="M15" s="84" t="s">
        <v>200</v>
      </c>
      <c r="N15" s="84" t="s">
        <v>288</v>
      </c>
      <c r="O15" s="84" t="s">
        <v>108</v>
      </c>
      <c r="P15" s="84" t="s">
        <v>447</v>
      </c>
      <c r="Q15" s="85" t="str">
        <f t="shared" si="1"/>
        <v>t-dis-cmbsap-lb-bp</v>
      </c>
    </row>
    <row r="16" spans="1:17" x14ac:dyDescent="0.3">
      <c r="A16" s="97"/>
      <c r="B16" s="74" t="s">
        <v>182</v>
      </c>
      <c r="C16" s="74" t="str" cm="1">
        <f t="array" ref="C16">UPPER(INDEX(_xlfn.TEXTSPLIT($D16, "-"), 3))</f>
        <v>DIS</v>
      </c>
      <c r="D16" s="74" t="s">
        <v>286</v>
      </c>
      <c r="E16" s="74" t="s">
        <v>24</v>
      </c>
      <c r="F16" s="74" t="s">
        <v>348</v>
      </c>
      <c r="G16" s="74" t="s">
        <v>111</v>
      </c>
      <c r="H16" s="74" t="s">
        <v>610</v>
      </c>
      <c r="I16" s="74" t="s">
        <v>609</v>
      </c>
      <c r="J16" s="74" t="s">
        <v>102</v>
      </c>
      <c r="K16" s="74" t="str">
        <f t="shared" si="0"/>
        <v>t-dis-cmsap-lb-fe</v>
      </c>
      <c r="L16" s="74" t="s">
        <v>198</v>
      </c>
      <c r="M16" s="74" t="s">
        <v>200</v>
      </c>
      <c r="N16" s="74" t="s">
        <v>288</v>
      </c>
      <c r="O16" s="74" t="s">
        <v>108</v>
      </c>
      <c r="P16" s="74" t="s">
        <v>445</v>
      </c>
      <c r="Q16" s="87" t="str">
        <f t="shared" si="1"/>
        <v>t-dis-cmsap-lb-bp</v>
      </c>
    </row>
    <row r="17" spans="1:17" x14ac:dyDescent="0.3">
      <c r="A17" s="97"/>
      <c r="B17" s="84" t="s">
        <v>182</v>
      </c>
      <c r="C17" s="84" t="str" cm="1">
        <f t="array" ref="C17">UPPER(INDEX(_xlfn.TEXTSPLIT($D17, "-"), 3))</f>
        <v>DIS</v>
      </c>
      <c r="D17" s="84" t="s">
        <v>286</v>
      </c>
      <c r="E17" s="84" t="s">
        <v>24</v>
      </c>
      <c r="F17" s="84" t="s">
        <v>347</v>
      </c>
      <c r="G17" s="84" t="s">
        <v>111</v>
      </c>
      <c r="H17" s="84" t="s">
        <v>610</v>
      </c>
      <c r="I17" s="84" t="s">
        <v>609</v>
      </c>
      <c r="J17" s="84" t="s">
        <v>102</v>
      </c>
      <c r="K17" s="84" t="str">
        <f t="shared" si="0"/>
        <v>t-dis-cmsadm-lb-fe</v>
      </c>
      <c r="L17" s="84" t="s">
        <v>198</v>
      </c>
      <c r="M17" s="84" t="s">
        <v>200</v>
      </c>
      <c r="N17" s="84" t="s">
        <v>288</v>
      </c>
      <c r="O17" s="84" t="s">
        <v>108</v>
      </c>
      <c r="P17" s="84" t="s">
        <v>444</v>
      </c>
      <c r="Q17" s="85" t="str">
        <f t="shared" si="1"/>
        <v>t-dis-cmsadm-lb-bp</v>
      </c>
    </row>
    <row r="18" spans="1:17" x14ac:dyDescent="0.3">
      <c r="A18" s="97"/>
      <c r="B18" s="74" t="s">
        <v>182</v>
      </c>
      <c r="C18" s="74" t="str" cm="1">
        <f t="array" ref="C18">UPPER(INDEX(_xlfn.TEXTSPLIT($D18, "-"), 3))</f>
        <v>DIS</v>
      </c>
      <c r="D18" s="74" t="s">
        <v>286</v>
      </c>
      <c r="E18" s="74" t="s">
        <v>24</v>
      </c>
      <c r="F18" s="74" t="s">
        <v>287</v>
      </c>
      <c r="G18" s="74" t="s">
        <v>111</v>
      </c>
      <c r="H18" s="74" t="s">
        <v>610</v>
      </c>
      <c r="I18" s="74" t="s">
        <v>609</v>
      </c>
      <c r="J18" s="74" t="s">
        <v>102</v>
      </c>
      <c r="K18" s="74" t="str">
        <f t="shared" si="0"/>
        <v>t-dis-ap-lb-fe</v>
      </c>
      <c r="L18" s="74" t="s">
        <v>198</v>
      </c>
      <c r="M18" s="74" t="s">
        <v>200</v>
      </c>
      <c r="N18" s="74" t="s">
        <v>288</v>
      </c>
      <c r="O18" s="74" t="s">
        <v>108</v>
      </c>
      <c r="P18" s="74" t="s">
        <v>437</v>
      </c>
      <c r="Q18" s="87" t="str">
        <f t="shared" si="1"/>
        <v>t-dis-ap-lb-bp</v>
      </c>
    </row>
    <row r="19" spans="1:17" x14ac:dyDescent="0.3">
      <c r="A19" s="97"/>
      <c r="B19" s="84" t="s">
        <v>182</v>
      </c>
      <c r="C19" s="84" t="str" cm="1">
        <f t="array" ref="C19">UPPER(INDEX(_xlfn.TEXTSPLIT($D19, "-"), 3))</f>
        <v>DIS</v>
      </c>
      <c r="D19" s="84" t="s">
        <v>286</v>
      </c>
      <c r="E19" s="84" t="s">
        <v>24</v>
      </c>
      <c r="F19" s="84" t="s">
        <v>349</v>
      </c>
      <c r="G19" s="84" t="s">
        <v>111</v>
      </c>
      <c r="H19" s="84" t="s">
        <v>610</v>
      </c>
      <c r="I19" s="84" t="s">
        <v>609</v>
      </c>
      <c r="J19" s="84" t="s">
        <v>102</v>
      </c>
      <c r="K19" s="84" t="str">
        <f t="shared" si="0"/>
        <v>t-dis-cmsweb-lb-fe</v>
      </c>
      <c r="L19" s="84" t="s">
        <v>198</v>
      </c>
      <c r="M19" s="84" t="s">
        <v>199</v>
      </c>
      <c r="N19" s="84" t="s">
        <v>290</v>
      </c>
      <c r="O19" s="84" t="s">
        <v>108</v>
      </c>
      <c r="P19" s="84" t="s">
        <v>446</v>
      </c>
      <c r="Q19" s="85" t="str">
        <f t="shared" si="1"/>
        <v>t-dis-cmsweb-lb-bp</v>
      </c>
    </row>
    <row r="20" spans="1:17" x14ac:dyDescent="0.3">
      <c r="A20" s="97"/>
      <c r="B20" s="74" t="s">
        <v>182</v>
      </c>
      <c r="C20" s="74" t="str" cm="1">
        <f t="array" ref="C20">UPPER(INDEX(_xlfn.TEXTSPLIT($D20, "-"), 3))</f>
        <v>DIS</v>
      </c>
      <c r="D20" s="74" t="s">
        <v>286</v>
      </c>
      <c r="E20" s="74" t="s">
        <v>24</v>
      </c>
      <c r="F20" s="74" t="s">
        <v>289</v>
      </c>
      <c r="G20" s="74" t="s">
        <v>111</v>
      </c>
      <c r="H20" s="74" t="s">
        <v>610</v>
      </c>
      <c r="I20" s="74" t="s">
        <v>609</v>
      </c>
      <c r="J20" s="74" t="s">
        <v>102</v>
      </c>
      <c r="K20" s="74" t="str">
        <f t="shared" si="0"/>
        <v>t-dis-web-lb-fe</v>
      </c>
      <c r="L20" s="74" t="s">
        <v>198</v>
      </c>
      <c r="M20" s="74" t="s">
        <v>199</v>
      </c>
      <c r="N20" s="74" t="s">
        <v>290</v>
      </c>
      <c r="O20" s="74" t="s">
        <v>108</v>
      </c>
      <c r="P20" s="74" t="s">
        <v>443</v>
      </c>
      <c r="Q20" s="87" t="str">
        <f t="shared" si="1"/>
        <v>t-dis-web-lb-bp</v>
      </c>
    </row>
    <row r="21" spans="1:17" x14ac:dyDescent="0.3">
      <c r="A21" s="97"/>
      <c r="B21" s="74" t="s">
        <v>182</v>
      </c>
      <c r="C21" s="74" t="str" cm="1">
        <f t="array" ref="C21">UPPER(INDEX(_xlfn.TEXTSPLIT($D21, "-"), 3))</f>
        <v>DIS</v>
      </c>
      <c r="D21" s="74" t="s">
        <v>286</v>
      </c>
      <c r="E21" s="74" t="s">
        <v>24</v>
      </c>
      <c r="F21" s="74" t="s">
        <v>342</v>
      </c>
      <c r="G21" s="74" t="s">
        <v>111</v>
      </c>
      <c r="H21" s="74" t="s">
        <v>610</v>
      </c>
      <c r="I21" s="74" t="s">
        <v>609</v>
      </c>
      <c r="J21" s="74" t="s">
        <v>102</v>
      </c>
      <c r="K21" s="74" t="str">
        <f t="shared" si="0"/>
        <v>t-dis-bbiweb-lb-fe</v>
      </c>
      <c r="L21" s="74" t="s">
        <v>198</v>
      </c>
      <c r="M21" s="74" t="s">
        <v>199</v>
      </c>
      <c r="N21" s="74" t="s">
        <v>290</v>
      </c>
      <c r="O21" s="74" t="s">
        <v>108</v>
      </c>
      <c r="P21" s="74" t="s">
        <v>291</v>
      </c>
      <c r="Q21" s="87" t="str">
        <f t="shared" si="1"/>
        <v>t-dis-bbiweb-lb-bp</v>
      </c>
    </row>
    <row r="22" spans="1:17" x14ac:dyDescent="0.3">
      <c r="A22" s="97"/>
      <c r="B22" s="74" t="s">
        <v>182</v>
      </c>
      <c r="C22" s="74" t="str" cm="1">
        <f t="array" ref="C22">UPPER(INDEX(_xlfn.TEXTSPLIT($D22, "-"), 3))</f>
        <v>DOIP</v>
      </c>
      <c r="D22" s="74" t="s">
        <v>386</v>
      </c>
      <c r="E22" s="74" t="s">
        <v>24</v>
      </c>
      <c r="F22" s="74" t="s">
        <v>379</v>
      </c>
      <c r="G22" s="74" t="s">
        <v>111</v>
      </c>
      <c r="H22" s="74" t="s">
        <v>610</v>
      </c>
      <c r="I22" s="74" t="s">
        <v>609</v>
      </c>
      <c r="J22" s="74" t="s">
        <v>102</v>
      </c>
      <c r="K22" s="74" t="str">
        <f t="shared" si="0"/>
        <v>t-doip-adm-lb-fe</v>
      </c>
      <c r="L22" s="74" t="s">
        <v>198</v>
      </c>
      <c r="M22" s="74" t="s">
        <v>200</v>
      </c>
      <c r="N22" s="74" t="s">
        <v>306</v>
      </c>
      <c r="O22" s="74" t="s">
        <v>108</v>
      </c>
      <c r="P22" s="74" t="s">
        <v>470</v>
      </c>
      <c r="Q22" s="87" t="str">
        <f t="shared" si="1"/>
        <v>t-doip-adm-lb-bp</v>
      </c>
    </row>
    <row r="23" spans="1:17" x14ac:dyDescent="0.3">
      <c r="A23" s="97"/>
      <c r="B23" s="84" t="s">
        <v>182</v>
      </c>
      <c r="C23" s="84" t="str" cm="1">
        <f t="array" ref="C23">UPPER(INDEX(_xlfn.TEXTSPLIT($D23, "-"), 3))</f>
        <v>DOIP</v>
      </c>
      <c r="D23" s="84" t="s">
        <v>386</v>
      </c>
      <c r="E23" s="84" t="s">
        <v>24</v>
      </c>
      <c r="F23" s="84" t="s">
        <v>378</v>
      </c>
      <c r="G23" s="84" t="s">
        <v>111</v>
      </c>
      <c r="H23" s="84" t="s">
        <v>610</v>
      </c>
      <c r="I23" s="84" t="s">
        <v>609</v>
      </c>
      <c r="J23" s="84" t="s">
        <v>102</v>
      </c>
      <c r="K23" s="84" t="str">
        <f t="shared" si="0"/>
        <v>t-doip-ap-lb-fe</v>
      </c>
      <c r="L23" s="84" t="s">
        <v>198</v>
      </c>
      <c r="M23" s="84" t="s">
        <v>200</v>
      </c>
      <c r="N23" s="84" t="s">
        <v>306</v>
      </c>
      <c r="O23" s="84" t="s">
        <v>108</v>
      </c>
      <c r="P23" s="84" t="s">
        <v>469</v>
      </c>
      <c r="Q23" s="85" t="str">
        <f t="shared" si="1"/>
        <v>t-doip-ap-lb-bp</v>
      </c>
    </row>
    <row r="24" spans="1:17" x14ac:dyDescent="0.3">
      <c r="A24" s="97"/>
      <c r="B24" s="74" t="s">
        <v>182</v>
      </c>
      <c r="C24" s="74" t="str" cm="1">
        <f t="array" ref="C24">UPPER(INDEX(_xlfn.TEXTSPLIT($D24, "-"), 3))</f>
        <v>DOIP</v>
      </c>
      <c r="D24" s="74" t="s">
        <v>386</v>
      </c>
      <c r="E24" s="74" t="s">
        <v>24</v>
      </c>
      <c r="F24" s="74" t="s">
        <v>377</v>
      </c>
      <c r="G24" s="74" t="s">
        <v>111</v>
      </c>
      <c r="H24" s="74" t="s">
        <v>610</v>
      </c>
      <c r="I24" s="74" t="s">
        <v>609</v>
      </c>
      <c r="J24" s="74" t="s">
        <v>102</v>
      </c>
      <c r="K24" s="74" t="str">
        <f t="shared" si="0"/>
        <v>t-doip-web-lb-fe</v>
      </c>
      <c r="L24" s="74" t="s">
        <v>198</v>
      </c>
      <c r="M24" s="74" t="s">
        <v>200</v>
      </c>
      <c r="N24" s="74" t="s">
        <v>306</v>
      </c>
      <c r="O24" s="74" t="s">
        <v>108</v>
      </c>
      <c r="P24" s="74" t="s">
        <v>468</v>
      </c>
      <c r="Q24" s="87" t="str">
        <f t="shared" si="1"/>
        <v>t-doip-web-lb-bp</v>
      </c>
    </row>
    <row r="25" spans="1:17" x14ac:dyDescent="0.3">
      <c r="A25" s="97"/>
      <c r="B25" s="74" t="s">
        <v>182</v>
      </c>
      <c r="C25" s="74" t="str" cm="1">
        <f t="array" ref="C25">UPPER(INDEX(_xlfn.TEXTSPLIT($D25, "-"), 3))</f>
        <v>DTG</v>
      </c>
      <c r="D25" s="74" t="s">
        <v>383</v>
      </c>
      <c r="E25" s="74" t="s">
        <v>24</v>
      </c>
      <c r="F25" s="74" t="s">
        <v>357</v>
      </c>
      <c r="G25" s="74" t="s">
        <v>111</v>
      </c>
      <c r="H25" s="74" t="s">
        <v>610</v>
      </c>
      <c r="I25" s="74" t="s">
        <v>609</v>
      </c>
      <c r="J25" s="74" t="s">
        <v>102</v>
      </c>
      <c r="K25" s="74" t="str">
        <f t="shared" si="0"/>
        <v>t-dtg-admap-lb-fe</v>
      </c>
      <c r="L25" s="74" t="s">
        <v>198</v>
      </c>
      <c r="M25" s="74" t="s">
        <v>200</v>
      </c>
      <c r="N25" s="74" t="s">
        <v>310</v>
      </c>
      <c r="O25" s="74" t="s">
        <v>108</v>
      </c>
      <c r="P25" s="74" t="s">
        <v>454</v>
      </c>
      <c r="Q25" s="87" t="str">
        <f t="shared" si="1"/>
        <v>t-dtg-admap-lb-bp</v>
      </c>
    </row>
    <row r="26" spans="1:17" x14ac:dyDescent="0.3">
      <c r="A26" s="97"/>
      <c r="B26" s="84" t="s">
        <v>182</v>
      </c>
      <c r="C26" s="84" t="str" cm="1">
        <f t="array" ref="C26">UPPER(INDEX(_xlfn.TEXTSPLIT($D26, "-"), 3))</f>
        <v>DTG</v>
      </c>
      <c r="D26" s="84" t="s">
        <v>383</v>
      </c>
      <c r="E26" s="84" t="s">
        <v>24</v>
      </c>
      <c r="F26" s="84" t="s">
        <v>356</v>
      </c>
      <c r="G26" s="84" t="s">
        <v>111</v>
      </c>
      <c r="H26" s="84" t="s">
        <v>610</v>
      </c>
      <c r="I26" s="84" t="s">
        <v>609</v>
      </c>
      <c r="J26" s="84" t="s">
        <v>102</v>
      </c>
      <c r="K26" s="84" t="str">
        <f t="shared" si="0"/>
        <v>t-dtg-admweb-lb-fe</v>
      </c>
      <c r="L26" s="84" t="s">
        <v>198</v>
      </c>
      <c r="M26" s="84" t="s">
        <v>200</v>
      </c>
      <c r="N26" s="84" t="s">
        <v>310</v>
      </c>
      <c r="O26" s="84" t="s">
        <v>108</v>
      </c>
      <c r="P26" s="84" t="s">
        <v>453</v>
      </c>
      <c r="Q26" s="85" t="str">
        <f t="shared" si="1"/>
        <v>t-dtg-admweb-lb-bp</v>
      </c>
    </row>
    <row r="27" spans="1:17" x14ac:dyDescent="0.3">
      <c r="A27" s="97"/>
      <c r="B27" s="74" t="s">
        <v>182</v>
      </c>
      <c r="C27" s="74" t="str" cm="1">
        <f t="array" ref="C27">UPPER(INDEX(_xlfn.TEXTSPLIT($D27, "-"), 3))</f>
        <v>DTG</v>
      </c>
      <c r="D27" s="74" t="s">
        <v>383</v>
      </c>
      <c r="E27" s="74" t="s">
        <v>24</v>
      </c>
      <c r="F27" s="74" t="s">
        <v>354</v>
      </c>
      <c r="G27" s="74" t="s">
        <v>111</v>
      </c>
      <c r="H27" s="74" t="s">
        <v>610</v>
      </c>
      <c r="I27" s="74" t="s">
        <v>609</v>
      </c>
      <c r="J27" s="74" t="s">
        <v>102</v>
      </c>
      <c r="K27" s="74" t="str">
        <f t="shared" si="0"/>
        <v>t-dtg-geoap-lb-fe</v>
      </c>
      <c r="L27" s="74" t="s">
        <v>198</v>
      </c>
      <c r="M27" s="74" t="s">
        <v>200</v>
      </c>
      <c r="N27" s="74" t="s">
        <v>310</v>
      </c>
      <c r="O27" s="74" t="s">
        <v>108</v>
      </c>
      <c r="P27" s="74" t="s">
        <v>451</v>
      </c>
      <c r="Q27" s="87" t="str">
        <f t="shared" si="1"/>
        <v>t-dtg-geoap-lb-bp</v>
      </c>
    </row>
    <row r="28" spans="1:17" x14ac:dyDescent="0.3">
      <c r="A28" s="97"/>
      <c r="B28" s="84" t="s">
        <v>182</v>
      </c>
      <c r="C28" s="84" t="str" cm="1">
        <f t="array" ref="C28">UPPER(INDEX(_xlfn.TEXTSPLIT($D28, "-"), 3))</f>
        <v>DTG</v>
      </c>
      <c r="D28" s="84" t="s">
        <v>383</v>
      </c>
      <c r="E28" s="84" t="s">
        <v>24</v>
      </c>
      <c r="F28" s="84" t="s">
        <v>353</v>
      </c>
      <c r="G28" s="84" t="s">
        <v>111</v>
      </c>
      <c r="H28" s="84" t="s">
        <v>610</v>
      </c>
      <c r="I28" s="84" t="s">
        <v>609</v>
      </c>
      <c r="J28" s="84" t="s">
        <v>102</v>
      </c>
      <c r="K28" s="84" t="str">
        <f t="shared" si="0"/>
        <v>t-dtg-extgeoap-lb-fe</v>
      </c>
      <c r="L28" s="84" t="s">
        <v>198</v>
      </c>
      <c r="M28" s="84" t="s">
        <v>200</v>
      </c>
      <c r="N28" s="84" t="s">
        <v>310</v>
      </c>
      <c r="O28" s="84" t="s">
        <v>108</v>
      </c>
      <c r="P28" s="84" t="s">
        <v>450</v>
      </c>
      <c r="Q28" s="85" t="str">
        <f t="shared" si="1"/>
        <v>t-dtg-extgeoap-lb-bp</v>
      </c>
    </row>
    <row r="29" spans="1:17" x14ac:dyDescent="0.3">
      <c r="A29" s="97"/>
      <c r="B29" s="74" t="s">
        <v>182</v>
      </c>
      <c r="C29" s="74" t="str" cm="1">
        <f t="array" ref="C29">UPPER(INDEX(_xlfn.TEXTSPLIT($D29, "-"), 3))</f>
        <v>DTG</v>
      </c>
      <c r="D29" s="74" t="s">
        <v>383</v>
      </c>
      <c r="E29" s="74" t="s">
        <v>24</v>
      </c>
      <c r="F29" s="74" t="s">
        <v>352</v>
      </c>
      <c r="G29" s="74" t="s">
        <v>111</v>
      </c>
      <c r="H29" s="74" t="s">
        <v>610</v>
      </c>
      <c r="I29" s="74" t="s">
        <v>609</v>
      </c>
      <c r="J29" s="74" t="s">
        <v>102</v>
      </c>
      <c r="K29" s="74" t="str">
        <f t="shared" si="0"/>
        <v>t-dtg-ap-lb-fe</v>
      </c>
      <c r="L29" s="74" t="s">
        <v>198</v>
      </c>
      <c r="M29" s="74" t="s">
        <v>200</v>
      </c>
      <c r="N29" s="74" t="s">
        <v>310</v>
      </c>
      <c r="O29" s="74" t="s">
        <v>108</v>
      </c>
      <c r="P29" s="74" t="s">
        <v>449</v>
      </c>
      <c r="Q29" s="87" t="str">
        <f t="shared" si="1"/>
        <v>t-dtg-ap-lb-bp</v>
      </c>
    </row>
    <row r="30" spans="1:17" x14ac:dyDescent="0.3">
      <c r="A30" s="97"/>
      <c r="B30" s="84" t="s">
        <v>182</v>
      </c>
      <c r="C30" s="84" t="str" cm="1">
        <f t="array" ref="C30">UPPER(INDEX(_xlfn.TEXTSPLIT($D30, "-"), 3))</f>
        <v>DTG</v>
      </c>
      <c r="D30" s="84" t="s">
        <v>383</v>
      </c>
      <c r="E30" s="84" t="s">
        <v>24</v>
      </c>
      <c r="F30" s="84" t="s">
        <v>365</v>
      </c>
      <c r="G30" s="84" t="s">
        <v>111</v>
      </c>
      <c r="H30" s="84" t="s">
        <v>610</v>
      </c>
      <c r="I30" s="84" t="s">
        <v>609</v>
      </c>
      <c r="J30" s="84" t="s">
        <v>102</v>
      </c>
      <c r="K30" s="84" t="str">
        <f t="shared" si="0"/>
        <v>t-dtg-dprap-lb-fe</v>
      </c>
      <c r="L30" s="84" t="s">
        <v>198</v>
      </c>
      <c r="M30" s="84" t="s">
        <v>200</v>
      </c>
      <c r="N30" s="84" t="s">
        <v>310</v>
      </c>
      <c r="O30" s="84" t="s">
        <v>108</v>
      </c>
      <c r="P30" s="84" t="s">
        <v>462</v>
      </c>
      <c r="Q30" s="85" t="str">
        <f t="shared" si="1"/>
        <v>t-dtg-dprap-lb-bp</v>
      </c>
    </row>
    <row r="31" spans="1:17" x14ac:dyDescent="0.3">
      <c r="A31" s="97"/>
      <c r="B31" s="74" t="s">
        <v>182</v>
      </c>
      <c r="C31" s="74" t="str" cm="1">
        <f t="array" ref="C31">UPPER(INDEX(_xlfn.TEXTSPLIT($D31, "-"), 3))</f>
        <v>DTG</v>
      </c>
      <c r="D31" s="74" t="s">
        <v>383</v>
      </c>
      <c r="E31" s="74" t="s">
        <v>24</v>
      </c>
      <c r="F31" s="74" t="s">
        <v>363</v>
      </c>
      <c r="G31" s="74" t="s">
        <v>111</v>
      </c>
      <c r="H31" s="74" t="s">
        <v>610</v>
      </c>
      <c r="I31" s="74" t="s">
        <v>609</v>
      </c>
      <c r="J31" s="74" t="s">
        <v>102</v>
      </c>
      <c r="K31" s="74" t="str">
        <f t="shared" si="0"/>
        <v>t-dtg-diosweb-lb-fe</v>
      </c>
      <c r="L31" s="74" t="s">
        <v>198</v>
      </c>
      <c r="M31" s="74" t="s">
        <v>200</v>
      </c>
      <c r="N31" s="74" t="s">
        <v>310</v>
      </c>
      <c r="O31" s="74" t="s">
        <v>108</v>
      </c>
      <c r="P31" s="74" t="s">
        <v>460</v>
      </c>
      <c r="Q31" s="87" t="str">
        <f t="shared" si="1"/>
        <v>t-dtg-diosweb-lb-bp</v>
      </c>
    </row>
    <row r="32" spans="1:17" x14ac:dyDescent="0.3">
      <c r="A32" s="97"/>
      <c r="B32" s="84" t="s">
        <v>182</v>
      </c>
      <c r="C32" s="84" t="str" cm="1">
        <f t="array" ref="C32">UPPER(INDEX(_xlfn.TEXTSPLIT($D32, "-"), 3))</f>
        <v>DTG</v>
      </c>
      <c r="D32" s="84" t="s">
        <v>383</v>
      </c>
      <c r="E32" s="84" t="s">
        <v>24</v>
      </c>
      <c r="F32" s="84" t="s">
        <v>362</v>
      </c>
      <c r="G32" s="84" t="s">
        <v>111</v>
      </c>
      <c r="H32" s="84" t="s">
        <v>610</v>
      </c>
      <c r="I32" s="84" t="s">
        <v>609</v>
      </c>
      <c r="J32" s="84" t="s">
        <v>102</v>
      </c>
      <c r="K32" s="84" t="str">
        <f t="shared" si="0"/>
        <v>t-dtg-diosap-lb-fe</v>
      </c>
      <c r="L32" s="84" t="s">
        <v>198</v>
      </c>
      <c r="M32" s="84" t="s">
        <v>200</v>
      </c>
      <c r="N32" s="84" t="s">
        <v>310</v>
      </c>
      <c r="O32" s="84" t="s">
        <v>108</v>
      </c>
      <c r="P32" s="84" t="s">
        <v>459</v>
      </c>
      <c r="Q32" s="85" t="str">
        <f t="shared" si="1"/>
        <v>t-dtg-diosap-lb-bp</v>
      </c>
    </row>
    <row r="33" spans="1:17" x14ac:dyDescent="0.3">
      <c r="A33" s="97"/>
      <c r="B33" s="74" t="s">
        <v>182</v>
      </c>
      <c r="C33" s="74" t="str" cm="1">
        <f t="array" ref="C33">UPPER(INDEX(_xlfn.TEXTSPLIT($D33, "-"), 3))</f>
        <v>DTG</v>
      </c>
      <c r="D33" s="74" t="s">
        <v>383</v>
      </c>
      <c r="E33" s="74" t="s">
        <v>24</v>
      </c>
      <c r="F33" s="74" t="s">
        <v>361</v>
      </c>
      <c r="G33" s="74" t="s">
        <v>111</v>
      </c>
      <c r="H33" s="74" t="s">
        <v>610</v>
      </c>
      <c r="I33" s="74" t="s">
        <v>609</v>
      </c>
      <c r="J33" s="74" t="s">
        <v>102</v>
      </c>
      <c r="K33" s="74" t="str">
        <f t="shared" si="0"/>
        <v>t-dtg-cdsvadm-lb-fe</v>
      </c>
      <c r="L33" s="74" t="s">
        <v>198</v>
      </c>
      <c r="M33" s="74" t="s">
        <v>200</v>
      </c>
      <c r="N33" s="74" t="s">
        <v>310</v>
      </c>
      <c r="O33" s="74" t="s">
        <v>108</v>
      </c>
      <c r="P33" s="74" t="s">
        <v>458</v>
      </c>
      <c r="Q33" s="87" t="str">
        <f t="shared" si="1"/>
        <v>t-dtg-cdsvadm-lb-bp</v>
      </c>
    </row>
    <row r="34" spans="1:17" x14ac:dyDescent="0.3">
      <c r="A34" s="97"/>
      <c r="B34" s="84" t="s">
        <v>182</v>
      </c>
      <c r="C34" s="84" t="str" cm="1">
        <f t="array" ref="C34">UPPER(INDEX(_xlfn.TEXTSPLIT($D34, "-"), 3))</f>
        <v>DTG</v>
      </c>
      <c r="D34" s="84" t="s">
        <v>383</v>
      </c>
      <c r="E34" s="84" t="s">
        <v>24</v>
      </c>
      <c r="F34" s="84" t="s">
        <v>360</v>
      </c>
      <c r="G34" s="84" t="s">
        <v>111</v>
      </c>
      <c r="H34" s="84" t="s">
        <v>610</v>
      </c>
      <c r="I34" s="84" t="s">
        <v>609</v>
      </c>
      <c r="J34" s="84" t="s">
        <v>102</v>
      </c>
      <c r="K34" s="84" t="str">
        <f t="shared" si="0"/>
        <v>t-dtg-cdstap-lb-fe</v>
      </c>
      <c r="L34" s="84" t="s">
        <v>198</v>
      </c>
      <c r="M34" s="84" t="s">
        <v>200</v>
      </c>
      <c r="N34" s="84" t="s">
        <v>310</v>
      </c>
      <c r="O34" s="84" t="s">
        <v>108</v>
      </c>
      <c r="P34" s="84" t="s">
        <v>457</v>
      </c>
      <c r="Q34" s="85" t="str">
        <f t="shared" si="1"/>
        <v>t-dtg-cdstap-lb-bp</v>
      </c>
    </row>
    <row r="35" spans="1:17" x14ac:dyDescent="0.3">
      <c r="A35" s="97"/>
      <c r="B35" s="74" t="s">
        <v>182</v>
      </c>
      <c r="C35" s="74" t="str" cm="1">
        <f t="array" ref="C35">UPPER(INDEX(_xlfn.TEXTSPLIT($D35, "-"), 3))</f>
        <v>DTG</v>
      </c>
      <c r="D35" s="74" t="s">
        <v>383</v>
      </c>
      <c r="E35" s="74" t="s">
        <v>24</v>
      </c>
      <c r="F35" s="74" t="s">
        <v>359</v>
      </c>
      <c r="G35" s="74" t="s">
        <v>111</v>
      </c>
      <c r="H35" s="74" t="s">
        <v>610</v>
      </c>
      <c r="I35" s="74" t="s">
        <v>609</v>
      </c>
      <c r="J35" s="74" t="s">
        <v>102</v>
      </c>
      <c r="K35" s="74" t="str">
        <f t="shared" si="0"/>
        <v>t-dtg-cdmlap-lb-fe</v>
      </c>
      <c r="L35" s="74" t="s">
        <v>198</v>
      </c>
      <c r="M35" s="74" t="s">
        <v>200</v>
      </c>
      <c r="N35" s="74" t="s">
        <v>310</v>
      </c>
      <c r="O35" s="74" t="s">
        <v>108</v>
      </c>
      <c r="P35" s="74" t="s">
        <v>456</v>
      </c>
      <c r="Q35" s="87" t="str">
        <f t="shared" si="1"/>
        <v>t-dtg-cdmlap-lb-bp</v>
      </c>
    </row>
    <row r="36" spans="1:17" x14ac:dyDescent="0.3">
      <c r="A36" s="97"/>
      <c r="B36" s="84" t="s">
        <v>182</v>
      </c>
      <c r="C36" s="84" t="str" cm="1">
        <f t="array" ref="C36">UPPER(INDEX(_xlfn.TEXTSPLIT($D36, "-"), 3))</f>
        <v>DTG</v>
      </c>
      <c r="D36" s="84" t="s">
        <v>383</v>
      </c>
      <c r="E36" s="84" t="s">
        <v>24</v>
      </c>
      <c r="F36" s="84" t="s">
        <v>351</v>
      </c>
      <c r="G36" s="84" t="s">
        <v>111</v>
      </c>
      <c r="H36" s="84" t="s">
        <v>610</v>
      </c>
      <c r="I36" s="84" t="s">
        <v>609</v>
      </c>
      <c r="J36" s="84" t="s">
        <v>102</v>
      </c>
      <c r="K36" s="84" t="str">
        <f t="shared" si="0"/>
        <v>t-dtg-ingap-lb-fe</v>
      </c>
      <c r="L36" s="84" t="s">
        <v>198</v>
      </c>
      <c r="M36" s="84" t="s">
        <v>200</v>
      </c>
      <c r="N36" s="84" t="s">
        <v>310</v>
      </c>
      <c r="O36" s="84" t="s">
        <v>108</v>
      </c>
      <c r="P36" s="84" t="s">
        <v>448</v>
      </c>
      <c r="Q36" s="85" t="str">
        <f t="shared" si="1"/>
        <v>t-dtg-ingap-lb-bp</v>
      </c>
    </row>
    <row r="37" spans="1:17" x14ac:dyDescent="0.3">
      <c r="A37" s="97"/>
      <c r="B37" s="74" t="s">
        <v>182</v>
      </c>
      <c r="C37" s="74" t="str" cm="1">
        <f t="array" ref="C37">UPPER(INDEX(_xlfn.TEXTSPLIT($D37, "-"), 3))</f>
        <v>DTG</v>
      </c>
      <c r="D37" s="74" t="s">
        <v>383</v>
      </c>
      <c r="E37" s="74" t="s">
        <v>24</v>
      </c>
      <c r="F37" s="74" t="s">
        <v>364</v>
      </c>
      <c r="G37" s="74" t="s">
        <v>111</v>
      </c>
      <c r="H37" s="74" t="s">
        <v>610</v>
      </c>
      <c r="I37" s="74" t="s">
        <v>609</v>
      </c>
      <c r="J37" s="74" t="s">
        <v>102</v>
      </c>
      <c r="K37" s="74" t="str">
        <f t="shared" si="0"/>
        <v>t-dtg-dprweb-lb-fe</v>
      </c>
      <c r="L37" s="74" t="s">
        <v>198</v>
      </c>
      <c r="M37" s="74" t="s">
        <v>199</v>
      </c>
      <c r="N37" s="74" t="s">
        <v>330</v>
      </c>
      <c r="O37" s="74" t="s">
        <v>108</v>
      </c>
      <c r="P37" s="74" t="s">
        <v>461</v>
      </c>
      <c r="Q37" s="87" t="str">
        <f t="shared" si="1"/>
        <v>t-dtg-dprweb-lb-bp</v>
      </c>
    </row>
    <row r="38" spans="1:17" x14ac:dyDescent="0.3">
      <c r="A38" s="97"/>
      <c r="B38" s="84" t="s">
        <v>182</v>
      </c>
      <c r="C38" s="84" t="str" cm="1">
        <f t="array" ref="C38">UPPER(INDEX(_xlfn.TEXTSPLIT($D38, "-"), 3))</f>
        <v>DTG</v>
      </c>
      <c r="D38" s="84" t="s">
        <v>383</v>
      </c>
      <c r="E38" s="84" t="s">
        <v>24</v>
      </c>
      <c r="F38" s="84" t="s">
        <v>358</v>
      </c>
      <c r="G38" s="84" t="s">
        <v>111</v>
      </c>
      <c r="H38" s="84" t="s">
        <v>610</v>
      </c>
      <c r="I38" s="84" t="s">
        <v>609</v>
      </c>
      <c r="J38" s="84" t="s">
        <v>102</v>
      </c>
      <c r="K38" s="84" t="str">
        <f t="shared" si="0"/>
        <v>t-dtg-web-lb-fe</v>
      </c>
      <c r="L38" s="84" t="s">
        <v>198</v>
      </c>
      <c r="M38" s="84" t="s">
        <v>199</v>
      </c>
      <c r="N38" s="84" t="s">
        <v>330</v>
      </c>
      <c r="O38" s="84" t="s">
        <v>108</v>
      </c>
      <c r="P38" s="84" t="s">
        <v>455</v>
      </c>
      <c r="Q38" s="85" t="str">
        <f t="shared" si="1"/>
        <v>t-dtg-web-lb-bp</v>
      </c>
    </row>
    <row r="39" spans="1:17" x14ac:dyDescent="0.3">
      <c r="A39" s="97"/>
      <c r="B39" s="74" t="s">
        <v>182</v>
      </c>
      <c r="C39" s="74" t="str" cm="1">
        <f t="array" ref="C39">UPPER(INDEX(_xlfn.TEXTSPLIT($D39, "-"), 3))</f>
        <v>DTG</v>
      </c>
      <c r="D39" s="74" t="s">
        <v>383</v>
      </c>
      <c r="E39" s="74" t="s">
        <v>24</v>
      </c>
      <c r="F39" s="74" t="s">
        <v>355</v>
      </c>
      <c r="G39" s="74" t="s">
        <v>111</v>
      </c>
      <c r="H39" s="74" t="s">
        <v>610</v>
      </c>
      <c r="I39" s="74" t="s">
        <v>609</v>
      </c>
      <c r="J39" s="74" t="s">
        <v>102</v>
      </c>
      <c r="K39" s="74" t="str">
        <f t="shared" si="0"/>
        <v>t-dtg-mq-lb-fe</v>
      </c>
      <c r="L39" s="74" t="s">
        <v>198</v>
      </c>
      <c r="M39" s="74" t="s">
        <v>199</v>
      </c>
      <c r="N39" s="74" t="s">
        <v>330</v>
      </c>
      <c r="O39" s="74" t="s">
        <v>108</v>
      </c>
      <c r="P39" s="74" t="s">
        <v>452</v>
      </c>
      <c r="Q39" s="87" t="str">
        <f t="shared" si="1"/>
        <v>t-dtg-mq-lb-bp</v>
      </c>
    </row>
    <row r="40" spans="1:17" x14ac:dyDescent="0.3">
      <c r="A40" s="97"/>
      <c r="B40" s="84" t="s">
        <v>182</v>
      </c>
      <c r="C40" s="84" t="str" cm="1">
        <f t="array" ref="C40">UPPER(INDEX(_xlfn.TEXTSPLIT($D40, "-"), 3))</f>
        <v>IF</v>
      </c>
      <c r="D40" s="84" t="s">
        <v>474</v>
      </c>
      <c r="E40" s="84" t="s">
        <v>24</v>
      </c>
      <c r="F40" s="84" t="s">
        <v>600</v>
      </c>
      <c r="G40" s="84" t="s">
        <v>111</v>
      </c>
      <c r="H40" s="84" t="s">
        <v>610</v>
      </c>
      <c r="I40" s="84" t="s">
        <v>609</v>
      </c>
      <c r="J40" s="84" t="s">
        <v>102</v>
      </c>
      <c r="K40" s="84" t="str">
        <f t="shared" si="0"/>
        <v>t-if-auth-lb-fe</v>
      </c>
      <c r="L40" s="84" t="s">
        <v>198</v>
      </c>
      <c r="M40" s="84" t="s">
        <v>200</v>
      </c>
      <c r="N40" s="84" t="s">
        <v>602</v>
      </c>
      <c r="O40" s="84" t="s">
        <v>108</v>
      </c>
      <c r="P40" s="84" t="s">
        <v>603</v>
      </c>
      <c r="Q40" s="85" t="str">
        <f t="shared" si="1"/>
        <v>t-if-auth-lb-bp</v>
      </c>
    </row>
    <row r="41" spans="1:17" x14ac:dyDescent="0.3">
      <c r="B41" s="74" t="s">
        <v>182</v>
      </c>
      <c r="C41" s="74" t="str" cm="1">
        <f t="array" ref="C41">UPPER(INDEX(_xlfn.TEXTSPLIT($D41, "-"), 3))</f>
        <v>DTG</v>
      </c>
      <c r="D41" s="74" t="s">
        <v>383</v>
      </c>
      <c r="E41" s="74" t="s">
        <v>24</v>
      </c>
      <c r="F41" s="74" t="s">
        <v>626</v>
      </c>
      <c r="G41" s="74" t="s">
        <v>111</v>
      </c>
      <c r="H41" s="74" t="s">
        <v>610</v>
      </c>
      <c r="I41" s="74" t="s">
        <v>609</v>
      </c>
      <c r="J41" s="74" t="s">
        <v>102</v>
      </c>
      <c r="K41" s="74" t="str">
        <f t="shared" ref="K41" si="2">SUBSTITUTE(F41, "hazr-", "")&amp;"-fe"</f>
        <v>t-dtg-bbigeoap-lb-fe</v>
      </c>
      <c r="L41" s="74" t="s">
        <v>198</v>
      </c>
      <c r="M41" s="74" t="s">
        <v>200</v>
      </c>
      <c r="N41" s="74" t="s">
        <v>310</v>
      </c>
      <c r="O41" s="74" t="s">
        <v>108</v>
      </c>
      <c r="P41" s="74" t="s">
        <v>620</v>
      </c>
      <c r="Q41" s="87" t="str">
        <f t="shared" ref="Q41" si="3">SUBSTITUTE(F41, "hazr-", "")&amp;"-bp"</f>
        <v>t-dtg-bbigeoap-lb-bp</v>
      </c>
    </row>
  </sheetData>
  <autoFilter ref="B1:Q40" xr:uid="{CD1A3252-EF11-4361-BCDB-10417C7A0940}">
    <sortState xmlns:xlrd2="http://schemas.microsoft.com/office/spreadsheetml/2017/richdata2" ref="B2:Q40">
      <sortCondition ref="C1:C4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dimension ref="A1:K85"/>
  <sheetViews>
    <sheetView topLeftCell="A57" workbookViewId="0">
      <selection activeCell="B84" sqref="B84:F84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7" t="s">
        <v>0</v>
      </c>
      <c r="C1" s="77" t="s">
        <v>1</v>
      </c>
      <c r="D1" s="77" t="s">
        <v>100</v>
      </c>
      <c r="E1" s="77" t="s">
        <v>99</v>
      </c>
      <c r="F1" s="77" t="s">
        <v>112</v>
      </c>
      <c r="G1" s="72" t="s">
        <v>52</v>
      </c>
      <c r="H1" s="72" t="s">
        <v>113</v>
      </c>
      <c r="I1" s="79" t="s">
        <v>114</v>
      </c>
      <c r="J1" s="101" t="s">
        <v>115</v>
      </c>
      <c r="K1" s="101" t="s">
        <v>116</v>
      </c>
    </row>
    <row r="2" spans="1:11" x14ac:dyDescent="0.3">
      <c r="A2" s="97"/>
      <c r="B2" s="74" t="s">
        <v>182</v>
      </c>
      <c r="C2" s="74" t="str" cm="1">
        <f t="array" ref="C2">UPPER(INDEX(_xlfn.TEXTSPLIT($D2, "-"), 3))</f>
        <v>DTG</v>
      </c>
      <c r="D2" s="74" t="s">
        <v>383</v>
      </c>
      <c r="E2" s="74" t="s">
        <v>358</v>
      </c>
      <c r="F2" s="74" t="str">
        <f t="shared" ref="F2:F32" si="0">SUBSTITUTE(E2, "hazr-", "")&amp;"-pb"&amp;H2</f>
        <v>t-dtg-web-lb-pb8080</v>
      </c>
      <c r="G2" s="74" t="s">
        <v>57</v>
      </c>
      <c r="H2" s="74">
        <v>8080</v>
      </c>
      <c r="I2" s="74"/>
      <c r="J2" s="74">
        <v>5</v>
      </c>
      <c r="K2" s="74">
        <v>2</v>
      </c>
    </row>
    <row r="3" spans="1:11" x14ac:dyDescent="0.3">
      <c r="A3" s="97"/>
      <c r="B3" s="74" t="s">
        <v>182</v>
      </c>
      <c r="C3" s="74" t="str" cm="1">
        <f t="array" ref="C3">UPPER(INDEX(_xlfn.TEXTSPLIT($D3, "-"), 3))</f>
        <v>DTG</v>
      </c>
      <c r="D3" s="74" t="s">
        <v>383</v>
      </c>
      <c r="E3" s="74" t="s">
        <v>358</v>
      </c>
      <c r="F3" s="74" t="str">
        <f t="shared" si="0"/>
        <v>t-dtg-web-lb-pb8081</v>
      </c>
      <c r="G3" s="74" t="s">
        <v>57</v>
      </c>
      <c r="H3" s="74">
        <v>8081</v>
      </c>
      <c r="I3" s="74"/>
      <c r="J3" s="74">
        <v>5</v>
      </c>
      <c r="K3" s="74">
        <v>2</v>
      </c>
    </row>
    <row r="4" spans="1:11" x14ac:dyDescent="0.3">
      <c r="A4" s="97"/>
      <c r="B4" s="84" t="s">
        <v>182</v>
      </c>
      <c r="C4" s="84" t="str" cm="1">
        <f t="array" ref="C4">UPPER(INDEX(_xlfn.TEXTSPLIT($D4, "-"), 3))</f>
        <v>DTG</v>
      </c>
      <c r="D4" s="84" t="s">
        <v>383</v>
      </c>
      <c r="E4" s="84" t="s">
        <v>355</v>
      </c>
      <c r="F4" s="84" t="str">
        <f t="shared" si="0"/>
        <v>t-dtg-mq-lb-pb1883</v>
      </c>
      <c r="G4" s="84" t="s">
        <v>57</v>
      </c>
      <c r="H4" s="84">
        <v>1883</v>
      </c>
      <c r="I4" s="84"/>
      <c r="J4" s="84">
        <v>5</v>
      </c>
      <c r="K4" s="84">
        <v>2</v>
      </c>
    </row>
    <row r="5" spans="1:11" x14ac:dyDescent="0.3">
      <c r="A5" s="97"/>
      <c r="B5" s="84" t="s">
        <v>182</v>
      </c>
      <c r="C5" s="84" t="str" cm="1">
        <f t="array" ref="C5">UPPER(INDEX(_xlfn.TEXTSPLIT($D5, "-"), 3))</f>
        <v>DTG</v>
      </c>
      <c r="D5" s="84" t="s">
        <v>383</v>
      </c>
      <c r="E5" s="84" t="s">
        <v>355</v>
      </c>
      <c r="F5" s="84" t="str">
        <f t="shared" si="0"/>
        <v>t-dtg-mq-lb-pb1884</v>
      </c>
      <c r="G5" s="84" t="s">
        <v>57</v>
      </c>
      <c r="H5" s="84">
        <v>1884</v>
      </c>
      <c r="I5" s="84"/>
      <c r="J5" s="84">
        <v>5</v>
      </c>
      <c r="K5" s="84">
        <v>2</v>
      </c>
    </row>
    <row r="6" spans="1:11" x14ac:dyDescent="0.3">
      <c r="A6" s="97"/>
      <c r="B6" s="86" t="s">
        <v>182</v>
      </c>
      <c r="C6" s="86" t="str" cm="1">
        <f t="array" ref="C6">UPPER(INDEX(_xlfn.TEXTSPLIT($D6, "-"), 3))</f>
        <v>DTG</v>
      </c>
      <c r="D6" s="86" t="s">
        <v>383</v>
      </c>
      <c r="E6" s="86" t="s">
        <v>351</v>
      </c>
      <c r="F6" s="86" t="str">
        <f t="shared" si="0"/>
        <v>t-dtg-ingap-lb-pb8081</v>
      </c>
      <c r="G6" s="86" t="s">
        <v>57</v>
      </c>
      <c r="H6" s="86">
        <v>8081</v>
      </c>
      <c r="I6" s="86"/>
      <c r="J6" s="86">
        <v>5</v>
      </c>
      <c r="K6" s="86">
        <v>2</v>
      </c>
    </row>
    <row r="7" spans="1:11" x14ac:dyDescent="0.3">
      <c r="A7" s="97"/>
      <c r="B7" s="84" t="s">
        <v>182</v>
      </c>
      <c r="C7" s="84" t="str" cm="1">
        <f t="array" ref="C7">UPPER(INDEX(_xlfn.TEXTSPLIT($D7, "-"), 3))</f>
        <v>DTG</v>
      </c>
      <c r="D7" s="84" t="s">
        <v>383</v>
      </c>
      <c r="E7" s="84" t="s">
        <v>354</v>
      </c>
      <c r="F7" s="84" t="str">
        <f t="shared" si="0"/>
        <v>t-dtg-geoap-lb-pb8089</v>
      </c>
      <c r="G7" s="84" t="s">
        <v>57</v>
      </c>
      <c r="H7" s="84">
        <v>8089</v>
      </c>
      <c r="I7" s="84"/>
      <c r="J7" s="84">
        <v>5</v>
      </c>
      <c r="K7" s="84">
        <v>2</v>
      </c>
    </row>
    <row r="8" spans="1:11" x14ac:dyDescent="0.3">
      <c r="A8" s="97"/>
      <c r="B8" s="84" t="s">
        <v>182</v>
      </c>
      <c r="C8" s="84" t="str" cm="1">
        <f t="array" ref="C8">UPPER(INDEX(_xlfn.TEXTSPLIT($D8, "-"), 3))</f>
        <v>DTG</v>
      </c>
      <c r="D8" s="84" t="s">
        <v>383</v>
      </c>
      <c r="E8" s="84" t="s">
        <v>354</v>
      </c>
      <c r="F8" s="84" t="str">
        <f t="shared" si="0"/>
        <v>t-dtg-geoap-lb-pb9089</v>
      </c>
      <c r="G8" s="84" t="s">
        <v>57</v>
      </c>
      <c r="H8" s="84">
        <v>9089</v>
      </c>
      <c r="I8" s="84"/>
      <c r="J8" s="84">
        <v>5</v>
      </c>
      <c r="K8" s="84">
        <v>2</v>
      </c>
    </row>
    <row r="9" spans="1:11" x14ac:dyDescent="0.3">
      <c r="A9" s="97"/>
      <c r="B9" s="74" t="s">
        <v>182</v>
      </c>
      <c r="C9" s="74" t="str" cm="1">
        <f t="array" ref="C9">UPPER(INDEX(_xlfn.TEXTSPLIT($D9, "-"), 3))</f>
        <v>DTG</v>
      </c>
      <c r="D9" s="74" t="s">
        <v>383</v>
      </c>
      <c r="E9" s="74" t="s">
        <v>353</v>
      </c>
      <c r="F9" s="74" t="str">
        <f t="shared" si="0"/>
        <v>t-dtg-extgeoap-lb-pb3660</v>
      </c>
      <c r="G9" s="74" t="s">
        <v>57</v>
      </c>
      <c r="H9" s="74">
        <v>3660</v>
      </c>
      <c r="I9" s="74"/>
      <c r="J9" s="74">
        <v>5</v>
      </c>
      <c r="K9" s="74">
        <v>2</v>
      </c>
    </row>
    <row r="10" spans="1:11" x14ac:dyDescent="0.3">
      <c r="A10" s="97"/>
      <c r="B10" s="74" t="s">
        <v>182</v>
      </c>
      <c r="C10" s="74" t="str" cm="1">
        <f t="array" ref="C10">UPPER(INDEX(_xlfn.TEXTSPLIT($D10, "-"), 3))</f>
        <v>DTG</v>
      </c>
      <c r="D10" s="74" t="s">
        <v>383</v>
      </c>
      <c r="E10" s="74" t="s">
        <v>353</v>
      </c>
      <c r="F10" s="74" t="str">
        <f t="shared" si="0"/>
        <v>t-dtg-extgeoap-lb-pb3661</v>
      </c>
      <c r="G10" s="74" t="s">
        <v>57</v>
      </c>
      <c r="H10" s="74">
        <v>3661</v>
      </c>
      <c r="I10" s="74"/>
      <c r="J10" s="74">
        <v>5</v>
      </c>
      <c r="K10" s="74">
        <v>2</v>
      </c>
    </row>
    <row r="11" spans="1:11" x14ac:dyDescent="0.3">
      <c r="A11" s="97"/>
      <c r="B11" s="84" t="s">
        <v>182</v>
      </c>
      <c r="C11" s="84" t="str" cm="1">
        <f t="array" ref="C11">UPPER(INDEX(_xlfn.TEXTSPLIT($D11, "-"), 3))</f>
        <v>DTG</v>
      </c>
      <c r="D11" s="84" t="s">
        <v>383</v>
      </c>
      <c r="E11" s="84" t="s">
        <v>364</v>
      </c>
      <c r="F11" s="84" t="str">
        <f t="shared" si="0"/>
        <v>t-dtg-dprweb-lb-pb443</v>
      </c>
      <c r="G11" s="84" t="s">
        <v>57</v>
      </c>
      <c r="H11" s="84">
        <v>443</v>
      </c>
      <c r="I11" s="84"/>
      <c r="J11" s="84">
        <v>5</v>
      </c>
      <c r="K11" s="84">
        <v>2</v>
      </c>
    </row>
    <row r="12" spans="1:11" x14ac:dyDescent="0.3">
      <c r="A12" s="97"/>
      <c r="B12" s="86" t="s">
        <v>182</v>
      </c>
      <c r="C12" s="86" t="str" cm="1">
        <f t="array" ref="C12">UPPER(INDEX(_xlfn.TEXTSPLIT($D12, "-"), 3))</f>
        <v>DTG</v>
      </c>
      <c r="D12" s="86" t="s">
        <v>383</v>
      </c>
      <c r="E12" s="86" t="s">
        <v>365</v>
      </c>
      <c r="F12" s="86" t="str">
        <f t="shared" si="0"/>
        <v>t-dtg-dprap-lb-pb8082</v>
      </c>
      <c r="G12" s="86" t="s">
        <v>57</v>
      </c>
      <c r="H12" s="86">
        <v>8082</v>
      </c>
      <c r="I12" s="86"/>
      <c r="J12" s="86">
        <v>5</v>
      </c>
      <c r="K12" s="86">
        <v>2</v>
      </c>
    </row>
    <row r="13" spans="1:11" x14ac:dyDescent="0.3">
      <c r="A13" s="97"/>
      <c r="B13" s="84" t="s">
        <v>182</v>
      </c>
      <c r="C13" s="84" t="str" cm="1">
        <f t="array" ref="C13">UPPER(INDEX(_xlfn.TEXTSPLIT($D13, "-"), 3))</f>
        <v>DTG</v>
      </c>
      <c r="D13" s="84" t="s">
        <v>383</v>
      </c>
      <c r="E13" s="84" t="s">
        <v>363</v>
      </c>
      <c r="F13" s="84" t="str">
        <f t="shared" si="0"/>
        <v>t-dtg-diosweb-lb-pb443</v>
      </c>
      <c r="G13" s="84" t="s">
        <v>57</v>
      </c>
      <c r="H13" s="84">
        <v>443</v>
      </c>
      <c r="I13" s="84"/>
      <c r="J13" s="84">
        <v>5</v>
      </c>
      <c r="K13" s="84">
        <v>2</v>
      </c>
    </row>
    <row r="14" spans="1:11" x14ac:dyDescent="0.3">
      <c r="A14" s="97"/>
      <c r="B14" s="86" t="s">
        <v>182</v>
      </c>
      <c r="C14" s="86" t="str" cm="1">
        <f t="array" ref="C14">UPPER(INDEX(_xlfn.TEXTSPLIT($D14, "-"), 3))</f>
        <v>DTG</v>
      </c>
      <c r="D14" s="86" t="s">
        <v>383</v>
      </c>
      <c r="E14" s="86" t="s">
        <v>362</v>
      </c>
      <c r="F14" s="86" t="str">
        <f t="shared" si="0"/>
        <v>t-dtg-diosap-lb-pb8080</v>
      </c>
      <c r="G14" s="86" t="s">
        <v>598</v>
      </c>
      <c r="H14" s="86">
        <v>8080</v>
      </c>
      <c r="I14" s="86"/>
      <c r="J14" s="86">
        <v>5</v>
      </c>
      <c r="K14" s="86">
        <v>2</v>
      </c>
    </row>
    <row r="15" spans="1:11" x14ac:dyDescent="0.3">
      <c r="A15" s="97"/>
      <c r="B15" s="84" t="s">
        <v>182</v>
      </c>
      <c r="C15" s="84" t="str" cm="1">
        <f t="array" ref="C15">UPPER(INDEX(_xlfn.TEXTSPLIT($D15, "-"), 3))</f>
        <v>DTG</v>
      </c>
      <c r="D15" s="84" t="s">
        <v>383</v>
      </c>
      <c r="E15" s="84" t="s">
        <v>361</v>
      </c>
      <c r="F15" s="84" t="str">
        <f t="shared" si="0"/>
        <v>t-dtg-cdsvadm-lb-pb9100</v>
      </c>
      <c r="G15" s="84" t="s">
        <v>57</v>
      </c>
      <c r="H15" s="84">
        <v>9100</v>
      </c>
      <c r="I15" s="84"/>
      <c r="J15" s="84">
        <v>5</v>
      </c>
      <c r="K15" s="84">
        <v>2</v>
      </c>
    </row>
    <row r="16" spans="1:11" x14ac:dyDescent="0.3">
      <c r="A16" s="97"/>
      <c r="B16" s="84" t="s">
        <v>182</v>
      </c>
      <c r="C16" s="84" t="str" cm="1">
        <f t="array" ref="C16">UPPER(INDEX(_xlfn.TEXTSPLIT($D16, "-"), 3))</f>
        <v>DTG</v>
      </c>
      <c r="D16" s="84" t="s">
        <v>383</v>
      </c>
      <c r="E16" s="84" t="s">
        <v>361</v>
      </c>
      <c r="F16" s="84" t="str">
        <f t="shared" si="0"/>
        <v>t-dtg-cdsvadm-lb-pb9300</v>
      </c>
      <c r="G16" s="84" t="s">
        <v>57</v>
      </c>
      <c r="H16" s="84">
        <v>9300</v>
      </c>
      <c r="I16" s="84"/>
      <c r="J16" s="84">
        <v>5</v>
      </c>
      <c r="K16" s="84">
        <v>2</v>
      </c>
    </row>
    <row r="17" spans="1:11" x14ac:dyDescent="0.3">
      <c r="A17" s="97"/>
      <c r="B17" s="84" t="s">
        <v>182</v>
      </c>
      <c r="C17" s="84" t="str" cm="1">
        <f t="array" ref="C17">UPPER(INDEX(_xlfn.TEXTSPLIT($D17, "-"), 3))</f>
        <v>DTG</v>
      </c>
      <c r="D17" s="84" t="s">
        <v>383</v>
      </c>
      <c r="E17" s="84" t="s">
        <v>361</v>
      </c>
      <c r="F17" s="84" t="str">
        <f t="shared" si="0"/>
        <v>t-dtg-cdsvadm-lb-pb9105</v>
      </c>
      <c r="G17" s="84" t="s">
        <v>57</v>
      </c>
      <c r="H17" s="84">
        <v>9105</v>
      </c>
      <c r="I17" s="84"/>
      <c r="J17" s="84">
        <v>5</v>
      </c>
      <c r="K17" s="84">
        <v>2</v>
      </c>
    </row>
    <row r="18" spans="1:11" x14ac:dyDescent="0.3">
      <c r="A18" s="97"/>
      <c r="B18" s="84" t="s">
        <v>182</v>
      </c>
      <c r="C18" s="84" t="str" cm="1">
        <f t="array" ref="C18">UPPER(INDEX(_xlfn.TEXTSPLIT($D18, "-"), 3))</f>
        <v>DTG</v>
      </c>
      <c r="D18" s="84" t="s">
        <v>383</v>
      </c>
      <c r="E18" s="84" t="s">
        <v>361</v>
      </c>
      <c r="F18" s="84" t="str">
        <f t="shared" si="0"/>
        <v>t-dtg-cdsvadm-lb-pb9003</v>
      </c>
      <c r="G18" s="84" t="s">
        <v>57</v>
      </c>
      <c r="H18" s="84">
        <v>9003</v>
      </c>
      <c r="I18" s="84"/>
      <c r="J18" s="84">
        <v>5</v>
      </c>
      <c r="K18" s="84">
        <v>2</v>
      </c>
    </row>
    <row r="19" spans="1:11" x14ac:dyDescent="0.3">
      <c r="A19" s="97"/>
      <c r="B19" s="84" t="s">
        <v>182</v>
      </c>
      <c r="C19" s="84" t="str" cm="1">
        <f t="array" ref="C19">UPPER(INDEX(_xlfn.TEXTSPLIT($D19, "-"), 3))</f>
        <v>DTG</v>
      </c>
      <c r="D19" s="84" t="s">
        <v>383</v>
      </c>
      <c r="E19" s="84" t="s">
        <v>361</v>
      </c>
      <c r="F19" s="84" t="str">
        <f t="shared" si="0"/>
        <v>t-dtg-cdsvadm-lb-pb8088</v>
      </c>
      <c r="G19" s="84" t="s">
        <v>57</v>
      </c>
      <c r="H19" s="84">
        <v>8088</v>
      </c>
      <c r="I19" s="84"/>
      <c r="J19" s="84">
        <v>5</v>
      </c>
      <c r="K19" s="84">
        <v>2</v>
      </c>
    </row>
    <row r="20" spans="1:11" x14ac:dyDescent="0.3">
      <c r="A20" s="97"/>
      <c r="B20" s="86" t="s">
        <v>182</v>
      </c>
      <c r="C20" s="86" t="str" cm="1">
        <f t="array" ref="C20">UPPER(INDEX(_xlfn.TEXTSPLIT($D20, "-"), 3))</f>
        <v>DTG</v>
      </c>
      <c r="D20" s="86" t="s">
        <v>383</v>
      </c>
      <c r="E20" s="86" t="s">
        <v>360</v>
      </c>
      <c r="F20" s="86" t="str">
        <f t="shared" si="0"/>
        <v>t-dtg-cdstap-lb-pb9305</v>
      </c>
      <c r="G20" s="74" t="s">
        <v>57</v>
      </c>
      <c r="H20" s="74">
        <v>9305</v>
      </c>
      <c r="I20" s="86"/>
      <c r="J20" s="86">
        <v>5</v>
      </c>
      <c r="K20" s="86">
        <v>2</v>
      </c>
    </row>
    <row r="21" spans="1:11" x14ac:dyDescent="0.3">
      <c r="A21" s="97"/>
      <c r="B21" s="86" t="s">
        <v>182</v>
      </c>
      <c r="C21" s="86" t="str" cm="1">
        <f t="array" ref="C21">UPPER(INDEX(_xlfn.TEXTSPLIT($D21, "-"), 3))</f>
        <v>DTG</v>
      </c>
      <c r="D21" s="86" t="s">
        <v>383</v>
      </c>
      <c r="E21" s="86" t="s">
        <v>360</v>
      </c>
      <c r="F21" s="86" t="str">
        <f t="shared" ref="F21" si="1">SUBSTITUTE(E21, "hazr-", "")&amp;"-pb"&amp;H21</f>
        <v>t-dtg-cdstap-lb-pb9306</v>
      </c>
      <c r="G21" s="74" t="s">
        <v>57</v>
      </c>
      <c r="H21" s="74">
        <v>9306</v>
      </c>
      <c r="I21" s="86"/>
      <c r="J21" s="86">
        <v>5</v>
      </c>
      <c r="K21" s="86">
        <v>2</v>
      </c>
    </row>
    <row r="22" spans="1:11" x14ac:dyDescent="0.3">
      <c r="B22" s="84" t="s">
        <v>182</v>
      </c>
      <c r="C22" s="84"/>
      <c r="D22" s="84" t="s">
        <v>383</v>
      </c>
      <c r="E22" s="84" t="s">
        <v>359</v>
      </c>
      <c r="F22" s="84" t="str">
        <f t="shared" si="0"/>
        <v>t-dtg-cdmlap-lb-pb</v>
      </c>
      <c r="G22" s="84"/>
      <c r="H22" s="84"/>
      <c r="I22" s="84"/>
      <c r="J22" s="84">
        <v>5</v>
      </c>
      <c r="K22" s="84">
        <v>2</v>
      </c>
    </row>
    <row r="23" spans="1:11" x14ac:dyDescent="0.3">
      <c r="A23" s="97"/>
      <c r="B23" s="86" t="s">
        <v>182</v>
      </c>
      <c r="C23" s="86" t="str" cm="1">
        <f t="array" ref="C23">UPPER(INDEX(_xlfn.TEXTSPLIT($D23, "-"), 3))</f>
        <v>DTG</v>
      </c>
      <c r="D23" s="86" t="s">
        <v>383</v>
      </c>
      <c r="E23" s="86" t="s">
        <v>352</v>
      </c>
      <c r="F23" s="86" t="str">
        <f t="shared" si="0"/>
        <v>t-dtg-ap-lb-pb8080</v>
      </c>
      <c r="G23" s="86" t="s">
        <v>57</v>
      </c>
      <c r="H23" s="86">
        <v>8080</v>
      </c>
      <c r="I23" s="86"/>
      <c r="J23" s="86">
        <v>5</v>
      </c>
      <c r="K23" s="86">
        <v>2</v>
      </c>
    </row>
    <row r="24" spans="1:11" x14ac:dyDescent="0.3">
      <c r="A24" s="97"/>
      <c r="B24" s="86" t="s">
        <v>182</v>
      </c>
      <c r="C24" s="86" t="str" cm="1">
        <f t="array" ref="C24">UPPER(INDEX(_xlfn.TEXTSPLIT($D24, "-"), 3))</f>
        <v>DTG</v>
      </c>
      <c r="D24" s="86" t="s">
        <v>383</v>
      </c>
      <c r="E24" s="86" t="s">
        <v>352</v>
      </c>
      <c r="F24" s="86" t="str">
        <f t="shared" si="0"/>
        <v>t-dtg-ap-lb-pb9087</v>
      </c>
      <c r="G24" s="86" t="s">
        <v>57</v>
      </c>
      <c r="H24" s="86">
        <v>9087</v>
      </c>
      <c r="I24" s="86"/>
      <c r="J24" s="86">
        <v>5</v>
      </c>
      <c r="K24" s="86">
        <v>2</v>
      </c>
    </row>
    <row r="25" spans="1:11" x14ac:dyDescent="0.3">
      <c r="A25" s="97"/>
      <c r="B25" s="84" t="s">
        <v>182</v>
      </c>
      <c r="C25" s="84" t="str" cm="1">
        <f t="array" ref="C25">UPPER(INDEX(_xlfn.TEXTSPLIT($D25, "-"), 3))</f>
        <v>DTG</v>
      </c>
      <c r="D25" s="84" t="s">
        <v>383</v>
      </c>
      <c r="E25" s="84" t="s">
        <v>356</v>
      </c>
      <c r="F25" s="84" t="str">
        <f t="shared" si="0"/>
        <v>t-dtg-admweb-lb-pb8088</v>
      </c>
      <c r="G25" s="84" t="s">
        <v>57</v>
      </c>
      <c r="H25" s="84">
        <v>8088</v>
      </c>
      <c r="I25" s="84"/>
      <c r="J25" s="84">
        <v>5</v>
      </c>
      <c r="K25" s="84">
        <v>2</v>
      </c>
    </row>
    <row r="26" spans="1:11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383</v>
      </c>
      <c r="E26" s="74" t="s">
        <v>357</v>
      </c>
      <c r="F26" s="74" t="str">
        <f t="shared" si="0"/>
        <v>t-dtg-admap-lb-pb8085</v>
      </c>
      <c r="G26" s="74" t="s">
        <v>57</v>
      </c>
      <c r="H26" s="74">
        <v>8085</v>
      </c>
      <c r="I26" s="74"/>
      <c r="J26" s="74">
        <v>5</v>
      </c>
      <c r="K26" s="74">
        <v>2</v>
      </c>
    </row>
    <row r="27" spans="1:11" x14ac:dyDescent="0.3">
      <c r="A27" s="97"/>
      <c r="B27" s="74" t="s">
        <v>182</v>
      </c>
      <c r="C27" s="74" t="str" cm="1">
        <f t="array" ref="C27">UPPER(INDEX(_xlfn.TEXTSPLIT($D27, "-"), 3))</f>
        <v>DTG</v>
      </c>
      <c r="D27" s="74" t="s">
        <v>383</v>
      </c>
      <c r="E27" s="74" t="s">
        <v>357</v>
      </c>
      <c r="F27" s="74" t="str">
        <f t="shared" si="0"/>
        <v>t-dtg-admap-lb-pb8087</v>
      </c>
      <c r="G27" s="74" t="s">
        <v>57</v>
      </c>
      <c r="H27" s="74">
        <v>8087</v>
      </c>
      <c r="I27" s="74"/>
      <c r="J27" s="74">
        <v>5</v>
      </c>
      <c r="K27" s="74">
        <v>2</v>
      </c>
    </row>
    <row r="28" spans="1:11" x14ac:dyDescent="0.3">
      <c r="B28" s="84" t="s">
        <v>182</v>
      </c>
      <c r="C28" s="84"/>
      <c r="D28" s="84" t="s">
        <v>386</v>
      </c>
      <c r="E28" s="84" t="s">
        <v>377</v>
      </c>
      <c r="F28" s="84" t="str">
        <f t="shared" si="0"/>
        <v>t-doip-web-lb-pb</v>
      </c>
      <c r="G28" s="84"/>
      <c r="H28" s="84"/>
      <c r="I28" s="84"/>
      <c r="J28" s="84">
        <v>5</v>
      </c>
      <c r="K28" s="84">
        <v>2</v>
      </c>
    </row>
    <row r="29" spans="1:11" x14ac:dyDescent="0.3">
      <c r="B29" s="86" t="s">
        <v>182</v>
      </c>
      <c r="C29" s="86"/>
      <c r="D29" s="86" t="s">
        <v>386</v>
      </c>
      <c r="E29" s="86" t="s">
        <v>378</v>
      </c>
      <c r="F29" s="86" t="str">
        <f t="shared" si="0"/>
        <v>t-doip-ap-lb-pb</v>
      </c>
      <c r="G29" s="86"/>
      <c r="H29" s="86"/>
      <c r="I29" s="86"/>
      <c r="J29" s="86">
        <v>5</v>
      </c>
      <c r="K29" s="86">
        <v>2</v>
      </c>
    </row>
    <row r="30" spans="1:11" x14ac:dyDescent="0.3">
      <c r="B30" s="84" t="s">
        <v>182</v>
      </c>
      <c r="C30" s="84"/>
      <c r="D30" s="84" t="s">
        <v>386</v>
      </c>
      <c r="E30" s="84" t="s">
        <v>379</v>
      </c>
      <c r="F30" s="84" t="str">
        <f t="shared" si="0"/>
        <v>t-doip-adm-lb-pb</v>
      </c>
      <c r="G30" s="84"/>
      <c r="H30" s="84"/>
      <c r="I30" s="84"/>
      <c r="J30" s="84">
        <v>5</v>
      </c>
      <c r="K30" s="84">
        <v>2</v>
      </c>
    </row>
    <row r="31" spans="1:11" x14ac:dyDescent="0.3">
      <c r="B31" s="74" t="s">
        <v>182</v>
      </c>
      <c r="C31" s="74" t="str" cm="1">
        <f t="array" ref="C31">UPPER(INDEX(_xlfn.TEXTSPLIT($D31, "-"), 3))</f>
        <v>DIS</v>
      </c>
      <c r="D31" s="74" t="s">
        <v>286</v>
      </c>
      <c r="E31" s="74" t="s">
        <v>289</v>
      </c>
      <c r="F31" s="74" t="str">
        <f t="shared" si="0"/>
        <v>t-dis-web-lb-pb80</v>
      </c>
      <c r="G31" s="74" t="s">
        <v>57</v>
      </c>
      <c r="H31" s="74">
        <v>80</v>
      </c>
      <c r="I31" s="74"/>
      <c r="J31" s="74">
        <v>5</v>
      </c>
      <c r="K31" s="74">
        <v>2</v>
      </c>
    </row>
    <row r="32" spans="1:11" x14ac:dyDescent="0.3">
      <c r="A32" s="97"/>
      <c r="B32" s="74" t="s">
        <v>182</v>
      </c>
      <c r="C32" s="74" t="str" cm="1">
        <f t="array" ref="C32">UPPER(INDEX(_xlfn.TEXTSPLIT($D32, "-"), 3))</f>
        <v>DIS</v>
      </c>
      <c r="D32" s="74" t="s">
        <v>286</v>
      </c>
      <c r="E32" s="74" t="s">
        <v>289</v>
      </c>
      <c r="F32" s="74" t="str">
        <f t="shared" si="0"/>
        <v>t-dis-web-lb-pb443</v>
      </c>
      <c r="G32" s="74" t="s">
        <v>57</v>
      </c>
      <c r="H32" s="74">
        <v>443</v>
      </c>
      <c r="I32" s="74"/>
      <c r="J32" s="74">
        <v>5</v>
      </c>
      <c r="K32" s="74">
        <v>2</v>
      </c>
    </row>
    <row r="33" spans="1:11" x14ac:dyDescent="0.3">
      <c r="A33" s="97"/>
      <c r="B33" s="84" t="s">
        <v>182</v>
      </c>
      <c r="C33" s="84" t="str" cm="1">
        <f t="array" ref="C33">UPPER(INDEX(_xlfn.TEXTSPLIT($D33, "-"), 3))</f>
        <v>DIS</v>
      </c>
      <c r="D33" s="84" t="s">
        <v>286</v>
      </c>
      <c r="E33" s="84" t="s">
        <v>346</v>
      </c>
      <c r="F33" s="84" t="str">
        <f t="shared" ref="F33:F62" si="2">SUBSTITUTE(E33, "hazr-", "")&amp;"-pb"&amp;H33</f>
        <v>t-dis-drvmsgap-lb-pb8080</v>
      </c>
      <c r="G33" s="84" t="s">
        <v>598</v>
      </c>
      <c r="H33" s="84">
        <v>8080</v>
      </c>
      <c r="I33" s="84"/>
      <c r="J33" s="84">
        <v>5</v>
      </c>
      <c r="K33" s="84">
        <v>2</v>
      </c>
    </row>
    <row r="34" spans="1:11" x14ac:dyDescent="0.3">
      <c r="A34" s="97"/>
      <c r="B34" s="74" t="s">
        <v>182</v>
      </c>
      <c r="C34" s="74" t="str" cm="1">
        <f t="array" ref="C34">UPPER(INDEX(_xlfn.TEXTSPLIT($D34, "-"), 3))</f>
        <v>DIS</v>
      </c>
      <c r="D34" s="74" t="s">
        <v>286</v>
      </c>
      <c r="E34" s="74" t="s">
        <v>345</v>
      </c>
      <c r="F34" s="74" t="str">
        <f t="shared" si="2"/>
        <v>t-dis-drvcltap-lb-pb8081</v>
      </c>
      <c r="G34" s="74" t="s">
        <v>57</v>
      </c>
      <c r="H34" s="74">
        <v>8081</v>
      </c>
      <c r="I34" s="74"/>
      <c r="J34" s="74">
        <v>5</v>
      </c>
      <c r="K34" s="74">
        <v>2</v>
      </c>
    </row>
    <row r="35" spans="1:11" x14ac:dyDescent="0.3">
      <c r="A35" s="97"/>
      <c r="B35" s="84" t="s">
        <v>182</v>
      </c>
      <c r="C35" s="84" t="str" cm="1">
        <f t="array" ref="C35">UPPER(INDEX(_xlfn.TEXTSPLIT($D35, "-"), 3))</f>
        <v>DIS</v>
      </c>
      <c r="D35" s="84" t="s">
        <v>286</v>
      </c>
      <c r="E35" s="84" t="s">
        <v>349</v>
      </c>
      <c r="F35" s="84" t="str">
        <f t="shared" si="2"/>
        <v>t-dis-cmsweb-lb-pb80</v>
      </c>
      <c r="G35" s="84" t="s">
        <v>57</v>
      </c>
      <c r="H35" s="84">
        <v>80</v>
      </c>
      <c r="I35" s="84"/>
      <c r="J35" s="84">
        <v>5</v>
      </c>
      <c r="K35" s="84">
        <v>2</v>
      </c>
    </row>
    <row r="36" spans="1:11" x14ac:dyDescent="0.3">
      <c r="A36" s="97"/>
      <c r="B36" s="84" t="s">
        <v>182</v>
      </c>
      <c r="C36" s="84" t="str" cm="1">
        <f t="array" ref="C36">UPPER(INDEX(_xlfn.TEXTSPLIT($D36, "-"), 3))</f>
        <v>DIS</v>
      </c>
      <c r="D36" s="84" t="s">
        <v>286</v>
      </c>
      <c r="E36" s="84" t="s">
        <v>349</v>
      </c>
      <c r="F36" s="84" t="str">
        <f t="shared" si="2"/>
        <v>t-dis-cmsweb-lb-pb443</v>
      </c>
      <c r="G36" s="84" t="s">
        <v>57</v>
      </c>
      <c r="H36" s="84">
        <v>443</v>
      </c>
      <c r="I36" s="84"/>
      <c r="J36" s="84">
        <v>5</v>
      </c>
      <c r="K36" s="84">
        <v>2</v>
      </c>
    </row>
    <row r="37" spans="1:11" x14ac:dyDescent="0.3">
      <c r="A37" s="97"/>
      <c r="B37" s="74" t="s">
        <v>182</v>
      </c>
      <c r="C37" s="74" t="str" cm="1">
        <f t="array" ref="C37">UPPER(INDEX(_xlfn.TEXTSPLIT($D37, "-"), 3))</f>
        <v>DIS</v>
      </c>
      <c r="D37" s="74" t="s">
        <v>286</v>
      </c>
      <c r="E37" s="74" t="s">
        <v>348</v>
      </c>
      <c r="F37" s="74" t="str">
        <f t="shared" si="2"/>
        <v>t-dis-cmsap-lb-pb4001</v>
      </c>
      <c r="G37" s="74" t="s">
        <v>57</v>
      </c>
      <c r="H37" s="74">
        <v>4001</v>
      </c>
      <c r="I37" s="74"/>
      <c r="J37" s="74">
        <v>5</v>
      </c>
      <c r="K37" s="74">
        <v>2</v>
      </c>
    </row>
    <row r="38" spans="1:11" x14ac:dyDescent="0.3">
      <c r="A38" s="97"/>
      <c r="B38" s="84" t="s">
        <v>182</v>
      </c>
      <c r="C38" s="84" t="str" cm="1">
        <f t="array" ref="C38">UPPER(INDEX(_xlfn.TEXTSPLIT($D38, "-"), 3))</f>
        <v>DIS</v>
      </c>
      <c r="D38" s="84" t="s">
        <v>286</v>
      </c>
      <c r="E38" s="84" t="s">
        <v>347</v>
      </c>
      <c r="F38" s="84" t="str">
        <f t="shared" si="2"/>
        <v>t-dis-cmsadm-lb-pb443</v>
      </c>
      <c r="G38" s="84" t="s">
        <v>57</v>
      </c>
      <c r="H38" s="84">
        <v>443</v>
      </c>
      <c r="I38" s="84"/>
      <c r="J38" s="84">
        <v>5</v>
      </c>
      <c r="K38" s="84">
        <v>2</v>
      </c>
    </row>
    <row r="39" spans="1:11" x14ac:dyDescent="0.3">
      <c r="A39" s="97"/>
      <c r="B39" s="74" t="s">
        <v>182</v>
      </c>
      <c r="C39" s="74" t="str" cm="1">
        <f t="array" ref="C39">UPPER(INDEX(_xlfn.TEXTSPLIT($D39, "-"), 3))</f>
        <v>DIS</v>
      </c>
      <c r="D39" s="74" t="s">
        <v>286</v>
      </c>
      <c r="E39" s="74" t="s">
        <v>350</v>
      </c>
      <c r="F39" s="74" t="str">
        <f t="shared" si="2"/>
        <v>t-dis-cmbsap-lb-pb8080</v>
      </c>
      <c r="G39" s="74" t="s">
        <v>598</v>
      </c>
      <c r="H39" s="74">
        <v>8080</v>
      </c>
      <c r="I39" s="74"/>
      <c r="J39" s="74">
        <v>5</v>
      </c>
      <c r="K39" s="74">
        <v>2</v>
      </c>
    </row>
    <row r="40" spans="1:11" x14ac:dyDescent="0.3">
      <c r="A40" s="97"/>
      <c r="B40" s="84" t="s">
        <v>182</v>
      </c>
      <c r="C40" s="84" t="str" cm="1">
        <f t="array" ref="C40">UPPER(INDEX(_xlfn.TEXTSPLIT($D40, "-"), 3))</f>
        <v>DIS</v>
      </c>
      <c r="D40" s="84" t="s">
        <v>286</v>
      </c>
      <c r="E40" s="84" t="s">
        <v>342</v>
      </c>
      <c r="F40" s="84" t="str">
        <f t="shared" si="2"/>
        <v>t-dis-bbiweb-lb-pb443</v>
      </c>
      <c r="G40" s="84" t="s">
        <v>57</v>
      </c>
      <c r="H40" s="84">
        <v>443</v>
      </c>
      <c r="I40" s="84"/>
      <c r="J40" s="84">
        <v>5</v>
      </c>
      <c r="K40" s="84">
        <v>2</v>
      </c>
    </row>
    <row r="41" spans="1:11" x14ac:dyDescent="0.3">
      <c r="A41" s="97"/>
      <c r="B41" s="74" t="s">
        <v>182</v>
      </c>
      <c r="C41" s="74" t="str" cm="1">
        <f t="array" ref="C41">UPPER(INDEX(_xlfn.TEXTSPLIT($D41, "-"), 3))</f>
        <v>DIS</v>
      </c>
      <c r="D41" s="74" t="s">
        <v>286</v>
      </c>
      <c r="E41" s="74" t="s">
        <v>344</v>
      </c>
      <c r="F41" s="74" t="str">
        <f t="shared" si="2"/>
        <v>t-dis-bbimsgap-lb-pb20030</v>
      </c>
      <c r="G41" s="74" t="s">
        <v>598</v>
      </c>
      <c r="H41" s="74">
        <v>20030</v>
      </c>
      <c r="I41" s="74"/>
      <c r="J41" s="74">
        <v>5</v>
      </c>
      <c r="K41" s="74">
        <v>2</v>
      </c>
    </row>
    <row r="42" spans="1:11" x14ac:dyDescent="0.3">
      <c r="A42" s="97"/>
      <c r="B42" s="84" t="s">
        <v>182</v>
      </c>
      <c r="C42" s="84" t="str" cm="1">
        <f t="array" ref="C42">UPPER(INDEX(_xlfn.TEXTSPLIT($D42, "-"), 3))</f>
        <v>DIS</v>
      </c>
      <c r="D42" s="84" t="s">
        <v>286</v>
      </c>
      <c r="E42" s="84" t="s">
        <v>343</v>
      </c>
      <c r="F42" s="84" t="str">
        <f t="shared" si="2"/>
        <v>t-dis-bbicltap-lb-pb20000</v>
      </c>
      <c r="G42" s="84" t="s">
        <v>598</v>
      </c>
      <c r="H42" s="84">
        <v>20000</v>
      </c>
      <c r="I42" s="84"/>
      <c r="J42" s="84">
        <v>5</v>
      </c>
      <c r="K42" s="84">
        <v>2</v>
      </c>
    </row>
    <row r="43" spans="1:11" x14ac:dyDescent="0.3">
      <c r="A43" s="97"/>
      <c r="B43" s="84" t="s">
        <v>182</v>
      </c>
      <c r="C43" s="84" t="str" cm="1">
        <f t="array" ref="C43">UPPER(INDEX(_xlfn.TEXTSPLIT($D43, "-"), 3))</f>
        <v>DIS</v>
      </c>
      <c r="D43" s="84" t="s">
        <v>286</v>
      </c>
      <c r="E43" s="84" t="s">
        <v>343</v>
      </c>
      <c r="F43" s="84" t="str">
        <f t="shared" si="2"/>
        <v>t-dis-bbicltap-lb-pb21000</v>
      </c>
      <c r="G43" s="84" t="s">
        <v>598</v>
      </c>
      <c r="H43" s="84">
        <v>21000</v>
      </c>
      <c r="I43" s="84"/>
      <c r="J43" s="84">
        <v>5</v>
      </c>
      <c r="K43" s="84">
        <v>2</v>
      </c>
    </row>
    <row r="44" spans="1:11" x14ac:dyDescent="0.3">
      <c r="A44" s="97"/>
      <c r="B44" s="84" t="s">
        <v>182</v>
      </c>
      <c r="C44" s="84" t="str" cm="1">
        <f t="array" ref="C44">UPPER(INDEX(_xlfn.TEXTSPLIT($D44, "-"), 3))</f>
        <v>DIS</v>
      </c>
      <c r="D44" s="84" t="s">
        <v>286</v>
      </c>
      <c r="E44" s="84" t="s">
        <v>343</v>
      </c>
      <c r="F44" s="84" t="str">
        <f t="shared" si="2"/>
        <v>t-dis-bbicltap-lb-pb22000</v>
      </c>
      <c r="G44" s="84" t="s">
        <v>598</v>
      </c>
      <c r="H44" s="84">
        <v>22000</v>
      </c>
      <c r="I44" s="84"/>
      <c r="J44" s="84">
        <v>5</v>
      </c>
      <c r="K44" s="84">
        <v>2</v>
      </c>
    </row>
    <row r="45" spans="1:11" x14ac:dyDescent="0.3">
      <c r="B45" s="74" t="s">
        <v>182</v>
      </c>
      <c r="C45" s="74" t="str" cm="1">
        <f t="array" ref="C45">UPPER(INDEX(_xlfn.TEXTSPLIT($D45, "-"), 3))</f>
        <v>DIS</v>
      </c>
      <c r="D45" s="74" t="s">
        <v>286</v>
      </c>
      <c r="E45" s="74" t="s">
        <v>287</v>
      </c>
      <c r="F45" s="74" t="str">
        <f t="shared" si="2"/>
        <v>t-dis-ap-lb-pb8080</v>
      </c>
      <c r="G45" s="74" t="s">
        <v>57</v>
      </c>
      <c r="H45" s="74">
        <v>8080</v>
      </c>
      <c r="I45" s="74"/>
      <c r="J45" s="74">
        <v>5</v>
      </c>
      <c r="K45" s="74">
        <v>2</v>
      </c>
    </row>
    <row r="46" spans="1:11" x14ac:dyDescent="0.3">
      <c r="B46" s="84" t="s">
        <v>182</v>
      </c>
      <c r="C46" s="84" t="str" cm="1">
        <f t="array" ref="C46">UPPER(INDEX(_xlfn.TEXTSPLIT($D46, "-"), 3))</f>
        <v>DIS</v>
      </c>
      <c r="D46" s="84" t="s">
        <v>286</v>
      </c>
      <c r="E46" s="84" t="s">
        <v>341</v>
      </c>
      <c r="F46" s="84" t="str">
        <f t="shared" si="2"/>
        <v>t-dis-adm-lb-pb443</v>
      </c>
      <c r="G46" s="84" t="s">
        <v>57</v>
      </c>
      <c r="H46" s="84">
        <v>443</v>
      </c>
      <c r="I46" s="84"/>
      <c r="J46" s="84">
        <v>5</v>
      </c>
      <c r="K46" s="84">
        <v>2</v>
      </c>
    </row>
    <row r="47" spans="1:11" x14ac:dyDescent="0.3">
      <c r="A47" s="97"/>
      <c r="B47" s="74" t="s">
        <v>182</v>
      </c>
      <c r="C47" s="74" t="str" cm="1">
        <f t="array" ref="C47">UPPER(INDEX(_xlfn.TEXTSPLIT($D47, "-"), 3))</f>
        <v>DIP</v>
      </c>
      <c r="D47" s="74" t="s">
        <v>385</v>
      </c>
      <c r="E47" s="74" t="s">
        <v>373</v>
      </c>
      <c r="F47" s="74" t="str">
        <f t="shared" si="2"/>
        <v>t-dip-web-lb-pb443</v>
      </c>
      <c r="G47" s="74" t="s">
        <v>598</v>
      </c>
      <c r="H47" s="74">
        <v>443</v>
      </c>
      <c r="I47" s="74"/>
      <c r="J47" s="74">
        <v>5</v>
      </c>
      <c r="K47" s="74">
        <v>2</v>
      </c>
    </row>
    <row r="48" spans="1:11" x14ac:dyDescent="0.3">
      <c r="A48" s="97"/>
      <c r="B48" s="74" t="s">
        <v>182</v>
      </c>
      <c r="C48" s="74" t="str" cm="1">
        <f t="array" ref="C48">UPPER(INDEX(_xlfn.TEXTSPLIT($D48, "-"), 3))</f>
        <v>DIP</v>
      </c>
      <c r="D48" s="74" t="s">
        <v>385</v>
      </c>
      <c r="E48" s="74" t="s">
        <v>373</v>
      </c>
      <c r="F48" s="74" t="str">
        <f t="shared" si="2"/>
        <v>t-dip-web-lb-pb9100</v>
      </c>
      <c r="G48" s="74" t="s">
        <v>598</v>
      </c>
      <c r="H48" s="74">
        <v>9100</v>
      </c>
      <c r="I48" s="74"/>
      <c r="J48" s="74">
        <v>5</v>
      </c>
      <c r="K48" s="74">
        <v>2</v>
      </c>
    </row>
    <row r="49" spans="1:11" x14ac:dyDescent="0.3">
      <c r="A49" s="97"/>
      <c r="B49" s="84" t="s">
        <v>182</v>
      </c>
      <c r="C49" s="84" t="str" cm="1">
        <f t="array" ref="C49">UPPER(INDEX(_xlfn.TEXTSPLIT($D49, "-"), 3))</f>
        <v>DIP</v>
      </c>
      <c r="D49" s="84" t="s">
        <v>385</v>
      </c>
      <c r="E49" s="84" t="s">
        <v>372</v>
      </c>
      <c r="F49" s="84" t="str">
        <f t="shared" si="2"/>
        <v>t-dip-mqweb-lb-pb8883</v>
      </c>
      <c r="G49" s="84" t="s">
        <v>598</v>
      </c>
      <c r="H49" s="84">
        <v>8883</v>
      </c>
      <c r="I49" s="84"/>
      <c r="J49" s="84">
        <v>5</v>
      </c>
      <c r="K49" s="84">
        <v>2</v>
      </c>
    </row>
    <row r="50" spans="1:11" x14ac:dyDescent="0.3">
      <c r="A50" s="97"/>
      <c r="B50" s="84" t="s">
        <v>182</v>
      </c>
      <c r="C50" s="84" t="str" cm="1">
        <f t="array" ref="C50">UPPER(INDEX(_xlfn.TEXTSPLIT($D50, "-"), 3))</f>
        <v>DIP</v>
      </c>
      <c r="D50" s="84" t="s">
        <v>385</v>
      </c>
      <c r="E50" s="84" t="s">
        <v>372</v>
      </c>
      <c r="F50" s="84" t="str">
        <f t="shared" si="2"/>
        <v>t-dip-mqweb-lb-pb1884</v>
      </c>
      <c r="G50" s="84" t="s">
        <v>598</v>
      </c>
      <c r="H50" s="84">
        <v>1884</v>
      </c>
      <c r="I50" s="84"/>
      <c r="J50" s="84">
        <v>5</v>
      </c>
      <c r="K50" s="84">
        <v>2</v>
      </c>
    </row>
    <row r="51" spans="1:11" x14ac:dyDescent="0.3">
      <c r="A51" s="97"/>
      <c r="B51" s="84" t="s">
        <v>182</v>
      </c>
      <c r="C51" s="84" t="str" cm="1">
        <f t="array" ref="C51">UPPER(INDEX(_xlfn.TEXTSPLIT($D51, "-"), 3))</f>
        <v>DIP</v>
      </c>
      <c r="D51" s="84" t="s">
        <v>385</v>
      </c>
      <c r="E51" s="84" t="s">
        <v>372</v>
      </c>
      <c r="F51" s="84" t="str">
        <f t="shared" si="2"/>
        <v>t-dip-mqweb-lb-pb9100</v>
      </c>
      <c r="G51" s="84" t="s">
        <v>598</v>
      </c>
      <c r="H51" s="84">
        <v>9100</v>
      </c>
      <c r="I51" s="84"/>
      <c r="J51" s="84">
        <v>5</v>
      </c>
      <c r="K51" s="84">
        <v>2</v>
      </c>
    </row>
    <row r="52" spans="1:11" x14ac:dyDescent="0.3">
      <c r="A52" s="97"/>
      <c r="B52" s="74" t="s">
        <v>182</v>
      </c>
      <c r="C52" s="74" t="str" cm="1">
        <f t="array" ref="C52">UPPER(INDEX(_xlfn.TEXTSPLIT($D52, "-"), 3))</f>
        <v>DIP</v>
      </c>
      <c r="D52" s="74" t="s">
        <v>385</v>
      </c>
      <c r="E52" s="74" t="s">
        <v>371</v>
      </c>
      <c r="F52" s="74" t="str">
        <f t="shared" si="2"/>
        <v>t-dip-mqap-lb-pb1883</v>
      </c>
      <c r="G52" s="74" t="s">
        <v>598</v>
      </c>
      <c r="H52" s="74">
        <v>1883</v>
      </c>
      <c r="I52" s="74"/>
      <c r="J52" s="74">
        <v>5</v>
      </c>
      <c r="K52" s="74">
        <v>2</v>
      </c>
    </row>
    <row r="53" spans="1:11" x14ac:dyDescent="0.3">
      <c r="A53" s="97"/>
      <c r="B53" s="74" t="s">
        <v>182</v>
      </c>
      <c r="C53" s="74" t="str" cm="1">
        <f t="array" ref="C53">UPPER(INDEX(_xlfn.TEXTSPLIT($D53, "-"), 3))</f>
        <v>DIP</v>
      </c>
      <c r="D53" s="74" t="s">
        <v>385</v>
      </c>
      <c r="E53" s="74" t="s">
        <v>371</v>
      </c>
      <c r="F53" s="74" t="str">
        <f t="shared" si="2"/>
        <v>t-dip-mqap-lb-pb1884</v>
      </c>
      <c r="G53" s="74" t="s">
        <v>598</v>
      </c>
      <c r="H53" s="74">
        <v>1884</v>
      </c>
      <c r="I53" s="74"/>
      <c r="J53" s="74">
        <v>5</v>
      </c>
      <c r="K53" s="74">
        <v>2</v>
      </c>
    </row>
    <row r="54" spans="1:11" x14ac:dyDescent="0.3">
      <c r="A54" s="97"/>
      <c r="B54" s="74" t="s">
        <v>182</v>
      </c>
      <c r="C54" s="74" t="str" cm="1">
        <f t="array" ref="C54">UPPER(INDEX(_xlfn.TEXTSPLIT($D54, "-"), 3))</f>
        <v>DIP</v>
      </c>
      <c r="D54" s="74" t="s">
        <v>385</v>
      </c>
      <c r="E54" s="74" t="s">
        <v>371</v>
      </c>
      <c r="F54" s="74" t="str">
        <f t="shared" si="2"/>
        <v>t-dip-mqap-lb-pb18083</v>
      </c>
      <c r="G54" s="74" t="s">
        <v>598</v>
      </c>
      <c r="H54" s="74">
        <v>18083</v>
      </c>
      <c r="I54" s="74"/>
      <c r="J54" s="74">
        <v>5</v>
      </c>
      <c r="K54" s="74">
        <v>2</v>
      </c>
    </row>
    <row r="55" spans="1:11" x14ac:dyDescent="0.3">
      <c r="A55" s="97"/>
      <c r="B55" s="74" t="s">
        <v>182</v>
      </c>
      <c r="C55" s="74" t="str" cm="1">
        <f t="array" ref="C55">UPPER(INDEX(_xlfn.TEXTSPLIT($D55, "-"), 3))</f>
        <v>DIP</v>
      </c>
      <c r="D55" s="74" t="s">
        <v>385</v>
      </c>
      <c r="E55" s="74" t="s">
        <v>371</v>
      </c>
      <c r="F55" s="74" t="str">
        <f t="shared" si="2"/>
        <v>t-dip-mqap-lb-pb9100</v>
      </c>
      <c r="G55" s="74" t="s">
        <v>598</v>
      </c>
      <c r="H55" s="74">
        <v>9100</v>
      </c>
      <c r="I55" s="74"/>
      <c r="J55" s="74">
        <v>5</v>
      </c>
      <c r="K55" s="74">
        <v>2</v>
      </c>
    </row>
    <row r="56" spans="1:11" x14ac:dyDescent="0.3">
      <c r="A56" s="97"/>
      <c r="B56" s="84" t="s">
        <v>182</v>
      </c>
      <c r="C56" s="84" t="str" cm="1">
        <f t="array" ref="C56">UPPER(INDEX(_xlfn.TEXTSPLIT($D56, "-"), 3))</f>
        <v>DIP</v>
      </c>
      <c r="D56" s="84" t="s">
        <v>385</v>
      </c>
      <c r="E56" s="84" t="s">
        <v>370</v>
      </c>
      <c r="F56" s="84" t="str">
        <f t="shared" si="2"/>
        <v>t-dip-geoap-lb-pb3660</v>
      </c>
      <c r="G56" s="84" t="s">
        <v>598</v>
      </c>
      <c r="H56" s="84">
        <v>3660</v>
      </c>
      <c r="I56" s="84"/>
      <c r="J56" s="84">
        <v>5</v>
      </c>
      <c r="K56" s="84">
        <v>2</v>
      </c>
    </row>
    <row r="57" spans="1:11" x14ac:dyDescent="0.3">
      <c r="A57" s="97"/>
      <c r="B57" s="84" t="s">
        <v>182</v>
      </c>
      <c r="C57" s="84" t="str" cm="1">
        <f t="array" ref="C57">UPPER(INDEX(_xlfn.TEXTSPLIT($D57, "-"), 3))</f>
        <v>DIP</v>
      </c>
      <c r="D57" s="84" t="s">
        <v>385</v>
      </c>
      <c r="E57" s="84" t="s">
        <v>370</v>
      </c>
      <c r="F57" s="84" t="str">
        <f t="shared" si="2"/>
        <v>t-dip-geoap-lb-pb3661</v>
      </c>
      <c r="G57" s="84" t="s">
        <v>598</v>
      </c>
      <c r="H57" s="84">
        <v>3661</v>
      </c>
      <c r="I57" s="84"/>
      <c r="J57" s="84">
        <v>5</v>
      </c>
      <c r="K57" s="84">
        <v>2</v>
      </c>
    </row>
    <row r="58" spans="1:11" x14ac:dyDescent="0.3">
      <c r="A58" s="97"/>
      <c r="B58" s="84" t="s">
        <v>182</v>
      </c>
      <c r="C58" s="84" t="str" cm="1">
        <f t="array" ref="C58">UPPER(INDEX(_xlfn.TEXTSPLIT($D58, "-"), 3))</f>
        <v>DIP</v>
      </c>
      <c r="D58" s="84" t="s">
        <v>385</v>
      </c>
      <c r="E58" s="84" t="s">
        <v>370</v>
      </c>
      <c r="F58" s="84" t="str">
        <f t="shared" si="2"/>
        <v>t-dip-geoap-lb-pb3670</v>
      </c>
      <c r="G58" s="84" t="s">
        <v>598</v>
      </c>
      <c r="H58" s="84">
        <v>3670</v>
      </c>
      <c r="I58" s="84"/>
      <c r="J58" s="84">
        <v>5</v>
      </c>
      <c r="K58" s="84">
        <v>2</v>
      </c>
    </row>
    <row r="59" spans="1:11" x14ac:dyDescent="0.3">
      <c r="A59" s="97"/>
      <c r="B59" s="84" t="s">
        <v>182</v>
      </c>
      <c r="C59" s="84" t="str" cm="1">
        <f t="array" ref="C59">UPPER(INDEX(_xlfn.TEXTSPLIT($D59, "-"), 3))</f>
        <v>DIP</v>
      </c>
      <c r="D59" s="84" t="s">
        <v>385</v>
      </c>
      <c r="E59" s="84" t="s">
        <v>370</v>
      </c>
      <c r="F59" s="84" t="str">
        <f t="shared" si="2"/>
        <v>t-dip-geoap-lb-pb3671</v>
      </c>
      <c r="G59" s="84" t="s">
        <v>598</v>
      </c>
      <c r="H59" s="84">
        <v>3671</v>
      </c>
      <c r="I59" s="84"/>
      <c r="J59" s="84">
        <v>5</v>
      </c>
      <c r="K59" s="84">
        <v>2</v>
      </c>
    </row>
    <row r="60" spans="1:11" x14ac:dyDescent="0.3">
      <c r="A60" s="97"/>
      <c r="B60" s="84" t="s">
        <v>182</v>
      </c>
      <c r="C60" s="84" t="str" cm="1">
        <f t="array" ref="C60">UPPER(INDEX(_xlfn.TEXTSPLIT($D60, "-"), 3))</f>
        <v>DIP</v>
      </c>
      <c r="D60" s="84" t="s">
        <v>385</v>
      </c>
      <c r="E60" s="84" t="s">
        <v>370</v>
      </c>
      <c r="F60" s="84" t="str">
        <f t="shared" si="2"/>
        <v>t-dip-geoap-lb-pb9100</v>
      </c>
      <c r="G60" s="84" t="s">
        <v>598</v>
      </c>
      <c r="H60" s="84">
        <v>9100</v>
      </c>
      <c r="I60" s="84"/>
      <c r="J60" s="84">
        <v>5</v>
      </c>
      <c r="K60" s="84">
        <v>2</v>
      </c>
    </row>
    <row r="61" spans="1:11" x14ac:dyDescent="0.3">
      <c r="A61" s="97"/>
      <c r="B61" s="74" t="s">
        <v>182</v>
      </c>
      <c r="C61" s="74" t="str" cm="1">
        <f t="array" ref="C61">UPPER(INDEX(_xlfn.TEXTSPLIT($D61, "-"), 3))</f>
        <v>DIP</v>
      </c>
      <c r="D61" s="74" t="s">
        <v>385</v>
      </c>
      <c r="E61" s="74" t="s">
        <v>369</v>
      </c>
      <c r="F61" s="74" t="str">
        <f t="shared" si="2"/>
        <v>t-dip-ap-lb-pb443</v>
      </c>
      <c r="G61" s="74" t="s">
        <v>598</v>
      </c>
      <c r="H61" s="74">
        <v>443</v>
      </c>
      <c r="I61" s="74"/>
      <c r="J61" s="74">
        <v>5</v>
      </c>
      <c r="K61" s="74">
        <v>2</v>
      </c>
    </row>
    <row r="62" spans="1:11" x14ac:dyDescent="0.3">
      <c r="A62" s="97"/>
      <c r="B62" s="74" t="s">
        <v>182</v>
      </c>
      <c r="C62" s="74" t="str" cm="1">
        <f t="array" ref="C62">UPPER(INDEX(_xlfn.TEXTSPLIT($D62, "-"), 3))</f>
        <v>DIP</v>
      </c>
      <c r="D62" s="74" t="s">
        <v>385</v>
      </c>
      <c r="E62" s="74" t="s">
        <v>369</v>
      </c>
      <c r="F62" s="74" t="str">
        <f t="shared" si="2"/>
        <v>t-dip-ap-lb-pb8100</v>
      </c>
      <c r="G62" s="74" t="s">
        <v>598</v>
      </c>
      <c r="H62" s="74">
        <v>8100</v>
      </c>
      <c r="I62" s="74"/>
      <c r="J62" s="74">
        <v>5</v>
      </c>
      <c r="K62" s="74">
        <v>2</v>
      </c>
    </row>
    <row r="63" spans="1:11" x14ac:dyDescent="0.3">
      <c r="A63" s="97"/>
      <c r="B63" s="74" t="s">
        <v>182</v>
      </c>
      <c r="C63" s="74" t="str" cm="1">
        <f t="array" ref="C63">UPPER(INDEX(_xlfn.TEXTSPLIT($D63, "-"), 3))</f>
        <v>DIP</v>
      </c>
      <c r="D63" s="74" t="s">
        <v>385</v>
      </c>
      <c r="E63" s="74" t="s">
        <v>369</v>
      </c>
      <c r="F63" s="74" t="str">
        <f t="shared" ref="F63:F83" si="3">SUBSTITUTE(E63, "hazr-", "")&amp;"-pb"&amp;H63</f>
        <v>t-dip-ap-lb-pb8200</v>
      </c>
      <c r="G63" s="74" t="s">
        <v>598</v>
      </c>
      <c r="H63" s="74">
        <v>8200</v>
      </c>
      <c r="I63" s="74"/>
      <c r="J63" s="74">
        <v>5</v>
      </c>
      <c r="K63" s="74">
        <v>2</v>
      </c>
    </row>
    <row r="64" spans="1:11" x14ac:dyDescent="0.3">
      <c r="A64" s="97"/>
      <c r="B64" s="74" t="s">
        <v>182</v>
      </c>
      <c r="C64" s="74" t="str" cm="1">
        <f t="array" ref="C64">UPPER(INDEX(_xlfn.TEXTSPLIT($D64, "-"), 3))</f>
        <v>DIP</v>
      </c>
      <c r="D64" s="74" t="s">
        <v>385</v>
      </c>
      <c r="E64" s="74" t="s">
        <v>369</v>
      </c>
      <c r="F64" s="74" t="str">
        <f t="shared" si="3"/>
        <v>t-dip-ap-lb-pb8300</v>
      </c>
      <c r="G64" s="74" t="s">
        <v>598</v>
      </c>
      <c r="H64" s="74">
        <v>8300</v>
      </c>
      <c r="I64" s="74"/>
      <c r="J64" s="74">
        <v>5</v>
      </c>
      <c r="K64" s="74">
        <v>2</v>
      </c>
    </row>
    <row r="65" spans="1:11" x14ac:dyDescent="0.3">
      <c r="A65" s="97"/>
      <c r="B65" s="74" t="s">
        <v>182</v>
      </c>
      <c r="C65" s="74" t="str" cm="1">
        <f t="array" ref="C65">UPPER(INDEX(_xlfn.TEXTSPLIT($D65, "-"), 3))</f>
        <v>DIP</v>
      </c>
      <c r="D65" s="74" t="s">
        <v>385</v>
      </c>
      <c r="E65" s="74" t="s">
        <v>369</v>
      </c>
      <c r="F65" s="74" t="str">
        <f t="shared" si="3"/>
        <v>t-dip-ap-lb-pb8400</v>
      </c>
      <c r="G65" s="74" t="s">
        <v>598</v>
      </c>
      <c r="H65" s="74">
        <v>8400</v>
      </c>
      <c r="I65" s="74"/>
      <c r="J65" s="74">
        <v>5</v>
      </c>
      <c r="K65" s="74">
        <v>2</v>
      </c>
    </row>
    <row r="66" spans="1:11" x14ac:dyDescent="0.3">
      <c r="A66" s="97"/>
      <c r="B66" s="74" t="s">
        <v>182</v>
      </c>
      <c r="C66" s="74" t="str" cm="1">
        <f t="array" ref="C66">UPPER(INDEX(_xlfn.TEXTSPLIT($D66, "-"), 3))</f>
        <v>DIP</v>
      </c>
      <c r="D66" s="74" t="s">
        <v>385</v>
      </c>
      <c r="E66" s="74" t="s">
        <v>369</v>
      </c>
      <c r="F66" s="74" t="str">
        <f t="shared" si="3"/>
        <v>t-dip-ap-lb-pb9100</v>
      </c>
      <c r="G66" s="74" t="s">
        <v>598</v>
      </c>
      <c r="H66" s="74">
        <v>9100</v>
      </c>
      <c r="I66" s="74"/>
      <c r="J66" s="74">
        <v>5</v>
      </c>
      <c r="K66" s="74">
        <v>2</v>
      </c>
    </row>
    <row r="67" spans="1:11" x14ac:dyDescent="0.3">
      <c r="A67" s="97"/>
      <c r="B67" s="74" t="s">
        <v>182</v>
      </c>
      <c r="C67" s="74" t="str" cm="1">
        <f t="array" ref="C67">UPPER(INDEX(_xlfn.TEXTSPLIT($D67, "-"), 3))</f>
        <v>DIP</v>
      </c>
      <c r="D67" s="74" t="s">
        <v>385</v>
      </c>
      <c r="E67" s="74" t="s">
        <v>369</v>
      </c>
      <c r="F67" s="74" t="str">
        <f t="shared" si="3"/>
        <v>t-dip-ap-lb-pb9113</v>
      </c>
      <c r="G67" s="74" t="s">
        <v>598</v>
      </c>
      <c r="H67" s="74">
        <v>9113</v>
      </c>
      <c r="I67" s="74"/>
      <c r="J67" s="74">
        <v>5</v>
      </c>
      <c r="K67" s="74">
        <v>2</v>
      </c>
    </row>
    <row r="68" spans="1:11" x14ac:dyDescent="0.3">
      <c r="A68" s="97"/>
      <c r="B68" s="84" t="s">
        <v>182</v>
      </c>
      <c r="C68" s="84" t="str" cm="1">
        <f t="array" ref="C68">UPPER(INDEX(_xlfn.TEXTSPLIT($D68, "-"), 3))</f>
        <v>DIP</v>
      </c>
      <c r="D68" s="84" t="s">
        <v>385</v>
      </c>
      <c r="E68" s="84" t="s">
        <v>368</v>
      </c>
      <c r="F68" s="84" t="str">
        <f t="shared" si="3"/>
        <v>t-dip-adm-lb-pb443</v>
      </c>
      <c r="G68" s="84" t="s">
        <v>598</v>
      </c>
      <c r="H68" s="84">
        <v>443</v>
      </c>
      <c r="I68" s="84"/>
      <c r="J68" s="84">
        <v>5</v>
      </c>
      <c r="K68" s="84">
        <v>2</v>
      </c>
    </row>
    <row r="69" spans="1:11" x14ac:dyDescent="0.3">
      <c r="A69" s="97"/>
      <c r="B69" s="84" t="s">
        <v>182</v>
      </c>
      <c r="C69" s="84" t="str" cm="1">
        <f t="array" ref="C69">UPPER(INDEX(_xlfn.TEXTSPLIT($D69, "-"), 3))</f>
        <v>DIP</v>
      </c>
      <c r="D69" s="84" t="s">
        <v>385</v>
      </c>
      <c r="E69" s="84" t="s">
        <v>368</v>
      </c>
      <c r="F69" s="84" t="str">
        <f t="shared" si="3"/>
        <v>t-dip-adm-lb-pb8085</v>
      </c>
      <c r="G69" s="84" t="s">
        <v>598</v>
      </c>
      <c r="H69" s="84">
        <v>8085</v>
      </c>
      <c r="I69" s="84"/>
      <c r="J69" s="84">
        <v>5</v>
      </c>
      <c r="K69" s="84">
        <v>2</v>
      </c>
    </row>
    <row r="70" spans="1:11" x14ac:dyDescent="0.3">
      <c r="A70" s="97"/>
      <c r="B70" s="84" t="s">
        <v>182</v>
      </c>
      <c r="C70" s="84" t="str" cm="1">
        <f t="array" ref="C70">UPPER(INDEX(_xlfn.TEXTSPLIT($D70, "-"), 3))</f>
        <v>DIP</v>
      </c>
      <c r="D70" s="84" t="s">
        <v>385</v>
      </c>
      <c r="E70" s="84" t="s">
        <v>368</v>
      </c>
      <c r="F70" s="84" t="str">
        <f t="shared" si="3"/>
        <v>t-dip-adm-lb-pb8900</v>
      </c>
      <c r="G70" s="84" t="s">
        <v>598</v>
      </c>
      <c r="H70" s="84">
        <v>8900</v>
      </c>
      <c r="I70" s="84"/>
      <c r="J70" s="84">
        <v>5</v>
      </c>
      <c r="K70" s="84">
        <v>2</v>
      </c>
    </row>
    <row r="71" spans="1:11" x14ac:dyDescent="0.3">
      <c r="A71" s="97"/>
      <c r="B71" s="84" t="s">
        <v>182</v>
      </c>
      <c r="C71" s="84" t="str" cm="1">
        <f t="array" ref="C71">UPPER(INDEX(_xlfn.TEXTSPLIT($D71, "-"), 3))</f>
        <v>DIP</v>
      </c>
      <c r="D71" s="84" t="s">
        <v>385</v>
      </c>
      <c r="E71" s="84" t="s">
        <v>368</v>
      </c>
      <c r="F71" s="84" t="str">
        <f t="shared" si="3"/>
        <v>t-dip-adm-lb-pb8901</v>
      </c>
      <c r="G71" s="84" t="s">
        <v>598</v>
      </c>
      <c r="H71" s="84">
        <v>8901</v>
      </c>
      <c r="I71" s="84"/>
      <c r="J71" s="84">
        <v>5</v>
      </c>
      <c r="K71" s="84">
        <v>2</v>
      </c>
    </row>
    <row r="72" spans="1:11" x14ac:dyDescent="0.3">
      <c r="A72" s="97"/>
      <c r="B72" s="84" t="s">
        <v>182</v>
      </c>
      <c r="C72" s="84" t="str" cm="1">
        <f t="array" ref="C72">UPPER(INDEX(_xlfn.TEXTSPLIT($D72, "-"), 3))</f>
        <v>DIP</v>
      </c>
      <c r="D72" s="84" t="s">
        <v>385</v>
      </c>
      <c r="E72" s="84" t="s">
        <v>368</v>
      </c>
      <c r="F72" s="84" t="str">
        <f t="shared" si="3"/>
        <v>t-dip-adm-lb-pb9100</v>
      </c>
      <c r="G72" s="84" t="s">
        <v>598</v>
      </c>
      <c r="H72" s="84">
        <v>9100</v>
      </c>
      <c r="I72" s="84"/>
      <c r="J72" s="84">
        <v>5</v>
      </c>
      <c r="K72" s="84">
        <v>2</v>
      </c>
    </row>
    <row r="73" spans="1:11" x14ac:dyDescent="0.3">
      <c r="B73" s="74" t="s">
        <v>182</v>
      </c>
      <c r="C73" s="74"/>
      <c r="D73" s="74" t="s">
        <v>205</v>
      </c>
      <c r="E73" s="74" t="s">
        <v>375</v>
      </c>
      <c r="F73" s="74" t="str">
        <f t="shared" si="3"/>
        <v>t-cs-chtweb-lb-pb</v>
      </c>
      <c r="G73" s="74"/>
      <c r="H73" s="74"/>
      <c r="I73" s="74"/>
      <c r="J73" s="74">
        <v>5</v>
      </c>
      <c r="K73" s="74">
        <v>2</v>
      </c>
    </row>
    <row r="74" spans="1:11" x14ac:dyDescent="0.3">
      <c r="B74" s="84" t="s">
        <v>182</v>
      </c>
      <c r="C74" s="84"/>
      <c r="D74" s="84" t="s">
        <v>205</v>
      </c>
      <c r="E74" s="84" t="s">
        <v>376</v>
      </c>
      <c r="F74" s="84" t="str">
        <f t="shared" si="3"/>
        <v>t-cs-chtintweb-lb-pb</v>
      </c>
      <c r="G74" s="84"/>
      <c r="H74" s="84"/>
      <c r="I74" s="84"/>
      <c r="J74" s="84">
        <v>5</v>
      </c>
      <c r="K74" s="84">
        <v>2</v>
      </c>
    </row>
    <row r="75" spans="1:11" x14ac:dyDescent="0.3">
      <c r="B75" s="74" t="s">
        <v>182</v>
      </c>
      <c r="C75" s="74"/>
      <c r="D75" s="74" t="s">
        <v>205</v>
      </c>
      <c r="E75" s="74" t="s">
        <v>374</v>
      </c>
      <c r="F75" s="74" t="str">
        <f t="shared" si="3"/>
        <v>t-cs-chtap-lb-pb</v>
      </c>
      <c r="G75" s="74"/>
      <c r="H75" s="74"/>
      <c r="I75" s="74"/>
      <c r="J75" s="74">
        <v>5</v>
      </c>
      <c r="K75" s="74">
        <v>2</v>
      </c>
    </row>
    <row r="76" spans="1:11" x14ac:dyDescent="0.3">
      <c r="A76" s="97"/>
      <c r="B76" s="74" t="s">
        <v>182</v>
      </c>
      <c r="C76" s="74" t="str" cm="1">
        <f t="array" ref="C76">UPPER(INDEX(_xlfn.TEXTSPLIT($D76, "-"), 3))</f>
        <v>IF</v>
      </c>
      <c r="D76" s="74" t="s">
        <v>474</v>
      </c>
      <c r="E76" s="74" t="s">
        <v>605</v>
      </c>
      <c r="F76" s="74" t="str">
        <f t="shared" si="3"/>
        <v>t-if-auth-lb-pb8088</v>
      </c>
      <c r="G76" s="74" t="s">
        <v>57</v>
      </c>
      <c r="H76" s="74">
        <v>8088</v>
      </c>
      <c r="I76" s="74"/>
      <c r="J76" s="74">
        <v>5</v>
      </c>
      <c r="K76" s="74">
        <v>2</v>
      </c>
    </row>
    <row r="77" spans="1:11" x14ac:dyDescent="0.3">
      <c r="A77" s="97"/>
      <c r="B77" s="74" t="s">
        <v>182</v>
      </c>
      <c r="C77" s="74" t="str" cm="1">
        <f t="array" ref="C77">UPPER(INDEX(_xlfn.TEXTSPLIT($D77, "-"), 3))</f>
        <v>IF</v>
      </c>
      <c r="D77" s="74" t="s">
        <v>474</v>
      </c>
      <c r="E77" s="74" t="s">
        <v>605</v>
      </c>
      <c r="F77" s="74" t="str">
        <f t="shared" si="3"/>
        <v>t-if-auth-lb-pb9003</v>
      </c>
      <c r="G77" s="74" t="s">
        <v>57</v>
      </c>
      <c r="H77" s="74">
        <v>9003</v>
      </c>
      <c r="I77" s="74"/>
      <c r="J77" s="74">
        <v>5</v>
      </c>
      <c r="K77" s="74">
        <v>2</v>
      </c>
    </row>
    <row r="78" spans="1:11" x14ac:dyDescent="0.3">
      <c r="A78" s="97"/>
      <c r="B78" s="74" t="s">
        <v>182</v>
      </c>
      <c r="C78" s="74" t="str" cm="1">
        <f t="array" ref="C78">UPPER(INDEX(_xlfn.TEXTSPLIT($D78, "-"), 3))</f>
        <v>IF</v>
      </c>
      <c r="D78" s="74" t="s">
        <v>474</v>
      </c>
      <c r="E78" s="74" t="s">
        <v>605</v>
      </c>
      <c r="F78" s="74" t="str">
        <f t="shared" si="3"/>
        <v>t-if-auth-lb-pb9005</v>
      </c>
      <c r="G78" s="74" t="s">
        <v>57</v>
      </c>
      <c r="H78" s="74">
        <v>9005</v>
      </c>
      <c r="I78" s="74"/>
      <c r="J78" s="74">
        <v>5</v>
      </c>
      <c r="K78" s="74">
        <v>2</v>
      </c>
    </row>
    <row r="79" spans="1:11" x14ac:dyDescent="0.3">
      <c r="A79" s="97"/>
      <c r="B79" s="84" t="s">
        <v>182</v>
      </c>
      <c r="C79" s="84" t="str" cm="1">
        <f t="array" ref="C79">UPPER(INDEX(_xlfn.TEXTSPLIT($D79, "-"), 3))</f>
        <v>BDP</v>
      </c>
      <c r="D79" s="84" t="s">
        <v>384</v>
      </c>
      <c r="E79" s="84" t="s">
        <v>367</v>
      </c>
      <c r="F79" s="84" t="str">
        <f t="shared" si="3"/>
        <v>t-bdp-slap-lb-pb443</v>
      </c>
      <c r="G79" s="84" t="s">
        <v>598</v>
      </c>
      <c r="H79" s="84">
        <v>443</v>
      </c>
      <c r="I79" s="84"/>
      <c r="J79" s="84">
        <v>5</v>
      </c>
      <c r="K79" s="84">
        <v>2</v>
      </c>
    </row>
    <row r="80" spans="1:11" x14ac:dyDescent="0.3">
      <c r="A80" s="97"/>
      <c r="B80" s="74" t="s">
        <v>182</v>
      </c>
      <c r="C80" s="74" t="str" cm="1">
        <f t="array" ref="C80">UPPER(INDEX(_xlfn.TEXTSPLIT($D80, "-"), 3))</f>
        <v>BDP</v>
      </c>
      <c r="D80" s="74" t="s">
        <v>384</v>
      </c>
      <c r="E80" s="74" t="s">
        <v>366</v>
      </c>
      <c r="F80" s="74" t="str">
        <f t="shared" si="3"/>
        <v>t-bdp-cxmadm-lb-pb443</v>
      </c>
      <c r="G80" s="74" t="s">
        <v>598</v>
      </c>
      <c r="H80" s="74">
        <v>443</v>
      </c>
      <c r="I80" s="74"/>
      <c r="J80" s="74">
        <v>5</v>
      </c>
      <c r="K80" s="74">
        <v>2</v>
      </c>
    </row>
    <row r="81" spans="1:11" x14ac:dyDescent="0.3">
      <c r="A81" s="97"/>
      <c r="B81" s="84" t="s">
        <v>182</v>
      </c>
      <c r="C81" s="84" t="str" cm="1">
        <f t="array" ref="C81">UPPER(INDEX(_xlfn.TEXTSPLIT($D81, "-"), 3))</f>
        <v>BDP</v>
      </c>
      <c r="D81" s="84" t="s">
        <v>384</v>
      </c>
      <c r="E81" s="84" t="s">
        <v>380</v>
      </c>
      <c r="F81" s="84" t="str">
        <f t="shared" si="3"/>
        <v>t-bdp-crkweb-lb-pb443</v>
      </c>
      <c r="G81" s="84" t="s">
        <v>57</v>
      </c>
      <c r="H81" s="84">
        <v>443</v>
      </c>
      <c r="I81" s="84"/>
      <c r="J81" s="84">
        <v>5</v>
      </c>
      <c r="K81" s="84">
        <v>2</v>
      </c>
    </row>
    <row r="82" spans="1:11" x14ac:dyDescent="0.3">
      <c r="A82" s="97"/>
      <c r="B82" s="74" t="s">
        <v>182</v>
      </c>
      <c r="C82" s="74" t="str" cm="1">
        <f t="array" ref="C82">UPPER(INDEX(_xlfn.TEXTSPLIT($D82, "-"), 3))</f>
        <v>BDP</v>
      </c>
      <c r="D82" s="74" t="s">
        <v>384</v>
      </c>
      <c r="E82" s="74" t="s">
        <v>382</v>
      </c>
      <c r="F82" s="74" t="str">
        <f t="shared" si="3"/>
        <v>t-bdp-crkml-lb-pb8082</v>
      </c>
      <c r="G82" s="74" t="s">
        <v>57</v>
      </c>
      <c r="H82" s="74">
        <v>8082</v>
      </c>
      <c r="I82" s="74"/>
      <c r="J82" s="74">
        <v>5</v>
      </c>
      <c r="K82" s="74">
        <v>2</v>
      </c>
    </row>
    <row r="83" spans="1:11" x14ac:dyDescent="0.3">
      <c r="A83" s="97"/>
      <c r="B83" s="84" t="s">
        <v>182</v>
      </c>
      <c r="C83" s="84" t="str" cm="1">
        <f t="array" ref="C83">UPPER(INDEX(_xlfn.TEXTSPLIT($D83, "-"), 3))</f>
        <v>BDP</v>
      </c>
      <c r="D83" s="84" t="s">
        <v>384</v>
      </c>
      <c r="E83" s="84" t="s">
        <v>381</v>
      </c>
      <c r="F83" s="84" t="str">
        <f t="shared" si="3"/>
        <v>t-bdp-crkap-lb-pb8085</v>
      </c>
      <c r="G83" s="84" t="s">
        <v>57</v>
      </c>
      <c r="H83" s="84">
        <v>8085</v>
      </c>
      <c r="I83" s="84"/>
      <c r="J83" s="84">
        <v>5</v>
      </c>
      <c r="K83" s="84">
        <v>2</v>
      </c>
    </row>
    <row r="84" spans="1:11" x14ac:dyDescent="0.3">
      <c r="B84" s="74" t="s">
        <v>182</v>
      </c>
      <c r="C84" s="74" t="str" cm="1">
        <f t="array" ref="C84">UPPER(INDEX(_xlfn.TEXTSPLIT($D84, "-"), 3))</f>
        <v>DTG</v>
      </c>
      <c r="D84" s="74" t="s">
        <v>383</v>
      </c>
      <c r="E84" s="74" t="s">
        <v>626</v>
      </c>
      <c r="F84" s="74" t="str">
        <f t="shared" ref="F84" si="4">SUBSTITUTE(E84, "hazr-", "")&amp;"-pb"&amp;H84</f>
        <v>t-dtg-bbigeoap-lb-pb8089</v>
      </c>
      <c r="G84" s="74" t="s">
        <v>57</v>
      </c>
      <c r="H84" s="74">
        <v>8089</v>
      </c>
      <c r="I84" s="74"/>
      <c r="J84" s="74">
        <v>5</v>
      </c>
      <c r="K84" s="74">
        <v>2</v>
      </c>
    </row>
    <row r="85" spans="1:11" x14ac:dyDescent="0.3">
      <c r="B85" s="74" t="s">
        <v>182</v>
      </c>
      <c r="C85" s="74" t="str" cm="1">
        <f t="array" ref="C85">UPPER(INDEX(_xlfn.TEXTSPLIT($D85, "-"), 3))</f>
        <v>DTG</v>
      </c>
      <c r="D85" s="74" t="s">
        <v>383</v>
      </c>
      <c r="E85" s="74" t="s">
        <v>626</v>
      </c>
      <c r="F85" s="74" t="str">
        <f t="shared" ref="F85" si="5">SUBSTITUTE(E85, "hazr-", "")&amp;"-pb"&amp;H85</f>
        <v>t-dtg-bbigeoap-lb-pb9089</v>
      </c>
      <c r="G85" s="74" t="s">
        <v>57</v>
      </c>
      <c r="H85" s="74">
        <v>9089</v>
      </c>
      <c r="I85" s="74"/>
      <c r="J85" s="74">
        <v>5</v>
      </c>
      <c r="K85" s="74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dimension ref="A1:R85"/>
  <sheetViews>
    <sheetView tabSelected="1" topLeftCell="A70" workbookViewId="0">
      <selection activeCell="A85" sqref="A85"/>
    </sheetView>
  </sheetViews>
  <sheetFormatPr defaultRowHeight="16.5" x14ac:dyDescent="0.3"/>
  <cols>
    <col min="3" max="3" width="12.375" bestFit="1" customWidth="1"/>
    <col min="4" max="4" width="19.5" bestFit="1" customWidth="1"/>
    <col min="5" max="5" width="24" bestFit="1" customWidth="1"/>
    <col min="6" max="6" width="16.625" bestFit="1" customWidth="1"/>
    <col min="9" max="9" width="13.375" bestFit="1" customWidth="1"/>
    <col min="10" max="10" width="19.5" bestFit="1" customWidth="1"/>
    <col min="12" max="12" width="23" bestFit="1" customWidth="1"/>
    <col min="13" max="13" width="14" bestFit="1" customWidth="1"/>
    <col min="15" max="15" width="15.375" bestFit="1" customWidth="1"/>
    <col min="16" max="16" width="15.125" bestFit="1" customWidth="1"/>
    <col min="17" max="17" width="14.625" bestFit="1" customWidth="1"/>
    <col min="18" max="18" width="15" bestFit="1" customWidth="1"/>
    <col min="19" max="19" width="22" customWidth="1"/>
    <col min="20" max="20" width="13.875" customWidth="1"/>
  </cols>
  <sheetData>
    <row r="1" spans="1:18" x14ac:dyDescent="0.3">
      <c r="A1" s="77" t="s">
        <v>0</v>
      </c>
      <c r="B1" s="77" t="s">
        <v>1</v>
      </c>
      <c r="C1" s="77" t="s">
        <v>100</v>
      </c>
      <c r="D1" s="77" t="s">
        <v>99</v>
      </c>
      <c r="E1" s="77" t="s">
        <v>117</v>
      </c>
      <c r="F1" s="77" t="s">
        <v>104</v>
      </c>
      <c r="G1" s="79" t="s">
        <v>52</v>
      </c>
      <c r="H1" s="79" t="s">
        <v>118</v>
      </c>
      <c r="I1" s="101" t="s">
        <v>127</v>
      </c>
      <c r="J1" s="77" t="s">
        <v>110</v>
      </c>
      <c r="K1" s="79" t="s">
        <v>119</v>
      </c>
      <c r="L1" s="101" t="s">
        <v>112</v>
      </c>
      <c r="M1" s="79" t="s">
        <v>594</v>
      </c>
      <c r="N1" s="72" t="s">
        <v>593</v>
      </c>
      <c r="O1" s="101" t="s">
        <v>121</v>
      </c>
      <c r="P1" s="79" t="s">
        <v>122</v>
      </c>
      <c r="Q1" s="101" t="s">
        <v>126</v>
      </c>
      <c r="R1" s="101" t="s">
        <v>120</v>
      </c>
    </row>
    <row r="2" spans="1:18" x14ac:dyDescent="0.3">
      <c r="A2" s="74" t="s">
        <v>182</v>
      </c>
      <c r="B2" s="74" t="str" cm="1">
        <f t="array" ref="B2">UPPER(INDEX(_xlfn.TEXTSPLIT($C2, "-"), 3))</f>
        <v>DTG</v>
      </c>
      <c r="C2" s="74" t="s">
        <v>383</v>
      </c>
      <c r="D2" s="74" t="s">
        <v>358</v>
      </c>
      <c r="E2" s="74" t="str">
        <f t="shared" ref="E2:E19" si="0">SUBSTITUTE(D2, "hazr-", "")&amp;"-rule"&amp;N2</f>
        <v>t-dtg-web-lb-rule8080</v>
      </c>
      <c r="F2" s="74" t="str">
        <f t="shared" ref="F2:F32" si="1">SUBSTITUTE(D2, "hazr-", "")&amp;"-fe"</f>
        <v>t-dtg-web-lb-fe</v>
      </c>
      <c r="G2" s="74" t="s">
        <v>57</v>
      </c>
      <c r="H2" s="74">
        <v>8080</v>
      </c>
      <c r="I2" s="74" t="b">
        <v>0</v>
      </c>
      <c r="J2" s="74" t="str">
        <f t="shared" ref="J2:J32" si="2">SUBSTITUTE(D2, "hazr-", "")&amp;"-bp"</f>
        <v>t-dtg-web-lb-bp</v>
      </c>
      <c r="K2" s="74">
        <v>8080</v>
      </c>
      <c r="L2" s="74" t="str">
        <f t="shared" ref="L2:L21" si="3">SUBSTITUTE(D2, "hazr-", "")&amp;"-pb"&amp;IF(N2="", "", N2)</f>
        <v>t-dtg-web-lb-pb8080</v>
      </c>
      <c r="M2" s="74" t="s">
        <v>57</v>
      </c>
      <c r="N2" s="74">
        <v>8080</v>
      </c>
      <c r="O2" s="74">
        <v>4</v>
      </c>
      <c r="P2" s="74" t="s">
        <v>123</v>
      </c>
      <c r="Q2" s="74" t="b">
        <v>1</v>
      </c>
      <c r="R2" s="74" t="b">
        <v>0</v>
      </c>
    </row>
    <row r="3" spans="1:18" x14ac:dyDescent="0.3">
      <c r="A3" s="74" t="s">
        <v>182</v>
      </c>
      <c r="B3" s="74" t="str" cm="1">
        <f t="array" ref="B3">UPPER(INDEX(_xlfn.TEXTSPLIT($C3, "-"), 3))</f>
        <v>DTG</v>
      </c>
      <c r="C3" s="74" t="s">
        <v>383</v>
      </c>
      <c r="D3" s="74" t="s">
        <v>358</v>
      </c>
      <c r="E3" s="74" t="str">
        <f t="shared" si="0"/>
        <v>t-dtg-web-lb-rule8081</v>
      </c>
      <c r="F3" s="74" t="str">
        <f t="shared" si="1"/>
        <v>t-dtg-web-lb-fe</v>
      </c>
      <c r="G3" s="74" t="s">
        <v>57</v>
      </c>
      <c r="H3" s="74">
        <v>8081</v>
      </c>
      <c r="I3" s="74" t="b">
        <v>0</v>
      </c>
      <c r="J3" s="74" t="str">
        <f t="shared" si="2"/>
        <v>t-dtg-web-lb-bp</v>
      </c>
      <c r="K3" s="74">
        <v>8081</v>
      </c>
      <c r="L3" s="74" t="str">
        <f t="shared" si="3"/>
        <v>t-dtg-web-lb-pb8081</v>
      </c>
      <c r="M3" s="74" t="s">
        <v>57</v>
      </c>
      <c r="N3" s="74">
        <v>8081</v>
      </c>
      <c r="O3" s="74">
        <v>4</v>
      </c>
      <c r="P3" s="74" t="s">
        <v>123</v>
      </c>
      <c r="Q3" s="74" t="b">
        <v>1</v>
      </c>
      <c r="R3" s="74" t="b">
        <v>0</v>
      </c>
    </row>
    <row r="4" spans="1:18" x14ac:dyDescent="0.3">
      <c r="A4" s="84" t="s">
        <v>182</v>
      </c>
      <c r="B4" s="84" t="str" cm="1">
        <f t="array" ref="B4">UPPER(INDEX(_xlfn.TEXTSPLIT($C4, "-"), 3))</f>
        <v>DTG</v>
      </c>
      <c r="C4" s="84" t="s">
        <v>383</v>
      </c>
      <c r="D4" s="84" t="s">
        <v>355</v>
      </c>
      <c r="E4" s="84" t="str">
        <f t="shared" si="0"/>
        <v>t-dtg-mq-lb-rule1883</v>
      </c>
      <c r="F4" s="84" t="str">
        <f t="shared" si="1"/>
        <v>t-dtg-mq-lb-fe</v>
      </c>
      <c r="G4" s="84" t="s">
        <v>57</v>
      </c>
      <c r="H4" s="84">
        <v>1883</v>
      </c>
      <c r="I4" s="84" t="b">
        <v>0</v>
      </c>
      <c r="J4" s="84" t="str">
        <f t="shared" si="2"/>
        <v>t-dtg-mq-lb-bp</v>
      </c>
      <c r="K4" s="84">
        <v>1883</v>
      </c>
      <c r="L4" s="84" t="str">
        <f t="shared" si="3"/>
        <v>t-dtg-mq-lb-pb1883</v>
      </c>
      <c r="M4" s="84" t="s">
        <v>57</v>
      </c>
      <c r="N4" s="84">
        <v>1883</v>
      </c>
      <c r="O4" s="84">
        <v>4</v>
      </c>
      <c r="P4" s="84" t="s">
        <v>123</v>
      </c>
      <c r="Q4" s="84" t="b">
        <v>1</v>
      </c>
      <c r="R4" s="84" t="b">
        <v>0</v>
      </c>
    </row>
    <row r="5" spans="1:18" x14ac:dyDescent="0.3">
      <c r="A5" s="84" t="s">
        <v>182</v>
      </c>
      <c r="B5" s="84" t="str" cm="1">
        <f t="array" ref="B5">UPPER(INDEX(_xlfn.TEXTSPLIT($C5, "-"), 3))</f>
        <v>DTG</v>
      </c>
      <c r="C5" s="84" t="s">
        <v>383</v>
      </c>
      <c r="D5" s="84" t="s">
        <v>355</v>
      </c>
      <c r="E5" s="84" t="str">
        <f t="shared" si="0"/>
        <v>t-dtg-mq-lb-rule1884</v>
      </c>
      <c r="F5" s="84" t="str">
        <f t="shared" si="1"/>
        <v>t-dtg-mq-lb-fe</v>
      </c>
      <c r="G5" s="84" t="s">
        <v>57</v>
      </c>
      <c r="H5" s="84">
        <v>1884</v>
      </c>
      <c r="I5" s="84" t="b">
        <v>0</v>
      </c>
      <c r="J5" s="84" t="str">
        <f t="shared" si="2"/>
        <v>t-dtg-mq-lb-bp</v>
      </c>
      <c r="K5" s="84">
        <v>1884</v>
      </c>
      <c r="L5" s="84" t="str">
        <f t="shared" si="3"/>
        <v>t-dtg-mq-lb-pb1884</v>
      </c>
      <c r="M5" s="84" t="s">
        <v>57</v>
      </c>
      <c r="N5" s="84">
        <v>1884</v>
      </c>
      <c r="O5" s="84">
        <v>4</v>
      </c>
      <c r="P5" s="84" t="s">
        <v>123</v>
      </c>
      <c r="Q5" s="84" t="b">
        <v>1</v>
      </c>
      <c r="R5" s="84" t="b">
        <v>0</v>
      </c>
    </row>
    <row r="6" spans="1:18" x14ac:dyDescent="0.3">
      <c r="A6" s="86" t="s">
        <v>182</v>
      </c>
      <c r="B6" s="86" t="str" cm="1">
        <f t="array" ref="B6">UPPER(INDEX(_xlfn.TEXTSPLIT($C6, "-"), 3))</f>
        <v>DTG</v>
      </c>
      <c r="C6" s="86" t="s">
        <v>383</v>
      </c>
      <c r="D6" s="86" t="s">
        <v>351</v>
      </c>
      <c r="E6" s="86" t="str">
        <f t="shared" si="0"/>
        <v>t-dtg-ingap-lb-rule8081</v>
      </c>
      <c r="F6" s="86" t="str">
        <f t="shared" si="1"/>
        <v>t-dtg-ingap-lb-fe</v>
      </c>
      <c r="G6" s="86" t="s">
        <v>57</v>
      </c>
      <c r="H6" s="86">
        <v>8081</v>
      </c>
      <c r="I6" s="86" t="b">
        <v>0</v>
      </c>
      <c r="J6" s="86" t="str">
        <f t="shared" si="2"/>
        <v>t-dtg-ingap-lb-bp</v>
      </c>
      <c r="K6" s="86">
        <v>8081</v>
      </c>
      <c r="L6" s="86" t="str">
        <f t="shared" si="3"/>
        <v>t-dtg-ingap-lb-pb8081</v>
      </c>
      <c r="M6" s="86" t="s">
        <v>57</v>
      </c>
      <c r="N6" s="86">
        <v>8081</v>
      </c>
      <c r="O6" s="86">
        <v>4</v>
      </c>
      <c r="P6" s="86" t="s">
        <v>123</v>
      </c>
      <c r="Q6" s="86" t="b">
        <v>1</v>
      </c>
      <c r="R6" s="86" t="b">
        <v>0</v>
      </c>
    </row>
    <row r="7" spans="1:18" x14ac:dyDescent="0.3">
      <c r="A7" s="84" t="s">
        <v>182</v>
      </c>
      <c r="B7" s="84" t="str" cm="1">
        <f t="array" ref="B7">UPPER(INDEX(_xlfn.TEXTSPLIT($C7, "-"), 3))</f>
        <v>DTG</v>
      </c>
      <c r="C7" s="84" t="s">
        <v>383</v>
      </c>
      <c r="D7" s="84" t="s">
        <v>354</v>
      </c>
      <c r="E7" s="84" t="str">
        <f t="shared" si="0"/>
        <v>t-dtg-geoap-lb-rule8089</v>
      </c>
      <c r="F7" s="84" t="str">
        <f t="shared" si="1"/>
        <v>t-dtg-geoap-lb-fe</v>
      </c>
      <c r="G7" s="84" t="s">
        <v>57</v>
      </c>
      <c r="H7" s="84">
        <v>8089</v>
      </c>
      <c r="I7" s="84" t="b">
        <v>0</v>
      </c>
      <c r="J7" s="84" t="str">
        <f t="shared" si="2"/>
        <v>t-dtg-geoap-lb-bp</v>
      </c>
      <c r="K7" s="84">
        <v>8089</v>
      </c>
      <c r="L7" s="84" t="str">
        <f t="shared" si="3"/>
        <v>t-dtg-geoap-lb-pb8089</v>
      </c>
      <c r="M7" s="84" t="s">
        <v>57</v>
      </c>
      <c r="N7" s="84">
        <v>8089</v>
      </c>
      <c r="O7" s="84">
        <v>4</v>
      </c>
      <c r="P7" s="84" t="s">
        <v>123</v>
      </c>
      <c r="Q7" s="84" t="b">
        <v>1</v>
      </c>
      <c r="R7" s="84" t="b">
        <v>0</v>
      </c>
    </row>
    <row r="8" spans="1:18" x14ac:dyDescent="0.3">
      <c r="A8" s="84" t="s">
        <v>182</v>
      </c>
      <c r="B8" s="84" t="str" cm="1">
        <f t="array" ref="B8">UPPER(INDEX(_xlfn.TEXTSPLIT($C8, "-"), 3))</f>
        <v>DTG</v>
      </c>
      <c r="C8" s="84" t="s">
        <v>383</v>
      </c>
      <c r="D8" s="84" t="s">
        <v>354</v>
      </c>
      <c r="E8" s="84" t="str">
        <f t="shared" si="0"/>
        <v>t-dtg-geoap-lb-rule9089</v>
      </c>
      <c r="F8" s="84" t="str">
        <f t="shared" si="1"/>
        <v>t-dtg-geoap-lb-fe</v>
      </c>
      <c r="G8" s="84" t="s">
        <v>57</v>
      </c>
      <c r="H8" s="84">
        <v>9089</v>
      </c>
      <c r="I8" s="84" t="b">
        <v>0</v>
      </c>
      <c r="J8" s="84" t="str">
        <f t="shared" si="2"/>
        <v>t-dtg-geoap-lb-bp</v>
      </c>
      <c r="K8" s="84">
        <v>9089</v>
      </c>
      <c r="L8" s="84" t="str">
        <f t="shared" si="3"/>
        <v>t-dtg-geoap-lb-pb9089</v>
      </c>
      <c r="M8" s="84" t="s">
        <v>57</v>
      </c>
      <c r="N8" s="84">
        <v>9089</v>
      </c>
      <c r="O8" s="84">
        <v>4</v>
      </c>
      <c r="P8" s="84" t="s">
        <v>123</v>
      </c>
      <c r="Q8" s="84" t="b">
        <v>1</v>
      </c>
      <c r="R8" s="84" t="b">
        <v>0</v>
      </c>
    </row>
    <row r="9" spans="1:18" x14ac:dyDescent="0.3">
      <c r="A9" s="74" t="s">
        <v>182</v>
      </c>
      <c r="B9" s="74" t="str" cm="1">
        <f t="array" ref="B9">UPPER(INDEX(_xlfn.TEXTSPLIT($C9, "-"), 3))</f>
        <v>DTG</v>
      </c>
      <c r="C9" s="74" t="s">
        <v>383</v>
      </c>
      <c r="D9" s="74" t="s">
        <v>353</v>
      </c>
      <c r="E9" s="74" t="str">
        <f t="shared" si="0"/>
        <v>t-dtg-extgeoap-lb-rule3660</v>
      </c>
      <c r="F9" s="74" t="str">
        <f t="shared" si="1"/>
        <v>t-dtg-extgeoap-lb-fe</v>
      </c>
      <c r="G9" s="74" t="s">
        <v>57</v>
      </c>
      <c r="H9" s="74">
        <v>3660</v>
      </c>
      <c r="I9" s="74" t="b">
        <v>0</v>
      </c>
      <c r="J9" s="74" t="str">
        <f t="shared" si="2"/>
        <v>t-dtg-extgeoap-lb-bp</v>
      </c>
      <c r="K9" s="74">
        <v>3660</v>
      </c>
      <c r="L9" s="74" t="str">
        <f t="shared" si="3"/>
        <v>t-dtg-extgeoap-lb-pb3660</v>
      </c>
      <c r="M9" s="74" t="s">
        <v>57</v>
      </c>
      <c r="N9" s="74">
        <v>3660</v>
      </c>
      <c r="O9" s="74">
        <v>4</v>
      </c>
      <c r="P9" s="74" t="s">
        <v>123</v>
      </c>
      <c r="Q9" s="74" t="b">
        <v>1</v>
      </c>
      <c r="R9" s="74" t="b">
        <v>0</v>
      </c>
    </row>
    <row r="10" spans="1:18" x14ac:dyDescent="0.3">
      <c r="A10" s="74" t="s">
        <v>182</v>
      </c>
      <c r="B10" s="74" t="str" cm="1">
        <f t="array" ref="B10">UPPER(INDEX(_xlfn.TEXTSPLIT($C10, "-"), 3))</f>
        <v>DTG</v>
      </c>
      <c r="C10" s="74" t="s">
        <v>383</v>
      </c>
      <c r="D10" s="74" t="s">
        <v>353</v>
      </c>
      <c r="E10" s="74" t="str">
        <f t="shared" si="0"/>
        <v>t-dtg-extgeoap-lb-rule3661</v>
      </c>
      <c r="F10" s="74" t="str">
        <f t="shared" si="1"/>
        <v>t-dtg-extgeoap-lb-fe</v>
      </c>
      <c r="G10" s="74" t="s">
        <v>57</v>
      </c>
      <c r="H10" s="74">
        <v>3661</v>
      </c>
      <c r="I10" s="74" t="b">
        <v>0</v>
      </c>
      <c r="J10" s="74" t="str">
        <f t="shared" si="2"/>
        <v>t-dtg-extgeoap-lb-bp</v>
      </c>
      <c r="K10" s="74">
        <v>3661</v>
      </c>
      <c r="L10" s="74" t="str">
        <f t="shared" si="3"/>
        <v>t-dtg-extgeoap-lb-pb3661</v>
      </c>
      <c r="M10" s="74" t="s">
        <v>57</v>
      </c>
      <c r="N10" s="74">
        <v>3661</v>
      </c>
      <c r="O10" s="74">
        <v>4</v>
      </c>
      <c r="P10" s="74" t="s">
        <v>123</v>
      </c>
      <c r="Q10" s="74" t="b">
        <v>1</v>
      </c>
      <c r="R10" s="74" t="b">
        <v>0</v>
      </c>
    </row>
    <row r="11" spans="1:18" x14ac:dyDescent="0.3">
      <c r="A11" s="84" t="s">
        <v>182</v>
      </c>
      <c r="B11" s="84" t="str" cm="1">
        <f t="array" ref="B11">UPPER(INDEX(_xlfn.TEXTSPLIT($C11, "-"), 3))</f>
        <v>DTG</v>
      </c>
      <c r="C11" s="84" t="s">
        <v>383</v>
      </c>
      <c r="D11" s="84" t="s">
        <v>364</v>
      </c>
      <c r="E11" s="84" t="str">
        <f t="shared" si="0"/>
        <v>t-dtg-dprweb-lb-rule443</v>
      </c>
      <c r="F11" s="84" t="str">
        <f t="shared" si="1"/>
        <v>t-dtg-dprweb-lb-fe</v>
      </c>
      <c r="G11" s="84" t="s">
        <v>57</v>
      </c>
      <c r="H11" s="84">
        <v>443</v>
      </c>
      <c r="I11" s="84" t="b">
        <v>0</v>
      </c>
      <c r="J11" s="84" t="str">
        <f t="shared" si="2"/>
        <v>t-dtg-dprweb-lb-bp</v>
      </c>
      <c r="K11" s="84">
        <v>443</v>
      </c>
      <c r="L11" s="84" t="str">
        <f t="shared" si="3"/>
        <v>t-dtg-dprweb-lb-pb443</v>
      </c>
      <c r="M11" s="84" t="s">
        <v>57</v>
      </c>
      <c r="N11" s="84">
        <v>443</v>
      </c>
      <c r="O11" s="84">
        <v>4</v>
      </c>
      <c r="P11" s="84" t="s">
        <v>123</v>
      </c>
      <c r="Q11" s="84" t="b">
        <v>1</v>
      </c>
      <c r="R11" s="84" t="b">
        <v>0</v>
      </c>
    </row>
    <row r="12" spans="1:18" x14ac:dyDescent="0.3">
      <c r="A12" s="86" t="s">
        <v>182</v>
      </c>
      <c r="B12" s="86" t="str" cm="1">
        <f t="array" ref="B12">UPPER(INDEX(_xlfn.TEXTSPLIT($C12, "-"), 3))</f>
        <v>DTG</v>
      </c>
      <c r="C12" s="86" t="s">
        <v>383</v>
      </c>
      <c r="D12" s="86" t="s">
        <v>365</v>
      </c>
      <c r="E12" s="86" t="str">
        <f t="shared" si="0"/>
        <v>t-dtg-dprap-lb-rule8082</v>
      </c>
      <c r="F12" s="86" t="str">
        <f t="shared" si="1"/>
        <v>t-dtg-dprap-lb-fe</v>
      </c>
      <c r="G12" s="86" t="s">
        <v>57</v>
      </c>
      <c r="H12" s="86">
        <v>8082</v>
      </c>
      <c r="I12" s="86" t="b">
        <v>0</v>
      </c>
      <c r="J12" s="86" t="str">
        <f t="shared" si="2"/>
        <v>t-dtg-dprap-lb-bp</v>
      </c>
      <c r="K12" s="86">
        <v>8082</v>
      </c>
      <c r="L12" s="86" t="str">
        <f t="shared" si="3"/>
        <v>t-dtg-dprap-lb-pb8082</v>
      </c>
      <c r="M12" s="86" t="s">
        <v>57</v>
      </c>
      <c r="N12" s="86">
        <v>8082</v>
      </c>
      <c r="O12" s="86">
        <v>4</v>
      </c>
      <c r="P12" s="86" t="s">
        <v>123</v>
      </c>
      <c r="Q12" s="86" t="b">
        <v>1</v>
      </c>
      <c r="R12" s="86" t="b">
        <v>0</v>
      </c>
    </row>
    <row r="13" spans="1:18" x14ac:dyDescent="0.3">
      <c r="A13" s="84" t="s">
        <v>182</v>
      </c>
      <c r="B13" s="84" t="str" cm="1">
        <f t="array" ref="B13">UPPER(INDEX(_xlfn.TEXTSPLIT($C13, "-"), 3))</f>
        <v>DTG</v>
      </c>
      <c r="C13" s="84" t="s">
        <v>383</v>
      </c>
      <c r="D13" s="84" t="s">
        <v>363</v>
      </c>
      <c r="E13" s="84" t="str">
        <f t="shared" si="0"/>
        <v>t-dtg-diosweb-lb-rule443</v>
      </c>
      <c r="F13" s="84" t="str">
        <f t="shared" si="1"/>
        <v>t-dtg-diosweb-lb-fe</v>
      </c>
      <c r="G13" s="84" t="s">
        <v>57</v>
      </c>
      <c r="H13" s="84">
        <v>443</v>
      </c>
      <c r="I13" s="84" t="b">
        <v>0</v>
      </c>
      <c r="J13" s="84" t="str">
        <f t="shared" si="2"/>
        <v>t-dtg-diosweb-lb-bp</v>
      </c>
      <c r="K13" s="84">
        <v>443</v>
      </c>
      <c r="L13" s="84" t="str">
        <f t="shared" si="3"/>
        <v>t-dtg-diosweb-lb-pb443</v>
      </c>
      <c r="M13" s="84" t="s">
        <v>57</v>
      </c>
      <c r="N13" s="84">
        <v>443</v>
      </c>
      <c r="O13" s="84">
        <v>4</v>
      </c>
      <c r="P13" s="84" t="s">
        <v>123</v>
      </c>
      <c r="Q13" s="84" t="b">
        <v>1</v>
      </c>
      <c r="R13" s="84" t="b">
        <v>0</v>
      </c>
    </row>
    <row r="14" spans="1:18" x14ac:dyDescent="0.3">
      <c r="A14" s="86" t="s">
        <v>182</v>
      </c>
      <c r="B14" s="86" t="str" cm="1">
        <f t="array" ref="B14">UPPER(INDEX(_xlfn.TEXTSPLIT($C14, "-"), 3))</f>
        <v>DTG</v>
      </c>
      <c r="C14" s="86" t="s">
        <v>383</v>
      </c>
      <c r="D14" s="86" t="s">
        <v>362</v>
      </c>
      <c r="E14" s="86" t="str">
        <f t="shared" si="0"/>
        <v>t-dtg-diosap-lb-rule8080</v>
      </c>
      <c r="F14" s="86" t="str">
        <f t="shared" si="1"/>
        <v>t-dtg-diosap-lb-fe</v>
      </c>
      <c r="G14" s="86" t="s">
        <v>57</v>
      </c>
      <c r="H14" s="86">
        <v>8080</v>
      </c>
      <c r="I14" s="86" t="b">
        <v>0</v>
      </c>
      <c r="J14" s="86" t="str">
        <f t="shared" si="2"/>
        <v>t-dtg-diosap-lb-bp</v>
      </c>
      <c r="K14" s="86">
        <v>8080</v>
      </c>
      <c r="L14" s="86" t="str">
        <f t="shared" si="3"/>
        <v>t-dtg-diosap-lb-pb8080</v>
      </c>
      <c r="M14" s="86" t="s">
        <v>598</v>
      </c>
      <c r="N14" s="86">
        <v>8080</v>
      </c>
      <c r="O14" s="86">
        <v>4</v>
      </c>
      <c r="P14" s="86" t="s">
        <v>123</v>
      </c>
      <c r="Q14" s="86" t="b">
        <v>1</v>
      </c>
      <c r="R14" s="86" t="b">
        <v>0</v>
      </c>
    </row>
    <row r="15" spans="1:18" x14ac:dyDescent="0.3">
      <c r="A15" s="84" t="s">
        <v>182</v>
      </c>
      <c r="B15" s="84" t="str" cm="1">
        <f t="array" ref="B15">UPPER(INDEX(_xlfn.TEXTSPLIT($C15, "-"), 3))</f>
        <v>DTG</v>
      </c>
      <c r="C15" s="84" t="s">
        <v>383</v>
      </c>
      <c r="D15" s="84" t="s">
        <v>361</v>
      </c>
      <c r="E15" s="84" t="str">
        <f t="shared" si="0"/>
        <v>t-dtg-cdsvadm-lb-rule9100</v>
      </c>
      <c r="F15" s="84" t="str">
        <f t="shared" si="1"/>
        <v>t-dtg-cdsvadm-lb-fe</v>
      </c>
      <c r="G15" s="84" t="s">
        <v>57</v>
      </c>
      <c r="H15" s="84">
        <v>9100</v>
      </c>
      <c r="I15" s="84" t="b">
        <v>0</v>
      </c>
      <c r="J15" s="84" t="str">
        <f t="shared" si="2"/>
        <v>t-dtg-cdsvadm-lb-bp</v>
      </c>
      <c r="K15" s="84">
        <v>9100</v>
      </c>
      <c r="L15" s="84" t="str">
        <f t="shared" si="3"/>
        <v>t-dtg-cdsvadm-lb-pb9100</v>
      </c>
      <c r="M15" s="84" t="s">
        <v>57</v>
      </c>
      <c r="N15" s="84">
        <v>9100</v>
      </c>
      <c r="O15" s="84">
        <v>4</v>
      </c>
      <c r="P15" s="84" t="s">
        <v>123</v>
      </c>
      <c r="Q15" s="84" t="b">
        <v>1</v>
      </c>
      <c r="R15" s="84" t="b">
        <v>0</v>
      </c>
    </row>
    <row r="16" spans="1:18" x14ac:dyDescent="0.3">
      <c r="A16" s="84" t="s">
        <v>182</v>
      </c>
      <c r="B16" s="84" t="str" cm="1">
        <f t="array" ref="B16">UPPER(INDEX(_xlfn.TEXTSPLIT($C16, "-"), 3))</f>
        <v>DTG</v>
      </c>
      <c r="C16" s="84" t="s">
        <v>383</v>
      </c>
      <c r="D16" s="84" t="s">
        <v>361</v>
      </c>
      <c r="E16" s="84" t="str">
        <f t="shared" si="0"/>
        <v>t-dtg-cdsvadm-lb-rule9300</v>
      </c>
      <c r="F16" s="84" t="str">
        <f t="shared" si="1"/>
        <v>t-dtg-cdsvadm-lb-fe</v>
      </c>
      <c r="G16" s="84" t="s">
        <v>57</v>
      </c>
      <c r="H16" s="84">
        <v>9300</v>
      </c>
      <c r="I16" s="84" t="b">
        <v>0</v>
      </c>
      <c r="J16" s="84" t="str">
        <f t="shared" si="2"/>
        <v>t-dtg-cdsvadm-lb-bp</v>
      </c>
      <c r="K16" s="84">
        <v>9300</v>
      </c>
      <c r="L16" s="84" t="str">
        <f t="shared" si="3"/>
        <v>t-dtg-cdsvadm-lb-pb9300</v>
      </c>
      <c r="M16" s="84" t="s">
        <v>57</v>
      </c>
      <c r="N16" s="84">
        <v>9300</v>
      </c>
      <c r="O16" s="84">
        <v>4</v>
      </c>
      <c r="P16" s="84" t="s">
        <v>123</v>
      </c>
      <c r="Q16" s="84" t="b">
        <v>1</v>
      </c>
      <c r="R16" s="84" t="b">
        <v>0</v>
      </c>
    </row>
    <row r="17" spans="1:18" x14ac:dyDescent="0.3">
      <c r="A17" s="84" t="s">
        <v>182</v>
      </c>
      <c r="B17" s="84" t="str" cm="1">
        <f t="array" ref="B17">UPPER(INDEX(_xlfn.TEXTSPLIT($C17, "-"), 3))</f>
        <v>DTG</v>
      </c>
      <c r="C17" s="84" t="s">
        <v>383</v>
      </c>
      <c r="D17" s="84" t="s">
        <v>361</v>
      </c>
      <c r="E17" s="84" t="str">
        <f t="shared" si="0"/>
        <v>t-dtg-cdsvadm-lb-rule9105</v>
      </c>
      <c r="F17" s="84" t="str">
        <f t="shared" si="1"/>
        <v>t-dtg-cdsvadm-lb-fe</v>
      </c>
      <c r="G17" s="84" t="s">
        <v>57</v>
      </c>
      <c r="H17" s="84">
        <v>9105</v>
      </c>
      <c r="I17" s="84" t="b">
        <v>0</v>
      </c>
      <c r="J17" s="84" t="str">
        <f t="shared" si="2"/>
        <v>t-dtg-cdsvadm-lb-bp</v>
      </c>
      <c r="K17" s="84">
        <v>9105</v>
      </c>
      <c r="L17" s="84" t="str">
        <f t="shared" si="3"/>
        <v>t-dtg-cdsvadm-lb-pb9105</v>
      </c>
      <c r="M17" s="84" t="s">
        <v>57</v>
      </c>
      <c r="N17" s="84">
        <v>9105</v>
      </c>
      <c r="O17" s="84">
        <v>4</v>
      </c>
      <c r="P17" s="84" t="s">
        <v>123</v>
      </c>
      <c r="Q17" s="84" t="b">
        <v>1</v>
      </c>
      <c r="R17" s="84" t="b">
        <v>0</v>
      </c>
    </row>
    <row r="18" spans="1:18" x14ac:dyDescent="0.3">
      <c r="A18" s="84" t="s">
        <v>182</v>
      </c>
      <c r="B18" s="84" t="str" cm="1">
        <f t="array" ref="B18">UPPER(INDEX(_xlfn.TEXTSPLIT($C18, "-"), 3))</f>
        <v>DTG</v>
      </c>
      <c r="C18" s="84" t="s">
        <v>383</v>
      </c>
      <c r="D18" s="84" t="s">
        <v>361</v>
      </c>
      <c r="E18" s="84" t="str">
        <f t="shared" si="0"/>
        <v>t-dtg-cdsvadm-lb-rule9003</v>
      </c>
      <c r="F18" s="84" t="str">
        <f t="shared" si="1"/>
        <v>t-dtg-cdsvadm-lb-fe</v>
      </c>
      <c r="G18" s="84" t="s">
        <v>57</v>
      </c>
      <c r="H18" s="84">
        <v>9003</v>
      </c>
      <c r="I18" s="84" t="b">
        <v>0</v>
      </c>
      <c r="J18" s="84" t="str">
        <f t="shared" si="2"/>
        <v>t-dtg-cdsvadm-lb-bp</v>
      </c>
      <c r="K18" s="84">
        <v>9003</v>
      </c>
      <c r="L18" s="84" t="str">
        <f t="shared" si="3"/>
        <v>t-dtg-cdsvadm-lb-pb9003</v>
      </c>
      <c r="M18" s="84" t="s">
        <v>57</v>
      </c>
      <c r="N18" s="84">
        <v>9003</v>
      </c>
      <c r="O18" s="84">
        <v>4</v>
      </c>
      <c r="P18" s="84" t="s">
        <v>123</v>
      </c>
      <c r="Q18" s="84" t="b">
        <v>1</v>
      </c>
      <c r="R18" s="84" t="b">
        <v>0</v>
      </c>
    </row>
    <row r="19" spans="1:18" x14ac:dyDescent="0.3">
      <c r="A19" s="84" t="s">
        <v>182</v>
      </c>
      <c r="B19" s="84" t="str" cm="1">
        <f t="array" ref="B19">UPPER(INDEX(_xlfn.TEXTSPLIT($C19, "-"), 3))</f>
        <v>DTG</v>
      </c>
      <c r="C19" s="84" t="s">
        <v>383</v>
      </c>
      <c r="D19" s="84" t="s">
        <v>361</v>
      </c>
      <c r="E19" s="84" t="str">
        <f t="shared" si="0"/>
        <v>t-dtg-cdsvadm-lb-rule8088</v>
      </c>
      <c r="F19" s="84" t="str">
        <f t="shared" si="1"/>
        <v>t-dtg-cdsvadm-lb-fe</v>
      </c>
      <c r="G19" s="84" t="s">
        <v>57</v>
      </c>
      <c r="H19" s="84">
        <v>8088</v>
      </c>
      <c r="I19" s="84" t="b">
        <v>0</v>
      </c>
      <c r="J19" s="84" t="str">
        <f t="shared" si="2"/>
        <v>t-dtg-cdsvadm-lb-bp</v>
      </c>
      <c r="K19" s="84">
        <v>8088</v>
      </c>
      <c r="L19" s="84" t="str">
        <f t="shared" si="3"/>
        <v>t-dtg-cdsvadm-lb-pb8088</v>
      </c>
      <c r="M19" s="84" t="s">
        <v>57</v>
      </c>
      <c r="N19" s="84">
        <v>8088</v>
      </c>
      <c r="O19" s="84">
        <v>4</v>
      </c>
      <c r="P19" s="84" t="s">
        <v>123</v>
      </c>
      <c r="Q19" s="84" t="b">
        <v>1</v>
      </c>
      <c r="R19" s="84" t="b">
        <v>0</v>
      </c>
    </row>
    <row r="20" spans="1:18" x14ac:dyDescent="0.3">
      <c r="A20" s="86" t="s">
        <v>182</v>
      </c>
      <c r="B20" s="86" t="str" cm="1">
        <f t="array" ref="B20">UPPER(INDEX(_xlfn.TEXTSPLIT($C20, "-"), 3))</f>
        <v>DTG</v>
      </c>
      <c r="C20" s="86" t="s">
        <v>383</v>
      </c>
      <c r="D20" s="86" t="s">
        <v>360</v>
      </c>
      <c r="E20" s="74" t="str">
        <f t="shared" ref="E20:E27" si="4">SUBSTITUTE(D20, "hazr-", "")&amp;"-rule"&amp;N20</f>
        <v>t-dtg-cdstap-lb-rule9305</v>
      </c>
      <c r="F20" s="86" t="str">
        <f t="shared" si="1"/>
        <v>t-dtg-cdstap-lb-fe</v>
      </c>
      <c r="G20" s="74" t="s">
        <v>57</v>
      </c>
      <c r="H20" s="74">
        <v>9305</v>
      </c>
      <c r="I20" s="74" t="b">
        <v>0</v>
      </c>
      <c r="J20" s="74" t="str">
        <f t="shared" ref="J20:J21" si="5">SUBSTITUTE(D20, "hazr-", "")&amp;"-bp"</f>
        <v>t-dtg-cdstap-lb-bp</v>
      </c>
      <c r="K20" s="74">
        <v>9305</v>
      </c>
      <c r="L20" s="74" t="str">
        <f t="shared" si="3"/>
        <v>t-dtg-cdstap-lb-pb9305</v>
      </c>
      <c r="M20" s="74" t="s">
        <v>57</v>
      </c>
      <c r="N20" s="74">
        <v>9305</v>
      </c>
      <c r="O20" s="74">
        <v>4</v>
      </c>
      <c r="P20" s="74" t="s">
        <v>123</v>
      </c>
      <c r="Q20" s="74" t="b">
        <v>1</v>
      </c>
      <c r="R20" s="74" t="b">
        <v>0</v>
      </c>
    </row>
    <row r="21" spans="1:18" x14ac:dyDescent="0.3">
      <c r="A21" s="86" t="s">
        <v>182</v>
      </c>
      <c r="B21" s="86" t="str" cm="1">
        <f t="array" ref="B21">UPPER(INDEX(_xlfn.TEXTSPLIT($C21, "-"), 3))</f>
        <v>DTG</v>
      </c>
      <c r="C21" s="86" t="s">
        <v>383</v>
      </c>
      <c r="D21" s="86" t="s">
        <v>360</v>
      </c>
      <c r="E21" s="74" t="str">
        <f t="shared" si="4"/>
        <v>t-dtg-cdstap-lb-rule9306</v>
      </c>
      <c r="F21" s="86" t="str">
        <f t="shared" ref="F21" si="6">SUBSTITUTE(D21, "hazr-", "")&amp;"-fe"</f>
        <v>t-dtg-cdstap-lb-fe</v>
      </c>
      <c r="G21" s="74" t="s">
        <v>57</v>
      </c>
      <c r="H21" s="74">
        <v>9306</v>
      </c>
      <c r="I21" s="74" t="b">
        <v>0</v>
      </c>
      <c r="J21" s="74" t="str">
        <f t="shared" si="5"/>
        <v>t-dtg-cdstap-lb-bp</v>
      </c>
      <c r="K21" s="74">
        <v>9306</v>
      </c>
      <c r="L21" s="74" t="str">
        <f t="shared" si="3"/>
        <v>t-dtg-cdstap-lb-pb9306</v>
      </c>
      <c r="M21" s="74" t="s">
        <v>57</v>
      </c>
      <c r="N21" s="74">
        <v>9306</v>
      </c>
      <c r="O21" s="74">
        <v>4</v>
      </c>
      <c r="P21" s="74" t="s">
        <v>123</v>
      </c>
      <c r="Q21" s="74" t="b">
        <v>1</v>
      </c>
      <c r="R21" s="74" t="b">
        <v>0</v>
      </c>
    </row>
    <row r="22" spans="1:18" x14ac:dyDescent="0.3">
      <c r="A22" s="84" t="s">
        <v>182</v>
      </c>
      <c r="B22" s="84"/>
      <c r="C22" s="84" t="s">
        <v>383</v>
      </c>
      <c r="D22" s="84" t="s">
        <v>359</v>
      </c>
      <c r="E22" s="84"/>
      <c r="F22" s="84" t="str">
        <f t="shared" si="1"/>
        <v>t-dtg-cdmlap-lb-fe</v>
      </c>
      <c r="G22" s="84" t="s">
        <v>57</v>
      </c>
      <c r="H22" s="84"/>
      <c r="I22" s="84" t="b">
        <v>0</v>
      </c>
      <c r="J22" s="84" t="str">
        <f t="shared" si="2"/>
        <v>t-dtg-cdmlap-lb-bp</v>
      </c>
      <c r="K22" s="84"/>
      <c r="L22" s="84"/>
      <c r="M22" s="84"/>
      <c r="N22" s="84"/>
      <c r="O22" s="84">
        <v>4</v>
      </c>
      <c r="P22" s="84" t="s">
        <v>123</v>
      </c>
      <c r="Q22" s="84" t="b">
        <v>1</v>
      </c>
      <c r="R22" s="84" t="b">
        <v>0</v>
      </c>
    </row>
    <row r="23" spans="1:18" x14ac:dyDescent="0.3">
      <c r="A23" s="86" t="s">
        <v>182</v>
      </c>
      <c r="B23" s="86" t="str" cm="1">
        <f t="array" ref="B23">UPPER(INDEX(_xlfn.TEXTSPLIT($C23, "-"), 3))</f>
        <v>DTG</v>
      </c>
      <c r="C23" s="86" t="s">
        <v>383</v>
      </c>
      <c r="D23" s="86" t="s">
        <v>352</v>
      </c>
      <c r="E23" s="86" t="str">
        <f t="shared" si="4"/>
        <v>t-dtg-ap-lb-rule8080</v>
      </c>
      <c r="F23" s="86" t="str">
        <f t="shared" si="1"/>
        <v>t-dtg-ap-lb-fe</v>
      </c>
      <c r="G23" s="86" t="s">
        <v>57</v>
      </c>
      <c r="H23" s="86">
        <v>8080</v>
      </c>
      <c r="I23" s="86" t="b">
        <v>0</v>
      </c>
      <c r="J23" s="86" t="str">
        <f t="shared" si="2"/>
        <v>t-dtg-ap-lb-bp</v>
      </c>
      <c r="K23" s="86">
        <v>8080</v>
      </c>
      <c r="L23" s="86" t="str">
        <f t="shared" ref="L23:L27" si="7">SUBSTITUTE(D23, "hazr-", "")&amp;"-pb"&amp;IF(N23="", "", N23)</f>
        <v>t-dtg-ap-lb-pb8080</v>
      </c>
      <c r="M23" s="86" t="s">
        <v>57</v>
      </c>
      <c r="N23" s="86">
        <v>8080</v>
      </c>
      <c r="O23" s="86">
        <v>4</v>
      </c>
      <c r="P23" s="86" t="s">
        <v>123</v>
      </c>
      <c r="Q23" s="86" t="b">
        <v>1</v>
      </c>
      <c r="R23" s="86" t="b">
        <v>0</v>
      </c>
    </row>
    <row r="24" spans="1:18" x14ac:dyDescent="0.3">
      <c r="A24" s="86" t="s">
        <v>182</v>
      </c>
      <c r="B24" s="86" t="str" cm="1">
        <f t="array" ref="B24">UPPER(INDEX(_xlfn.TEXTSPLIT($C24, "-"), 3))</f>
        <v>DTG</v>
      </c>
      <c r="C24" s="86" t="s">
        <v>383</v>
      </c>
      <c r="D24" s="86" t="s">
        <v>352</v>
      </c>
      <c r="E24" s="86" t="str">
        <f t="shared" si="4"/>
        <v>t-dtg-ap-lb-rule9087</v>
      </c>
      <c r="F24" s="86" t="str">
        <f t="shared" si="1"/>
        <v>t-dtg-ap-lb-fe</v>
      </c>
      <c r="G24" s="86" t="s">
        <v>57</v>
      </c>
      <c r="H24" s="86">
        <v>9087</v>
      </c>
      <c r="I24" s="86" t="b">
        <v>0</v>
      </c>
      <c r="J24" s="86" t="str">
        <f t="shared" si="2"/>
        <v>t-dtg-ap-lb-bp</v>
      </c>
      <c r="K24" s="86">
        <v>9087</v>
      </c>
      <c r="L24" s="86" t="str">
        <f t="shared" si="7"/>
        <v>t-dtg-ap-lb-pb9087</v>
      </c>
      <c r="M24" s="86" t="s">
        <v>57</v>
      </c>
      <c r="N24" s="86">
        <v>9087</v>
      </c>
      <c r="O24" s="86">
        <v>4</v>
      </c>
      <c r="P24" s="86" t="s">
        <v>123</v>
      </c>
      <c r="Q24" s="86" t="b">
        <v>1</v>
      </c>
      <c r="R24" s="86" t="b">
        <v>0</v>
      </c>
    </row>
    <row r="25" spans="1:18" x14ac:dyDescent="0.3">
      <c r="A25" s="84" t="s">
        <v>182</v>
      </c>
      <c r="B25" s="84" t="str" cm="1">
        <f t="array" ref="B25">UPPER(INDEX(_xlfn.TEXTSPLIT($C25, "-"), 3))</f>
        <v>DTG</v>
      </c>
      <c r="C25" s="84" t="s">
        <v>383</v>
      </c>
      <c r="D25" s="84" t="s">
        <v>356</v>
      </c>
      <c r="E25" s="84" t="str">
        <f t="shared" si="4"/>
        <v>t-dtg-admweb-lb-rule8088</v>
      </c>
      <c r="F25" s="84" t="str">
        <f t="shared" si="1"/>
        <v>t-dtg-admweb-lb-fe</v>
      </c>
      <c r="G25" s="84" t="s">
        <v>57</v>
      </c>
      <c r="H25" s="84">
        <v>8088</v>
      </c>
      <c r="I25" s="84" t="b">
        <v>0</v>
      </c>
      <c r="J25" s="84" t="str">
        <f t="shared" si="2"/>
        <v>t-dtg-admweb-lb-bp</v>
      </c>
      <c r="K25" s="84">
        <v>8088</v>
      </c>
      <c r="L25" s="84" t="str">
        <f t="shared" si="7"/>
        <v>t-dtg-admweb-lb-pb8088</v>
      </c>
      <c r="M25" s="84" t="s">
        <v>57</v>
      </c>
      <c r="N25" s="84">
        <v>8088</v>
      </c>
      <c r="O25" s="84">
        <v>4</v>
      </c>
      <c r="P25" s="84" t="s">
        <v>123</v>
      </c>
      <c r="Q25" s="84" t="b">
        <v>1</v>
      </c>
      <c r="R25" s="84" t="b">
        <v>0</v>
      </c>
    </row>
    <row r="26" spans="1:18" x14ac:dyDescent="0.3">
      <c r="A26" s="74" t="s">
        <v>182</v>
      </c>
      <c r="B26" s="74" t="str" cm="1">
        <f t="array" ref="B26">UPPER(INDEX(_xlfn.TEXTSPLIT($C26, "-"), 3))</f>
        <v>DTG</v>
      </c>
      <c r="C26" s="74" t="s">
        <v>383</v>
      </c>
      <c r="D26" s="74" t="s">
        <v>357</v>
      </c>
      <c r="E26" s="74" t="str">
        <f t="shared" si="4"/>
        <v>t-dtg-admap-lb-rule8085</v>
      </c>
      <c r="F26" s="74" t="str">
        <f t="shared" si="1"/>
        <v>t-dtg-admap-lb-fe</v>
      </c>
      <c r="G26" s="74" t="s">
        <v>57</v>
      </c>
      <c r="H26" s="74">
        <v>8085</v>
      </c>
      <c r="I26" s="74" t="b">
        <v>0</v>
      </c>
      <c r="J26" s="74" t="str">
        <f t="shared" si="2"/>
        <v>t-dtg-admap-lb-bp</v>
      </c>
      <c r="K26" s="74">
        <v>8085</v>
      </c>
      <c r="L26" s="74" t="str">
        <f t="shared" si="7"/>
        <v>t-dtg-admap-lb-pb8085</v>
      </c>
      <c r="M26" s="74" t="s">
        <v>57</v>
      </c>
      <c r="N26" s="74">
        <v>8085</v>
      </c>
      <c r="O26" s="74">
        <v>4</v>
      </c>
      <c r="P26" s="74" t="s">
        <v>123</v>
      </c>
      <c r="Q26" s="74" t="b">
        <v>1</v>
      </c>
      <c r="R26" s="74" t="b">
        <v>0</v>
      </c>
    </row>
    <row r="27" spans="1:18" x14ac:dyDescent="0.3">
      <c r="A27" s="74" t="s">
        <v>182</v>
      </c>
      <c r="B27" s="74" t="str" cm="1">
        <f t="array" ref="B27">UPPER(INDEX(_xlfn.TEXTSPLIT($C27, "-"), 3))</f>
        <v>DTG</v>
      </c>
      <c r="C27" s="74" t="s">
        <v>383</v>
      </c>
      <c r="D27" s="74" t="s">
        <v>357</v>
      </c>
      <c r="E27" s="74" t="str">
        <f t="shared" si="4"/>
        <v>t-dtg-admap-lb-rule8087</v>
      </c>
      <c r="F27" s="74" t="str">
        <f t="shared" si="1"/>
        <v>t-dtg-admap-lb-fe</v>
      </c>
      <c r="G27" s="74" t="s">
        <v>57</v>
      </c>
      <c r="H27" s="74">
        <v>8087</v>
      </c>
      <c r="I27" s="74" t="b">
        <v>0</v>
      </c>
      <c r="J27" s="74" t="str">
        <f t="shared" si="2"/>
        <v>t-dtg-admap-lb-bp</v>
      </c>
      <c r="K27" s="74">
        <v>8087</v>
      </c>
      <c r="L27" s="74" t="str">
        <f t="shared" si="7"/>
        <v>t-dtg-admap-lb-pb8087</v>
      </c>
      <c r="M27" s="74" t="s">
        <v>57</v>
      </c>
      <c r="N27" s="74">
        <v>8087</v>
      </c>
      <c r="O27" s="74">
        <v>4</v>
      </c>
      <c r="P27" s="74" t="s">
        <v>123</v>
      </c>
      <c r="Q27" s="74" t="b">
        <v>1</v>
      </c>
      <c r="R27" s="74" t="b">
        <v>0</v>
      </c>
    </row>
    <row r="28" spans="1:18" x14ac:dyDescent="0.3">
      <c r="A28" s="84" t="s">
        <v>182</v>
      </c>
      <c r="B28" s="84"/>
      <c r="C28" s="84" t="s">
        <v>386</v>
      </c>
      <c r="D28" s="84" t="s">
        <v>377</v>
      </c>
      <c r="E28" s="84"/>
      <c r="F28" s="84" t="str">
        <f t="shared" si="1"/>
        <v>t-doip-web-lb-fe</v>
      </c>
      <c r="G28" s="84" t="s">
        <v>57</v>
      </c>
      <c r="H28" s="84"/>
      <c r="I28" s="84" t="b">
        <v>0</v>
      </c>
      <c r="J28" s="84" t="str">
        <f t="shared" si="2"/>
        <v>t-doip-web-lb-bp</v>
      </c>
      <c r="K28" s="84"/>
      <c r="L28" s="84"/>
      <c r="M28" s="84"/>
      <c r="N28" s="84"/>
      <c r="O28" s="84">
        <v>4</v>
      </c>
      <c r="P28" s="84" t="s">
        <v>123</v>
      </c>
      <c r="Q28" s="84" t="b">
        <v>1</v>
      </c>
      <c r="R28" s="84" t="b">
        <v>0</v>
      </c>
    </row>
    <row r="29" spans="1:18" x14ac:dyDescent="0.3">
      <c r="A29" s="86" t="s">
        <v>182</v>
      </c>
      <c r="B29" s="86"/>
      <c r="C29" s="86" t="s">
        <v>386</v>
      </c>
      <c r="D29" s="86" t="s">
        <v>378</v>
      </c>
      <c r="E29" s="86"/>
      <c r="F29" s="86" t="str">
        <f t="shared" si="1"/>
        <v>t-doip-ap-lb-fe</v>
      </c>
      <c r="G29" s="86" t="s">
        <v>57</v>
      </c>
      <c r="H29" s="86"/>
      <c r="I29" s="86" t="b">
        <v>0</v>
      </c>
      <c r="J29" s="86" t="str">
        <f t="shared" si="2"/>
        <v>t-doip-ap-lb-bp</v>
      </c>
      <c r="K29" s="86"/>
      <c r="L29" s="86"/>
      <c r="M29" s="86"/>
      <c r="N29" s="86"/>
      <c r="O29" s="86">
        <v>4</v>
      </c>
      <c r="P29" s="86" t="s">
        <v>123</v>
      </c>
      <c r="Q29" s="86" t="b">
        <v>1</v>
      </c>
      <c r="R29" s="86" t="b">
        <v>0</v>
      </c>
    </row>
    <row r="30" spans="1:18" x14ac:dyDescent="0.3">
      <c r="A30" s="84" t="s">
        <v>182</v>
      </c>
      <c r="B30" s="84"/>
      <c r="C30" s="84" t="s">
        <v>386</v>
      </c>
      <c r="D30" s="84" t="s">
        <v>379</v>
      </c>
      <c r="E30" s="84"/>
      <c r="F30" s="84" t="str">
        <f t="shared" si="1"/>
        <v>t-doip-adm-lb-fe</v>
      </c>
      <c r="G30" s="84" t="s">
        <v>57</v>
      </c>
      <c r="H30" s="84"/>
      <c r="I30" s="84" t="b">
        <v>0</v>
      </c>
      <c r="J30" s="84" t="str">
        <f t="shared" si="2"/>
        <v>t-doip-adm-lb-bp</v>
      </c>
      <c r="K30" s="84"/>
      <c r="L30" s="84"/>
      <c r="M30" s="84"/>
      <c r="N30" s="84"/>
      <c r="O30" s="84">
        <v>4</v>
      </c>
      <c r="P30" s="84" t="s">
        <v>123</v>
      </c>
      <c r="Q30" s="84" t="b">
        <v>1</v>
      </c>
      <c r="R30" s="84" t="b">
        <v>0</v>
      </c>
    </row>
    <row r="31" spans="1:18" x14ac:dyDescent="0.3">
      <c r="A31" s="74" t="s">
        <v>182</v>
      </c>
      <c r="B31" s="74" t="str" cm="1">
        <f t="array" ref="B31">UPPER(INDEX(_xlfn.TEXTSPLIT($C31, "-"), 3))</f>
        <v>DIS</v>
      </c>
      <c r="C31" s="74" t="s">
        <v>286</v>
      </c>
      <c r="D31" s="74" t="s">
        <v>289</v>
      </c>
      <c r="E31" s="74" t="str">
        <f t="shared" ref="E31:E60" si="8">SUBSTITUTE(D31, "hazr-", "")&amp;"-rule"&amp;N31</f>
        <v>t-dis-web-lb-rule80</v>
      </c>
      <c r="F31" s="74" t="str">
        <f t="shared" si="1"/>
        <v>t-dis-web-lb-fe</v>
      </c>
      <c r="G31" s="74" t="s">
        <v>57</v>
      </c>
      <c r="H31" s="74">
        <v>80</v>
      </c>
      <c r="I31" s="74" t="b">
        <v>0</v>
      </c>
      <c r="J31" s="74" t="str">
        <f t="shared" si="2"/>
        <v>t-dis-web-lb-bp</v>
      </c>
      <c r="K31" s="74">
        <v>80</v>
      </c>
      <c r="L31" s="74" t="str">
        <f t="shared" ref="L31:L60" si="9">SUBSTITUTE(D31, "hazr-", "")&amp;"-pb"&amp;IF(N31="", "", N31)</f>
        <v>t-dis-web-lb-pb80</v>
      </c>
      <c r="M31" s="74" t="s">
        <v>57</v>
      </c>
      <c r="N31" s="74">
        <v>80</v>
      </c>
      <c r="O31" s="74">
        <v>4</v>
      </c>
      <c r="P31" s="74" t="s">
        <v>123</v>
      </c>
      <c r="Q31" s="74" t="b">
        <v>1</v>
      </c>
      <c r="R31" s="74" t="b">
        <v>0</v>
      </c>
    </row>
    <row r="32" spans="1:18" x14ac:dyDescent="0.3">
      <c r="A32" s="74" t="s">
        <v>182</v>
      </c>
      <c r="B32" s="74" t="str" cm="1">
        <f t="array" ref="B32">UPPER(INDEX(_xlfn.TEXTSPLIT($C32, "-"), 3))</f>
        <v>DIS</v>
      </c>
      <c r="C32" s="74" t="s">
        <v>286</v>
      </c>
      <c r="D32" s="74" t="s">
        <v>289</v>
      </c>
      <c r="E32" s="74" t="str">
        <f t="shared" si="8"/>
        <v>t-dis-web-lb-rule443</v>
      </c>
      <c r="F32" s="74" t="str">
        <f t="shared" si="1"/>
        <v>t-dis-web-lb-fe</v>
      </c>
      <c r="G32" s="74" t="s">
        <v>57</v>
      </c>
      <c r="H32" s="74">
        <v>443</v>
      </c>
      <c r="I32" s="74" t="b">
        <v>0</v>
      </c>
      <c r="J32" s="74" t="str">
        <f t="shared" si="2"/>
        <v>t-dis-web-lb-bp</v>
      </c>
      <c r="K32" s="74">
        <v>443</v>
      </c>
      <c r="L32" s="74" t="str">
        <f t="shared" si="9"/>
        <v>t-dis-web-lb-pb443</v>
      </c>
      <c r="M32" s="74" t="s">
        <v>57</v>
      </c>
      <c r="N32" s="74">
        <v>443</v>
      </c>
      <c r="O32" s="74">
        <v>4</v>
      </c>
      <c r="P32" s="74" t="s">
        <v>123</v>
      </c>
      <c r="Q32" s="74" t="b">
        <v>1</v>
      </c>
      <c r="R32" s="74" t="b">
        <v>0</v>
      </c>
    </row>
    <row r="33" spans="1:18" x14ac:dyDescent="0.3">
      <c r="A33" s="84" t="s">
        <v>182</v>
      </c>
      <c r="B33" s="84" t="str" cm="1">
        <f t="array" ref="B33">UPPER(INDEX(_xlfn.TEXTSPLIT($C33, "-"), 3))</f>
        <v>DIS</v>
      </c>
      <c r="C33" s="84" t="s">
        <v>286</v>
      </c>
      <c r="D33" s="84" t="s">
        <v>346</v>
      </c>
      <c r="E33" s="84" t="str">
        <f t="shared" si="8"/>
        <v>t-dis-drvmsgap-lb-rule8080</v>
      </c>
      <c r="F33" s="84" t="str">
        <f t="shared" ref="F33:F62" si="10">SUBSTITUTE(D33, "hazr-", "")&amp;"-fe"</f>
        <v>t-dis-drvmsgap-lb-fe</v>
      </c>
      <c r="G33" s="84" t="s">
        <v>57</v>
      </c>
      <c r="H33" s="84">
        <v>8080</v>
      </c>
      <c r="I33" s="84" t="b">
        <v>0</v>
      </c>
      <c r="J33" s="84" t="str">
        <f t="shared" ref="J33:J62" si="11">SUBSTITUTE(D33, "hazr-", "")&amp;"-bp"</f>
        <v>t-dis-drvmsgap-lb-bp</v>
      </c>
      <c r="K33" s="84">
        <v>8080</v>
      </c>
      <c r="L33" s="84" t="str">
        <f t="shared" si="9"/>
        <v>t-dis-drvmsgap-lb-pb8080</v>
      </c>
      <c r="M33" s="84" t="s">
        <v>598</v>
      </c>
      <c r="N33" s="84">
        <v>8080</v>
      </c>
      <c r="O33" s="84">
        <v>4</v>
      </c>
      <c r="P33" s="84" t="s">
        <v>123</v>
      </c>
      <c r="Q33" s="84" t="b">
        <v>1</v>
      </c>
      <c r="R33" s="84" t="b">
        <v>0</v>
      </c>
    </row>
    <row r="34" spans="1:18" x14ac:dyDescent="0.3">
      <c r="A34" s="74" t="s">
        <v>182</v>
      </c>
      <c r="B34" s="74" t="str" cm="1">
        <f t="array" ref="B34">UPPER(INDEX(_xlfn.TEXTSPLIT($C34, "-"), 3))</f>
        <v>DIS</v>
      </c>
      <c r="C34" s="74" t="s">
        <v>286</v>
      </c>
      <c r="D34" s="74" t="s">
        <v>345</v>
      </c>
      <c r="E34" s="74" t="str">
        <f t="shared" si="8"/>
        <v>t-dis-drvcltap-lb-rule8081</v>
      </c>
      <c r="F34" s="74" t="str">
        <f t="shared" si="10"/>
        <v>t-dis-drvcltap-lb-fe</v>
      </c>
      <c r="G34" s="74" t="s">
        <v>57</v>
      </c>
      <c r="H34" s="74">
        <v>8081</v>
      </c>
      <c r="I34" s="74" t="b">
        <v>0</v>
      </c>
      <c r="J34" s="74" t="str">
        <f t="shared" si="11"/>
        <v>t-dis-drvcltap-lb-bp</v>
      </c>
      <c r="K34" s="74">
        <v>8081</v>
      </c>
      <c r="L34" s="74" t="str">
        <f t="shared" si="9"/>
        <v>t-dis-drvcltap-lb-pb8081</v>
      </c>
      <c r="M34" s="74" t="s">
        <v>57</v>
      </c>
      <c r="N34" s="74">
        <v>8081</v>
      </c>
      <c r="O34" s="74">
        <v>4</v>
      </c>
      <c r="P34" s="74" t="s">
        <v>123</v>
      </c>
      <c r="Q34" s="74" t="b">
        <v>1</v>
      </c>
      <c r="R34" s="74" t="b">
        <v>0</v>
      </c>
    </row>
    <row r="35" spans="1:18" x14ac:dyDescent="0.3">
      <c r="A35" s="84" t="s">
        <v>182</v>
      </c>
      <c r="B35" s="84" t="str" cm="1">
        <f t="array" ref="B35">UPPER(INDEX(_xlfn.TEXTSPLIT($C35, "-"), 3))</f>
        <v>DIS</v>
      </c>
      <c r="C35" s="84" t="s">
        <v>286</v>
      </c>
      <c r="D35" s="84" t="s">
        <v>349</v>
      </c>
      <c r="E35" s="84" t="str">
        <f t="shared" si="8"/>
        <v>t-dis-cmsweb-lb-rule80</v>
      </c>
      <c r="F35" s="84" t="str">
        <f t="shared" si="10"/>
        <v>t-dis-cmsweb-lb-fe</v>
      </c>
      <c r="G35" s="84" t="s">
        <v>57</v>
      </c>
      <c r="H35" s="84">
        <v>80</v>
      </c>
      <c r="I35" s="84" t="b">
        <v>0</v>
      </c>
      <c r="J35" s="84" t="str">
        <f t="shared" si="11"/>
        <v>t-dis-cmsweb-lb-bp</v>
      </c>
      <c r="K35" s="84">
        <v>80</v>
      </c>
      <c r="L35" s="84" t="str">
        <f t="shared" si="9"/>
        <v>t-dis-cmsweb-lb-pb80</v>
      </c>
      <c r="M35" s="84" t="s">
        <v>57</v>
      </c>
      <c r="N35" s="84">
        <v>80</v>
      </c>
      <c r="O35" s="84">
        <v>4</v>
      </c>
      <c r="P35" s="84" t="s">
        <v>123</v>
      </c>
      <c r="Q35" s="84" t="b">
        <v>1</v>
      </c>
      <c r="R35" s="84" t="b">
        <v>0</v>
      </c>
    </row>
    <row r="36" spans="1:18" x14ac:dyDescent="0.3">
      <c r="A36" s="84" t="s">
        <v>182</v>
      </c>
      <c r="B36" s="84" t="str" cm="1">
        <f t="array" ref="B36">UPPER(INDEX(_xlfn.TEXTSPLIT($C36, "-"), 3))</f>
        <v>DIS</v>
      </c>
      <c r="C36" s="84" t="s">
        <v>286</v>
      </c>
      <c r="D36" s="84" t="s">
        <v>349</v>
      </c>
      <c r="E36" s="84" t="str">
        <f t="shared" si="8"/>
        <v>t-dis-cmsweb-lb-rule443</v>
      </c>
      <c r="F36" s="84" t="str">
        <f t="shared" si="10"/>
        <v>t-dis-cmsweb-lb-fe</v>
      </c>
      <c r="G36" s="84" t="s">
        <v>57</v>
      </c>
      <c r="H36" s="84">
        <v>443</v>
      </c>
      <c r="I36" s="84" t="b">
        <v>0</v>
      </c>
      <c r="J36" s="84" t="str">
        <f t="shared" si="11"/>
        <v>t-dis-cmsweb-lb-bp</v>
      </c>
      <c r="K36" s="84">
        <v>443</v>
      </c>
      <c r="L36" s="84" t="str">
        <f t="shared" si="9"/>
        <v>t-dis-cmsweb-lb-pb443</v>
      </c>
      <c r="M36" s="84" t="s">
        <v>57</v>
      </c>
      <c r="N36" s="84">
        <v>443</v>
      </c>
      <c r="O36" s="84">
        <v>4</v>
      </c>
      <c r="P36" s="84" t="s">
        <v>123</v>
      </c>
      <c r="Q36" s="84" t="b">
        <v>1</v>
      </c>
      <c r="R36" s="84" t="b">
        <v>0</v>
      </c>
    </row>
    <row r="37" spans="1:18" x14ac:dyDescent="0.3">
      <c r="A37" s="74" t="s">
        <v>182</v>
      </c>
      <c r="B37" s="74" t="str" cm="1">
        <f t="array" ref="B37">UPPER(INDEX(_xlfn.TEXTSPLIT($C37, "-"), 3))</f>
        <v>DIS</v>
      </c>
      <c r="C37" s="74" t="s">
        <v>286</v>
      </c>
      <c r="D37" s="74" t="s">
        <v>348</v>
      </c>
      <c r="E37" s="74" t="str">
        <f t="shared" si="8"/>
        <v>t-dis-cmsap-lb-rule4001</v>
      </c>
      <c r="F37" s="74" t="str">
        <f t="shared" si="10"/>
        <v>t-dis-cmsap-lb-fe</v>
      </c>
      <c r="G37" s="74" t="s">
        <v>57</v>
      </c>
      <c r="H37" s="74">
        <v>4001</v>
      </c>
      <c r="I37" s="74" t="b">
        <v>0</v>
      </c>
      <c r="J37" s="74" t="str">
        <f t="shared" si="11"/>
        <v>t-dis-cmsap-lb-bp</v>
      </c>
      <c r="K37" s="74">
        <v>4001</v>
      </c>
      <c r="L37" s="74" t="str">
        <f t="shared" si="9"/>
        <v>t-dis-cmsap-lb-pb4001</v>
      </c>
      <c r="M37" s="74" t="s">
        <v>57</v>
      </c>
      <c r="N37" s="74">
        <v>4001</v>
      </c>
      <c r="O37" s="74">
        <v>4</v>
      </c>
      <c r="P37" s="74" t="s">
        <v>123</v>
      </c>
      <c r="Q37" s="74" t="b">
        <v>1</v>
      </c>
      <c r="R37" s="74" t="b">
        <v>0</v>
      </c>
    </row>
    <row r="38" spans="1:18" x14ac:dyDescent="0.3">
      <c r="A38" s="84" t="s">
        <v>182</v>
      </c>
      <c r="B38" s="84" t="str" cm="1">
        <f t="array" ref="B38">UPPER(INDEX(_xlfn.TEXTSPLIT($C38, "-"), 3))</f>
        <v>DIS</v>
      </c>
      <c r="C38" s="84" t="s">
        <v>286</v>
      </c>
      <c r="D38" s="84" t="s">
        <v>347</v>
      </c>
      <c r="E38" s="84" t="str">
        <f t="shared" si="8"/>
        <v>t-dis-cmsadm-lb-rule443</v>
      </c>
      <c r="F38" s="84" t="str">
        <f t="shared" si="10"/>
        <v>t-dis-cmsadm-lb-fe</v>
      </c>
      <c r="G38" s="84" t="s">
        <v>57</v>
      </c>
      <c r="H38" s="84">
        <v>443</v>
      </c>
      <c r="I38" s="84" t="b">
        <v>0</v>
      </c>
      <c r="J38" s="84" t="str">
        <f t="shared" si="11"/>
        <v>t-dis-cmsadm-lb-bp</v>
      </c>
      <c r="K38" s="84">
        <v>443</v>
      </c>
      <c r="L38" s="84" t="str">
        <f t="shared" si="9"/>
        <v>t-dis-cmsadm-lb-pb443</v>
      </c>
      <c r="M38" s="84" t="s">
        <v>57</v>
      </c>
      <c r="N38" s="84">
        <v>443</v>
      </c>
      <c r="O38" s="84">
        <v>4</v>
      </c>
      <c r="P38" s="84" t="s">
        <v>123</v>
      </c>
      <c r="Q38" s="84" t="b">
        <v>1</v>
      </c>
      <c r="R38" s="84" t="b">
        <v>0</v>
      </c>
    </row>
    <row r="39" spans="1:18" x14ac:dyDescent="0.3">
      <c r="A39" s="74" t="s">
        <v>182</v>
      </c>
      <c r="B39" s="74" t="str" cm="1">
        <f t="array" ref="B39">UPPER(INDEX(_xlfn.TEXTSPLIT($C39, "-"), 3))</f>
        <v>DIS</v>
      </c>
      <c r="C39" s="74" t="s">
        <v>286</v>
      </c>
      <c r="D39" s="74" t="s">
        <v>350</v>
      </c>
      <c r="E39" s="74" t="str">
        <f t="shared" si="8"/>
        <v>t-dis-cmbsap-lb-rule8080</v>
      </c>
      <c r="F39" s="74" t="str">
        <f t="shared" si="10"/>
        <v>t-dis-cmbsap-lb-fe</v>
      </c>
      <c r="G39" s="74" t="s">
        <v>57</v>
      </c>
      <c r="H39" s="74">
        <v>8080</v>
      </c>
      <c r="I39" s="74" t="b">
        <v>0</v>
      </c>
      <c r="J39" s="74" t="str">
        <f t="shared" si="11"/>
        <v>t-dis-cmbsap-lb-bp</v>
      </c>
      <c r="K39" s="74">
        <v>8080</v>
      </c>
      <c r="L39" s="74" t="str">
        <f t="shared" si="9"/>
        <v>t-dis-cmbsap-lb-pb8080</v>
      </c>
      <c r="M39" s="74" t="s">
        <v>598</v>
      </c>
      <c r="N39" s="74">
        <v>8080</v>
      </c>
      <c r="O39" s="74">
        <v>4</v>
      </c>
      <c r="P39" s="74" t="s">
        <v>123</v>
      </c>
      <c r="Q39" s="74" t="b">
        <v>1</v>
      </c>
      <c r="R39" s="74" t="b">
        <v>0</v>
      </c>
    </row>
    <row r="40" spans="1:18" x14ac:dyDescent="0.3">
      <c r="A40" s="84" t="s">
        <v>182</v>
      </c>
      <c r="B40" s="84" t="str" cm="1">
        <f t="array" ref="B40">UPPER(INDEX(_xlfn.TEXTSPLIT($C40, "-"), 3))</f>
        <v>DIS</v>
      </c>
      <c r="C40" s="84" t="s">
        <v>286</v>
      </c>
      <c r="D40" s="84" t="s">
        <v>342</v>
      </c>
      <c r="E40" s="84" t="str">
        <f t="shared" si="8"/>
        <v>t-dis-bbiweb-lb-rule443</v>
      </c>
      <c r="F40" s="84" t="str">
        <f t="shared" si="10"/>
        <v>t-dis-bbiweb-lb-fe</v>
      </c>
      <c r="G40" s="84" t="s">
        <v>57</v>
      </c>
      <c r="H40" s="84">
        <v>443</v>
      </c>
      <c r="I40" s="84" t="b">
        <v>0</v>
      </c>
      <c r="J40" s="84" t="str">
        <f t="shared" si="11"/>
        <v>t-dis-bbiweb-lb-bp</v>
      </c>
      <c r="K40" s="84">
        <v>443</v>
      </c>
      <c r="L40" s="84" t="str">
        <f t="shared" si="9"/>
        <v>t-dis-bbiweb-lb-pb443</v>
      </c>
      <c r="M40" s="84" t="s">
        <v>57</v>
      </c>
      <c r="N40" s="84">
        <v>443</v>
      </c>
      <c r="O40" s="84">
        <v>4</v>
      </c>
      <c r="P40" s="84" t="s">
        <v>123</v>
      </c>
      <c r="Q40" s="84" t="b">
        <v>1</v>
      </c>
      <c r="R40" s="84" t="b">
        <v>0</v>
      </c>
    </row>
    <row r="41" spans="1:18" x14ac:dyDescent="0.3">
      <c r="A41" s="74" t="s">
        <v>182</v>
      </c>
      <c r="B41" s="74" t="str" cm="1">
        <f t="array" ref="B41">UPPER(INDEX(_xlfn.TEXTSPLIT($C41, "-"), 3))</f>
        <v>DIS</v>
      </c>
      <c r="C41" s="74" t="s">
        <v>286</v>
      </c>
      <c r="D41" s="74" t="s">
        <v>344</v>
      </c>
      <c r="E41" s="74" t="str">
        <f t="shared" si="8"/>
        <v>t-dis-bbimsgap-lb-rule20030</v>
      </c>
      <c r="F41" s="74" t="str">
        <f t="shared" si="10"/>
        <v>t-dis-bbimsgap-lb-fe</v>
      </c>
      <c r="G41" s="74" t="s">
        <v>57</v>
      </c>
      <c r="H41" s="74">
        <v>20030</v>
      </c>
      <c r="I41" s="74" t="b">
        <v>0</v>
      </c>
      <c r="J41" s="74" t="str">
        <f t="shared" si="11"/>
        <v>t-dis-bbimsgap-lb-bp</v>
      </c>
      <c r="K41" s="74">
        <v>20030</v>
      </c>
      <c r="L41" s="74" t="str">
        <f t="shared" si="9"/>
        <v>t-dis-bbimsgap-lb-pb20030</v>
      </c>
      <c r="M41" s="74" t="s">
        <v>598</v>
      </c>
      <c r="N41" s="74">
        <v>20030</v>
      </c>
      <c r="O41" s="74">
        <v>4</v>
      </c>
      <c r="P41" s="74" t="s">
        <v>123</v>
      </c>
      <c r="Q41" s="74" t="b">
        <v>1</v>
      </c>
      <c r="R41" s="74" t="b">
        <v>0</v>
      </c>
    </row>
    <row r="42" spans="1:18" x14ac:dyDescent="0.3">
      <c r="A42" s="84" t="s">
        <v>182</v>
      </c>
      <c r="B42" s="84" t="str" cm="1">
        <f t="array" ref="B42">UPPER(INDEX(_xlfn.TEXTSPLIT($C42, "-"), 3))</f>
        <v>DIS</v>
      </c>
      <c r="C42" s="84" t="s">
        <v>286</v>
      </c>
      <c r="D42" s="84" t="s">
        <v>343</v>
      </c>
      <c r="E42" s="84" t="str">
        <f t="shared" si="8"/>
        <v>t-dis-bbicltap-lb-rule20000</v>
      </c>
      <c r="F42" s="84" t="str">
        <f t="shared" si="10"/>
        <v>t-dis-bbicltap-lb-fe</v>
      </c>
      <c r="G42" s="84" t="s">
        <v>57</v>
      </c>
      <c r="H42" s="84">
        <v>20000</v>
      </c>
      <c r="I42" s="84" t="b">
        <v>0</v>
      </c>
      <c r="J42" s="84" t="str">
        <f t="shared" si="11"/>
        <v>t-dis-bbicltap-lb-bp</v>
      </c>
      <c r="K42" s="84">
        <v>20000</v>
      </c>
      <c r="L42" s="84" t="str">
        <f t="shared" si="9"/>
        <v>t-dis-bbicltap-lb-pb20000</v>
      </c>
      <c r="M42" s="84" t="s">
        <v>598</v>
      </c>
      <c r="N42" s="84">
        <v>20000</v>
      </c>
      <c r="O42" s="84">
        <v>4</v>
      </c>
      <c r="P42" s="84" t="s">
        <v>123</v>
      </c>
      <c r="Q42" s="84" t="b">
        <v>1</v>
      </c>
      <c r="R42" s="84" t="b">
        <v>0</v>
      </c>
    </row>
    <row r="43" spans="1:18" x14ac:dyDescent="0.3">
      <c r="A43" s="84" t="s">
        <v>182</v>
      </c>
      <c r="B43" s="84" t="str" cm="1">
        <f t="array" ref="B43">UPPER(INDEX(_xlfn.TEXTSPLIT($C43, "-"), 3))</f>
        <v>DIS</v>
      </c>
      <c r="C43" s="84" t="s">
        <v>286</v>
      </c>
      <c r="D43" s="84" t="s">
        <v>343</v>
      </c>
      <c r="E43" s="84" t="str">
        <f t="shared" si="8"/>
        <v>t-dis-bbicltap-lb-rule21000</v>
      </c>
      <c r="F43" s="84" t="str">
        <f t="shared" si="10"/>
        <v>t-dis-bbicltap-lb-fe</v>
      </c>
      <c r="G43" s="84" t="s">
        <v>57</v>
      </c>
      <c r="H43" s="84">
        <v>21000</v>
      </c>
      <c r="I43" s="84" t="b">
        <v>0</v>
      </c>
      <c r="J43" s="84" t="str">
        <f t="shared" si="11"/>
        <v>t-dis-bbicltap-lb-bp</v>
      </c>
      <c r="K43" s="84">
        <v>21000</v>
      </c>
      <c r="L43" s="84" t="str">
        <f t="shared" si="9"/>
        <v>t-dis-bbicltap-lb-pb21000</v>
      </c>
      <c r="M43" s="84" t="s">
        <v>598</v>
      </c>
      <c r="N43" s="84">
        <v>21000</v>
      </c>
      <c r="O43" s="84">
        <v>4</v>
      </c>
      <c r="P43" s="84" t="s">
        <v>123</v>
      </c>
      <c r="Q43" s="84" t="b">
        <v>1</v>
      </c>
      <c r="R43" s="84" t="b">
        <v>0</v>
      </c>
    </row>
    <row r="44" spans="1:18" x14ac:dyDescent="0.3">
      <c r="A44" s="84" t="s">
        <v>182</v>
      </c>
      <c r="B44" s="84" t="str" cm="1">
        <f t="array" ref="B44">UPPER(INDEX(_xlfn.TEXTSPLIT($C44, "-"), 3))</f>
        <v>DIS</v>
      </c>
      <c r="C44" s="84" t="s">
        <v>286</v>
      </c>
      <c r="D44" s="84" t="s">
        <v>343</v>
      </c>
      <c r="E44" s="84" t="str">
        <f t="shared" si="8"/>
        <v>t-dis-bbicltap-lb-rule22000</v>
      </c>
      <c r="F44" s="84" t="str">
        <f t="shared" si="10"/>
        <v>t-dis-bbicltap-lb-fe</v>
      </c>
      <c r="G44" s="84" t="s">
        <v>57</v>
      </c>
      <c r="H44" s="84">
        <v>22000</v>
      </c>
      <c r="I44" s="84" t="b">
        <v>0</v>
      </c>
      <c r="J44" s="84" t="str">
        <f t="shared" si="11"/>
        <v>t-dis-bbicltap-lb-bp</v>
      </c>
      <c r="K44" s="84">
        <v>22000</v>
      </c>
      <c r="L44" s="84" t="str">
        <f t="shared" si="9"/>
        <v>t-dis-bbicltap-lb-pb22000</v>
      </c>
      <c r="M44" s="84" t="s">
        <v>598</v>
      </c>
      <c r="N44" s="84">
        <v>22000</v>
      </c>
      <c r="O44" s="84">
        <v>4</v>
      </c>
      <c r="P44" s="84" t="s">
        <v>123</v>
      </c>
      <c r="Q44" s="84" t="b">
        <v>1</v>
      </c>
      <c r="R44" s="84" t="b">
        <v>0</v>
      </c>
    </row>
    <row r="45" spans="1:18" x14ac:dyDescent="0.3">
      <c r="A45" s="74" t="s">
        <v>182</v>
      </c>
      <c r="B45" s="74" t="str" cm="1">
        <f t="array" ref="B45">UPPER(INDEX(_xlfn.TEXTSPLIT($C45, "-"), 3))</f>
        <v>DIS</v>
      </c>
      <c r="C45" s="74" t="s">
        <v>286</v>
      </c>
      <c r="D45" s="74" t="s">
        <v>287</v>
      </c>
      <c r="E45" s="74" t="str">
        <f t="shared" si="8"/>
        <v>t-dis-ap-lb-rule8080</v>
      </c>
      <c r="F45" s="74" t="str">
        <f t="shared" si="10"/>
        <v>t-dis-ap-lb-fe</v>
      </c>
      <c r="G45" s="74" t="s">
        <v>57</v>
      </c>
      <c r="H45" s="74">
        <v>8080</v>
      </c>
      <c r="I45" s="74" t="b">
        <v>0</v>
      </c>
      <c r="J45" s="74" t="str">
        <f t="shared" si="11"/>
        <v>t-dis-ap-lb-bp</v>
      </c>
      <c r="K45" s="74">
        <v>8080</v>
      </c>
      <c r="L45" s="74" t="str">
        <f t="shared" si="9"/>
        <v>t-dis-ap-lb-pb8080</v>
      </c>
      <c r="M45" s="74" t="s">
        <v>57</v>
      </c>
      <c r="N45" s="74">
        <v>8080</v>
      </c>
      <c r="O45" s="74">
        <v>4</v>
      </c>
      <c r="P45" s="74" t="s">
        <v>123</v>
      </c>
      <c r="Q45" s="74" t="b">
        <v>1</v>
      </c>
      <c r="R45" s="74" t="b">
        <v>0</v>
      </c>
    </row>
    <row r="46" spans="1:18" x14ac:dyDescent="0.3">
      <c r="A46" s="84" t="s">
        <v>182</v>
      </c>
      <c r="B46" s="84" t="str" cm="1">
        <f t="array" ref="B46">UPPER(INDEX(_xlfn.TEXTSPLIT($C46, "-"), 3))</f>
        <v>DIS</v>
      </c>
      <c r="C46" s="84" t="s">
        <v>286</v>
      </c>
      <c r="D46" s="84" t="s">
        <v>341</v>
      </c>
      <c r="E46" s="84" t="str">
        <f t="shared" si="8"/>
        <v>t-dis-adm-lb-rule443</v>
      </c>
      <c r="F46" s="84" t="str">
        <f t="shared" si="10"/>
        <v>t-dis-adm-lb-fe</v>
      </c>
      <c r="G46" s="84" t="s">
        <v>57</v>
      </c>
      <c r="H46" s="84">
        <v>443</v>
      </c>
      <c r="I46" s="84" t="b">
        <v>0</v>
      </c>
      <c r="J46" s="84" t="str">
        <f t="shared" si="11"/>
        <v>t-dis-adm-lb-bp</v>
      </c>
      <c r="K46" s="84">
        <v>443</v>
      </c>
      <c r="L46" s="84" t="str">
        <f t="shared" si="9"/>
        <v>t-dis-adm-lb-pb443</v>
      </c>
      <c r="M46" s="84" t="s">
        <v>57</v>
      </c>
      <c r="N46" s="84">
        <v>443</v>
      </c>
      <c r="O46" s="84">
        <v>4</v>
      </c>
      <c r="P46" s="84" t="s">
        <v>123</v>
      </c>
      <c r="Q46" s="84" t="b">
        <v>1</v>
      </c>
      <c r="R46" s="84" t="b">
        <v>0</v>
      </c>
    </row>
    <row r="47" spans="1:18" x14ac:dyDescent="0.3">
      <c r="A47" s="74" t="s">
        <v>182</v>
      </c>
      <c r="B47" s="74" t="str" cm="1">
        <f t="array" ref="B47">UPPER(INDEX(_xlfn.TEXTSPLIT($C47, "-"), 3))</f>
        <v>DIP</v>
      </c>
      <c r="C47" s="74" t="s">
        <v>385</v>
      </c>
      <c r="D47" s="74" t="s">
        <v>373</v>
      </c>
      <c r="E47" s="74" t="str">
        <f t="shared" si="8"/>
        <v>t-dip-web-lb-rule443</v>
      </c>
      <c r="F47" s="74" t="str">
        <f t="shared" si="10"/>
        <v>t-dip-web-lb-fe</v>
      </c>
      <c r="G47" s="74" t="s">
        <v>57</v>
      </c>
      <c r="H47" s="74">
        <v>443</v>
      </c>
      <c r="I47" s="74" t="b">
        <v>0</v>
      </c>
      <c r="J47" s="74" t="str">
        <f t="shared" si="11"/>
        <v>t-dip-web-lb-bp</v>
      </c>
      <c r="K47" s="74">
        <v>443</v>
      </c>
      <c r="L47" s="74" t="str">
        <f t="shared" si="9"/>
        <v>t-dip-web-lb-pb443</v>
      </c>
      <c r="M47" s="74" t="s">
        <v>598</v>
      </c>
      <c r="N47" s="74">
        <v>443</v>
      </c>
      <c r="O47" s="74">
        <v>4</v>
      </c>
      <c r="P47" s="74" t="s">
        <v>123</v>
      </c>
      <c r="Q47" s="74" t="b">
        <v>1</v>
      </c>
      <c r="R47" s="74" t="b">
        <v>0</v>
      </c>
    </row>
    <row r="48" spans="1:18" x14ac:dyDescent="0.3">
      <c r="A48" s="74" t="s">
        <v>182</v>
      </c>
      <c r="B48" s="74" t="str" cm="1">
        <f t="array" ref="B48">UPPER(INDEX(_xlfn.TEXTSPLIT($C48, "-"), 3))</f>
        <v>DIP</v>
      </c>
      <c r="C48" s="74" t="s">
        <v>385</v>
      </c>
      <c r="D48" s="74" t="s">
        <v>373</v>
      </c>
      <c r="E48" s="74" t="str">
        <f t="shared" si="8"/>
        <v>t-dip-web-lb-rule9100</v>
      </c>
      <c r="F48" s="74" t="str">
        <f t="shared" si="10"/>
        <v>t-dip-web-lb-fe</v>
      </c>
      <c r="G48" s="74" t="s">
        <v>57</v>
      </c>
      <c r="H48" s="74">
        <v>9100</v>
      </c>
      <c r="I48" s="74" t="b">
        <v>0</v>
      </c>
      <c r="J48" s="74" t="str">
        <f t="shared" si="11"/>
        <v>t-dip-web-lb-bp</v>
      </c>
      <c r="K48" s="74">
        <v>9100</v>
      </c>
      <c r="L48" s="74" t="str">
        <f t="shared" si="9"/>
        <v>t-dip-web-lb-pb9100</v>
      </c>
      <c r="M48" s="74" t="s">
        <v>598</v>
      </c>
      <c r="N48" s="74">
        <v>9100</v>
      </c>
      <c r="O48" s="74">
        <v>4</v>
      </c>
      <c r="P48" s="74" t="s">
        <v>123</v>
      </c>
      <c r="Q48" s="74" t="b">
        <v>1</v>
      </c>
      <c r="R48" s="74" t="b">
        <v>0</v>
      </c>
    </row>
    <row r="49" spans="1:18" x14ac:dyDescent="0.3">
      <c r="A49" s="84" t="s">
        <v>182</v>
      </c>
      <c r="B49" s="84" t="str" cm="1">
        <f t="array" ref="B49">UPPER(INDEX(_xlfn.TEXTSPLIT($C49, "-"), 3))</f>
        <v>DIP</v>
      </c>
      <c r="C49" s="84" t="s">
        <v>385</v>
      </c>
      <c r="D49" s="84" t="s">
        <v>372</v>
      </c>
      <c r="E49" s="84" t="str">
        <f t="shared" si="8"/>
        <v>t-dip-mqweb-lb-rule8883</v>
      </c>
      <c r="F49" s="84" t="str">
        <f t="shared" si="10"/>
        <v>t-dip-mqweb-lb-fe</v>
      </c>
      <c r="G49" s="84" t="s">
        <v>57</v>
      </c>
      <c r="H49" s="84">
        <v>8883</v>
      </c>
      <c r="I49" s="84" t="b">
        <v>0</v>
      </c>
      <c r="J49" s="84" t="str">
        <f t="shared" si="11"/>
        <v>t-dip-mqweb-lb-bp</v>
      </c>
      <c r="K49" s="84">
        <v>8883</v>
      </c>
      <c r="L49" s="84" t="str">
        <f t="shared" si="9"/>
        <v>t-dip-mqweb-lb-pb8883</v>
      </c>
      <c r="M49" s="84" t="s">
        <v>598</v>
      </c>
      <c r="N49" s="84">
        <v>8883</v>
      </c>
      <c r="O49" s="84">
        <v>4</v>
      </c>
      <c r="P49" s="84" t="s">
        <v>123</v>
      </c>
      <c r="Q49" s="84" t="b">
        <v>1</v>
      </c>
      <c r="R49" s="84" t="b">
        <v>0</v>
      </c>
    </row>
    <row r="50" spans="1:18" x14ac:dyDescent="0.3">
      <c r="A50" s="84" t="s">
        <v>182</v>
      </c>
      <c r="B50" s="84" t="str" cm="1">
        <f t="array" ref="B50">UPPER(INDEX(_xlfn.TEXTSPLIT($C50, "-"), 3))</f>
        <v>DIP</v>
      </c>
      <c r="C50" s="84" t="s">
        <v>385</v>
      </c>
      <c r="D50" s="84" t="s">
        <v>372</v>
      </c>
      <c r="E50" s="84" t="str">
        <f t="shared" si="8"/>
        <v>t-dip-mqweb-lb-rule1884</v>
      </c>
      <c r="F50" s="84" t="str">
        <f t="shared" si="10"/>
        <v>t-dip-mqweb-lb-fe</v>
      </c>
      <c r="G50" s="84" t="s">
        <v>57</v>
      </c>
      <c r="H50" s="84">
        <v>1884</v>
      </c>
      <c r="I50" s="84" t="b">
        <v>0</v>
      </c>
      <c r="J50" s="84" t="str">
        <f t="shared" si="11"/>
        <v>t-dip-mqweb-lb-bp</v>
      </c>
      <c r="K50" s="84">
        <v>1884</v>
      </c>
      <c r="L50" s="84" t="str">
        <f t="shared" si="9"/>
        <v>t-dip-mqweb-lb-pb1884</v>
      </c>
      <c r="M50" s="84" t="s">
        <v>598</v>
      </c>
      <c r="N50" s="84">
        <v>1884</v>
      </c>
      <c r="O50" s="84">
        <v>4</v>
      </c>
      <c r="P50" s="84" t="s">
        <v>123</v>
      </c>
      <c r="Q50" s="84" t="b">
        <v>1</v>
      </c>
      <c r="R50" s="84" t="b">
        <v>0</v>
      </c>
    </row>
    <row r="51" spans="1:18" x14ac:dyDescent="0.3">
      <c r="A51" s="84" t="s">
        <v>182</v>
      </c>
      <c r="B51" s="84" t="str" cm="1">
        <f t="array" ref="B51">UPPER(INDEX(_xlfn.TEXTSPLIT($C51, "-"), 3))</f>
        <v>DIP</v>
      </c>
      <c r="C51" s="84" t="s">
        <v>385</v>
      </c>
      <c r="D51" s="84" t="s">
        <v>372</v>
      </c>
      <c r="E51" s="84" t="str">
        <f t="shared" si="8"/>
        <v>t-dip-mqweb-lb-rule9100</v>
      </c>
      <c r="F51" s="84" t="str">
        <f t="shared" si="10"/>
        <v>t-dip-mqweb-lb-fe</v>
      </c>
      <c r="G51" s="84" t="s">
        <v>57</v>
      </c>
      <c r="H51" s="84">
        <v>9100</v>
      </c>
      <c r="I51" s="84" t="b">
        <v>0</v>
      </c>
      <c r="J51" s="84" t="str">
        <f t="shared" si="11"/>
        <v>t-dip-mqweb-lb-bp</v>
      </c>
      <c r="K51" s="84">
        <v>9100</v>
      </c>
      <c r="L51" s="84" t="str">
        <f t="shared" si="9"/>
        <v>t-dip-mqweb-lb-pb9100</v>
      </c>
      <c r="M51" s="84" t="s">
        <v>598</v>
      </c>
      <c r="N51" s="84">
        <v>9100</v>
      </c>
      <c r="O51" s="84">
        <v>4</v>
      </c>
      <c r="P51" s="84" t="s">
        <v>123</v>
      </c>
      <c r="Q51" s="84" t="b">
        <v>1</v>
      </c>
      <c r="R51" s="84" t="b">
        <v>0</v>
      </c>
    </row>
    <row r="52" spans="1:18" x14ac:dyDescent="0.3">
      <c r="A52" s="74" t="s">
        <v>182</v>
      </c>
      <c r="B52" s="74" t="str" cm="1">
        <f t="array" ref="B52">UPPER(INDEX(_xlfn.TEXTSPLIT($C52, "-"), 3))</f>
        <v>DIP</v>
      </c>
      <c r="C52" s="74" t="s">
        <v>385</v>
      </c>
      <c r="D52" s="74" t="s">
        <v>371</v>
      </c>
      <c r="E52" s="74" t="str">
        <f t="shared" si="8"/>
        <v>t-dip-mqap-lb-rule1883</v>
      </c>
      <c r="F52" s="74" t="str">
        <f t="shared" si="10"/>
        <v>t-dip-mqap-lb-fe</v>
      </c>
      <c r="G52" s="74" t="s">
        <v>57</v>
      </c>
      <c r="H52" s="74">
        <v>1883</v>
      </c>
      <c r="I52" s="74" t="b">
        <v>0</v>
      </c>
      <c r="J52" s="74" t="str">
        <f t="shared" si="11"/>
        <v>t-dip-mqap-lb-bp</v>
      </c>
      <c r="K52" s="74">
        <v>1883</v>
      </c>
      <c r="L52" s="74" t="str">
        <f t="shared" si="9"/>
        <v>t-dip-mqap-lb-pb1883</v>
      </c>
      <c r="M52" s="74" t="s">
        <v>598</v>
      </c>
      <c r="N52" s="74">
        <v>1883</v>
      </c>
      <c r="O52" s="74">
        <v>4</v>
      </c>
      <c r="P52" s="74" t="s">
        <v>123</v>
      </c>
      <c r="Q52" s="74" t="b">
        <v>1</v>
      </c>
      <c r="R52" s="74" t="b">
        <v>0</v>
      </c>
    </row>
    <row r="53" spans="1:18" x14ac:dyDescent="0.3">
      <c r="A53" s="74" t="s">
        <v>182</v>
      </c>
      <c r="B53" s="74" t="str" cm="1">
        <f t="array" ref="B53">UPPER(INDEX(_xlfn.TEXTSPLIT($C53, "-"), 3))</f>
        <v>DIP</v>
      </c>
      <c r="C53" s="74" t="s">
        <v>385</v>
      </c>
      <c r="D53" s="74" t="s">
        <v>371</v>
      </c>
      <c r="E53" s="74" t="str">
        <f t="shared" si="8"/>
        <v>t-dip-mqap-lb-rule1884</v>
      </c>
      <c r="F53" s="74" t="str">
        <f t="shared" si="10"/>
        <v>t-dip-mqap-lb-fe</v>
      </c>
      <c r="G53" s="74" t="s">
        <v>57</v>
      </c>
      <c r="H53" s="74">
        <v>1884</v>
      </c>
      <c r="I53" s="74" t="b">
        <v>0</v>
      </c>
      <c r="J53" s="74" t="str">
        <f t="shared" si="11"/>
        <v>t-dip-mqap-lb-bp</v>
      </c>
      <c r="K53" s="74">
        <v>1884</v>
      </c>
      <c r="L53" s="74" t="str">
        <f t="shared" si="9"/>
        <v>t-dip-mqap-lb-pb1884</v>
      </c>
      <c r="M53" s="74" t="s">
        <v>598</v>
      </c>
      <c r="N53" s="74">
        <v>1884</v>
      </c>
      <c r="O53" s="74">
        <v>4</v>
      </c>
      <c r="P53" s="74" t="s">
        <v>123</v>
      </c>
      <c r="Q53" s="74" t="b">
        <v>1</v>
      </c>
      <c r="R53" s="74" t="b">
        <v>0</v>
      </c>
    </row>
    <row r="54" spans="1:18" x14ac:dyDescent="0.3">
      <c r="A54" s="74" t="s">
        <v>182</v>
      </c>
      <c r="B54" s="74" t="str" cm="1">
        <f t="array" ref="B54">UPPER(INDEX(_xlfn.TEXTSPLIT($C54, "-"), 3))</f>
        <v>DIP</v>
      </c>
      <c r="C54" s="74" t="s">
        <v>385</v>
      </c>
      <c r="D54" s="74" t="s">
        <v>371</v>
      </c>
      <c r="E54" s="74" t="str">
        <f t="shared" si="8"/>
        <v>t-dip-mqap-lb-rule18083</v>
      </c>
      <c r="F54" s="74" t="str">
        <f t="shared" si="10"/>
        <v>t-dip-mqap-lb-fe</v>
      </c>
      <c r="G54" s="74" t="s">
        <v>57</v>
      </c>
      <c r="H54" s="74">
        <v>18083</v>
      </c>
      <c r="I54" s="74" t="b">
        <v>0</v>
      </c>
      <c r="J54" s="74" t="str">
        <f t="shared" si="11"/>
        <v>t-dip-mqap-lb-bp</v>
      </c>
      <c r="K54" s="74">
        <v>18083</v>
      </c>
      <c r="L54" s="74" t="str">
        <f t="shared" si="9"/>
        <v>t-dip-mqap-lb-pb18083</v>
      </c>
      <c r="M54" s="74" t="s">
        <v>598</v>
      </c>
      <c r="N54" s="74">
        <v>18083</v>
      </c>
      <c r="O54" s="74">
        <v>4</v>
      </c>
      <c r="P54" s="74" t="s">
        <v>123</v>
      </c>
      <c r="Q54" s="74" t="b">
        <v>1</v>
      </c>
      <c r="R54" s="74" t="b">
        <v>0</v>
      </c>
    </row>
    <row r="55" spans="1:18" x14ac:dyDescent="0.3">
      <c r="A55" s="74" t="s">
        <v>182</v>
      </c>
      <c r="B55" s="74" t="str" cm="1">
        <f t="array" ref="B55">UPPER(INDEX(_xlfn.TEXTSPLIT($C55, "-"), 3))</f>
        <v>DIP</v>
      </c>
      <c r="C55" s="74" t="s">
        <v>385</v>
      </c>
      <c r="D55" s="74" t="s">
        <v>371</v>
      </c>
      <c r="E55" s="74" t="str">
        <f t="shared" si="8"/>
        <v>t-dip-mqap-lb-rule9100</v>
      </c>
      <c r="F55" s="74" t="str">
        <f t="shared" si="10"/>
        <v>t-dip-mqap-lb-fe</v>
      </c>
      <c r="G55" s="74" t="s">
        <v>57</v>
      </c>
      <c r="H55" s="74">
        <v>9100</v>
      </c>
      <c r="I55" s="74" t="b">
        <v>0</v>
      </c>
      <c r="J55" s="74" t="str">
        <f t="shared" si="11"/>
        <v>t-dip-mqap-lb-bp</v>
      </c>
      <c r="K55" s="74">
        <v>9100</v>
      </c>
      <c r="L55" s="74" t="str">
        <f t="shared" si="9"/>
        <v>t-dip-mqap-lb-pb9100</v>
      </c>
      <c r="M55" s="74" t="s">
        <v>598</v>
      </c>
      <c r="N55" s="74">
        <v>9100</v>
      </c>
      <c r="O55" s="74">
        <v>4</v>
      </c>
      <c r="P55" s="74" t="s">
        <v>123</v>
      </c>
      <c r="Q55" s="74" t="b">
        <v>1</v>
      </c>
      <c r="R55" s="74" t="b">
        <v>0</v>
      </c>
    </row>
    <row r="56" spans="1:18" x14ac:dyDescent="0.3">
      <c r="A56" s="84" t="s">
        <v>182</v>
      </c>
      <c r="B56" s="84" t="str" cm="1">
        <f t="array" ref="B56">UPPER(INDEX(_xlfn.TEXTSPLIT($C56, "-"), 3))</f>
        <v>DIP</v>
      </c>
      <c r="C56" s="84" t="s">
        <v>385</v>
      </c>
      <c r="D56" s="84" t="s">
        <v>370</v>
      </c>
      <c r="E56" s="84" t="str">
        <f t="shared" si="8"/>
        <v>t-dip-geoap-lb-rule3660</v>
      </c>
      <c r="F56" s="84" t="str">
        <f t="shared" si="10"/>
        <v>t-dip-geoap-lb-fe</v>
      </c>
      <c r="G56" s="84" t="s">
        <v>57</v>
      </c>
      <c r="H56" s="84">
        <v>3660</v>
      </c>
      <c r="I56" s="84" t="b">
        <v>0</v>
      </c>
      <c r="J56" s="84" t="str">
        <f t="shared" si="11"/>
        <v>t-dip-geoap-lb-bp</v>
      </c>
      <c r="K56" s="84">
        <v>3660</v>
      </c>
      <c r="L56" s="84" t="str">
        <f t="shared" si="9"/>
        <v>t-dip-geoap-lb-pb3660</v>
      </c>
      <c r="M56" s="84" t="s">
        <v>598</v>
      </c>
      <c r="N56" s="84">
        <v>3660</v>
      </c>
      <c r="O56" s="84">
        <v>4</v>
      </c>
      <c r="P56" s="84" t="s">
        <v>123</v>
      </c>
      <c r="Q56" s="84" t="b">
        <v>1</v>
      </c>
      <c r="R56" s="84" t="b">
        <v>0</v>
      </c>
    </row>
    <row r="57" spans="1:18" x14ac:dyDescent="0.3">
      <c r="A57" s="84" t="s">
        <v>182</v>
      </c>
      <c r="B57" s="84" t="str" cm="1">
        <f t="array" ref="B57">UPPER(INDEX(_xlfn.TEXTSPLIT($C57, "-"), 3))</f>
        <v>DIP</v>
      </c>
      <c r="C57" s="84" t="s">
        <v>385</v>
      </c>
      <c r="D57" s="84" t="s">
        <v>370</v>
      </c>
      <c r="E57" s="84" t="str">
        <f t="shared" si="8"/>
        <v>t-dip-geoap-lb-rule3661</v>
      </c>
      <c r="F57" s="84" t="str">
        <f t="shared" si="10"/>
        <v>t-dip-geoap-lb-fe</v>
      </c>
      <c r="G57" s="84" t="s">
        <v>57</v>
      </c>
      <c r="H57" s="84">
        <v>3661</v>
      </c>
      <c r="I57" s="84" t="b">
        <v>0</v>
      </c>
      <c r="J57" s="84" t="str">
        <f t="shared" si="11"/>
        <v>t-dip-geoap-lb-bp</v>
      </c>
      <c r="K57" s="84">
        <v>3661</v>
      </c>
      <c r="L57" s="84" t="str">
        <f t="shared" si="9"/>
        <v>t-dip-geoap-lb-pb3661</v>
      </c>
      <c r="M57" s="84" t="s">
        <v>598</v>
      </c>
      <c r="N57" s="84">
        <v>3661</v>
      </c>
      <c r="O57" s="84">
        <v>4</v>
      </c>
      <c r="P57" s="84" t="s">
        <v>123</v>
      </c>
      <c r="Q57" s="84" t="b">
        <v>1</v>
      </c>
      <c r="R57" s="84" t="b">
        <v>0</v>
      </c>
    </row>
    <row r="58" spans="1:18" x14ac:dyDescent="0.3">
      <c r="A58" s="84" t="s">
        <v>182</v>
      </c>
      <c r="B58" s="84" t="str" cm="1">
        <f t="array" ref="B58">UPPER(INDEX(_xlfn.TEXTSPLIT($C58, "-"), 3))</f>
        <v>DIP</v>
      </c>
      <c r="C58" s="84" t="s">
        <v>385</v>
      </c>
      <c r="D58" s="84" t="s">
        <v>370</v>
      </c>
      <c r="E58" s="84" t="str">
        <f t="shared" si="8"/>
        <v>t-dip-geoap-lb-rule3670</v>
      </c>
      <c r="F58" s="84" t="str">
        <f t="shared" si="10"/>
        <v>t-dip-geoap-lb-fe</v>
      </c>
      <c r="G58" s="84" t="s">
        <v>57</v>
      </c>
      <c r="H58" s="84">
        <v>3670</v>
      </c>
      <c r="I58" s="84" t="b">
        <v>0</v>
      </c>
      <c r="J58" s="84" t="str">
        <f t="shared" si="11"/>
        <v>t-dip-geoap-lb-bp</v>
      </c>
      <c r="K58" s="84">
        <v>3670</v>
      </c>
      <c r="L58" s="84" t="str">
        <f t="shared" si="9"/>
        <v>t-dip-geoap-lb-pb3670</v>
      </c>
      <c r="M58" s="84" t="s">
        <v>598</v>
      </c>
      <c r="N58" s="84">
        <v>3670</v>
      </c>
      <c r="O58" s="84">
        <v>4</v>
      </c>
      <c r="P58" s="84" t="s">
        <v>123</v>
      </c>
      <c r="Q58" s="84" t="b">
        <v>1</v>
      </c>
      <c r="R58" s="84" t="b">
        <v>0</v>
      </c>
    </row>
    <row r="59" spans="1:18" x14ac:dyDescent="0.3">
      <c r="A59" s="84" t="s">
        <v>182</v>
      </c>
      <c r="B59" s="84" t="str" cm="1">
        <f t="array" ref="B59">UPPER(INDEX(_xlfn.TEXTSPLIT($C59, "-"), 3))</f>
        <v>DIP</v>
      </c>
      <c r="C59" s="84" t="s">
        <v>385</v>
      </c>
      <c r="D59" s="84" t="s">
        <v>370</v>
      </c>
      <c r="E59" s="84" t="str">
        <f t="shared" si="8"/>
        <v>t-dip-geoap-lb-rule3671</v>
      </c>
      <c r="F59" s="84" t="str">
        <f t="shared" si="10"/>
        <v>t-dip-geoap-lb-fe</v>
      </c>
      <c r="G59" s="84" t="s">
        <v>57</v>
      </c>
      <c r="H59" s="84">
        <v>3671</v>
      </c>
      <c r="I59" s="84" t="b">
        <v>0</v>
      </c>
      <c r="J59" s="84" t="str">
        <f t="shared" si="11"/>
        <v>t-dip-geoap-lb-bp</v>
      </c>
      <c r="K59" s="84">
        <v>3671</v>
      </c>
      <c r="L59" s="84" t="str">
        <f t="shared" si="9"/>
        <v>t-dip-geoap-lb-pb3671</v>
      </c>
      <c r="M59" s="84" t="s">
        <v>598</v>
      </c>
      <c r="N59" s="84">
        <v>3671</v>
      </c>
      <c r="O59" s="84">
        <v>4</v>
      </c>
      <c r="P59" s="84" t="s">
        <v>123</v>
      </c>
      <c r="Q59" s="84" t="b">
        <v>1</v>
      </c>
      <c r="R59" s="84" t="b">
        <v>0</v>
      </c>
    </row>
    <row r="60" spans="1:18" x14ac:dyDescent="0.3">
      <c r="A60" s="84" t="s">
        <v>182</v>
      </c>
      <c r="B60" s="84" t="str" cm="1">
        <f t="array" ref="B60">UPPER(INDEX(_xlfn.TEXTSPLIT($C60, "-"), 3))</f>
        <v>DIP</v>
      </c>
      <c r="C60" s="84" t="s">
        <v>385</v>
      </c>
      <c r="D60" s="84" t="s">
        <v>370</v>
      </c>
      <c r="E60" s="84" t="str">
        <f t="shared" si="8"/>
        <v>t-dip-geoap-lb-rule9100</v>
      </c>
      <c r="F60" s="84" t="str">
        <f t="shared" si="10"/>
        <v>t-dip-geoap-lb-fe</v>
      </c>
      <c r="G60" s="84" t="s">
        <v>57</v>
      </c>
      <c r="H60" s="84">
        <v>9100</v>
      </c>
      <c r="I60" s="84" t="b">
        <v>0</v>
      </c>
      <c r="J60" s="84" t="str">
        <f t="shared" si="11"/>
        <v>t-dip-geoap-lb-bp</v>
      </c>
      <c r="K60" s="84">
        <v>9100</v>
      </c>
      <c r="L60" s="84" t="str">
        <f t="shared" si="9"/>
        <v>t-dip-geoap-lb-pb9100</v>
      </c>
      <c r="M60" s="84" t="s">
        <v>598</v>
      </c>
      <c r="N60" s="84">
        <v>9100</v>
      </c>
      <c r="O60" s="84">
        <v>4</v>
      </c>
      <c r="P60" s="84" t="s">
        <v>123</v>
      </c>
      <c r="Q60" s="84" t="b">
        <v>1</v>
      </c>
      <c r="R60" s="84" t="b">
        <v>0</v>
      </c>
    </row>
    <row r="61" spans="1:18" x14ac:dyDescent="0.3">
      <c r="A61" s="74" t="s">
        <v>182</v>
      </c>
      <c r="B61" s="74" t="str" cm="1">
        <f t="array" ref="B61">UPPER(INDEX(_xlfn.TEXTSPLIT($C61, "-"), 3))</f>
        <v>DIP</v>
      </c>
      <c r="C61" s="74" t="s">
        <v>385</v>
      </c>
      <c r="D61" s="74" t="s">
        <v>369</v>
      </c>
      <c r="E61" s="74" t="str">
        <f t="shared" ref="E61:E72" si="12">SUBSTITUTE(D61, "hazr-", "")&amp;"-rule"&amp;N61</f>
        <v>t-dip-ap-lb-rule443</v>
      </c>
      <c r="F61" s="74" t="str">
        <f t="shared" si="10"/>
        <v>t-dip-ap-lb-fe</v>
      </c>
      <c r="G61" s="74" t="s">
        <v>57</v>
      </c>
      <c r="H61" s="74">
        <v>443</v>
      </c>
      <c r="I61" s="74" t="b">
        <v>0</v>
      </c>
      <c r="J61" s="74" t="str">
        <f t="shared" si="11"/>
        <v>t-dip-ap-lb-bp</v>
      </c>
      <c r="K61" s="74">
        <v>443</v>
      </c>
      <c r="L61" s="74" t="str">
        <f t="shared" ref="L61:L72" si="13">SUBSTITUTE(D61, "hazr-", "")&amp;"-pb"&amp;IF(N61="", "", N61)</f>
        <v>t-dip-ap-lb-pb443</v>
      </c>
      <c r="M61" s="74" t="s">
        <v>598</v>
      </c>
      <c r="N61" s="74">
        <v>443</v>
      </c>
      <c r="O61" s="74">
        <v>4</v>
      </c>
      <c r="P61" s="74" t="s">
        <v>123</v>
      </c>
      <c r="Q61" s="74" t="b">
        <v>1</v>
      </c>
      <c r="R61" s="74" t="b">
        <v>0</v>
      </c>
    </row>
    <row r="62" spans="1:18" x14ac:dyDescent="0.3">
      <c r="A62" s="74" t="s">
        <v>182</v>
      </c>
      <c r="B62" s="74" t="str" cm="1">
        <f t="array" ref="B62">UPPER(INDEX(_xlfn.TEXTSPLIT($C62, "-"), 3))</f>
        <v>DIP</v>
      </c>
      <c r="C62" s="74" t="s">
        <v>385</v>
      </c>
      <c r="D62" s="74" t="s">
        <v>369</v>
      </c>
      <c r="E62" s="74" t="str">
        <f t="shared" si="12"/>
        <v>t-dip-ap-lb-rule8100</v>
      </c>
      <c r="F62" s="74" t="str">
        <f t="shared" si="10"/>
        <v>t-dip-ap-lb-fe</v>
      </c>
      <c r="G62" s="74" t="s">
        <v>57</v>
      </c>
      <c r="H62" s="74">
        <v>8100</v>
      </c>
      <c r="I62" s="74" t="b">
        <v>0</v>
      </c>
      <c r="J62" s="74" t="str">
        <f t="shared" si="11"/>
        <v>t-dip-ap-lb-bp</v>
      </c>
      <c r="K62" s="74">
        <v>8100</v>
      </c>
      <c r="L62" s="74" t="str">
        <f t="shared" si="13"/>
        <v>t-dip-ap-lb-pb8100</v>
      </c>
      <c r="M62" s="74" t="s">
        <v>598</v>
      </c>
      <c r="N62" s="74">
        <v>8100</v>
      </c>
      <c r="O62" s="74">
        <v>4</v>
      </c>
      <c r="P62" s="74" t="s">
        <v>123</v>
      </c>
      <c r="Q62" s="74" t="b">
        <v>1</v>
      </c>
      <c r="R62" s="74" t="b">
        <v>0</v>
      </c>
    </row>
    <row r="63" spans="1:18" x14ac:dyDescent="0.3">
      <c r="A63" s="74" t="s">
        <v>182</v>
      </c>
      <c r="B63" s="74" t="str" cm="1">
        <f t="array" ref="B63">UPPER(INDEX(_xlfn.TEXTSPLIT($C63, "-"), 3))</f>
        <v>DIP</v>
      </c>
      <c r="C63" s="74" t="s">
        <v>385</v>
      </c>
      <c r="D63" s="74" t="s">
        <v>369</v>
      </c>
      <c r="E63" s="74" t="str">
        <f t="shared" si="12"/>
        <v>t-dip-ap-lb-rule8200</v>
      </c>
      <c r="F63" s="74" t="str">
        <f t="shared" ref="F63:F83" si="14">SUBSTITUTE(D63, "hazr-", "")&amp;"-fe"</f>
        <v>t-dip-ap-lb-fe</v>
      </c>
      <c r="G63" s="74" t="s">
        <v>57</v>
      </c>
      <c r="H63" s="74">
        <v>8200</v>
      </c>
      <c r="I63" s="74" t="b">
        <v>0</v>
      </c>
      <c r="J63" s="74" t="str">
        <f t="shared" ref="J63:J83" si="15">SUBSTITUTE(D63, "hazr-", "")&amp;"-bp"</f>
        <v>t-dip-ap-lb-bp</v>
      </c>
      <c r="K63" s="74">
        <v>8200</v>
      </c>
      <c r="L63" s="74" t="str">
        <f t="shared" si="13"/>
        <v>t-dip-ap-lb-pb8200</v>
      </c>
      <c r="M63" s="74" t="s">
        <v>598</v>
      </c>
      <c r="N63" s="74">
        <v>8200</v>
      </c>
      <c r="O63" s="74">
        <v>4</v>
      </c>
      <c r="P63" s="74" t="s">
        <v>123</v>
      </c>
      <c r="Q63" s="74" t="b">
        <v>1</v>
      </c>
      <c r="R63" s="74" t="b">
        <v>0</v>
      </c>
    </row>
    <row r="64" spans="1:18" x14ac:dyDescent="0.3">
      <c r="A64" s="74" t="s">
        <v>182</v>
      </c>
      <c r="B64" s="74" t="str" cm="1">
        <f t="array" ref="B64">UPPER(INDEX(_xlfn.TEXTSPLIT($C64, "-"), 3))</f>
        <v>DIP</v>
      </c>
      <c r="C64" s="74" t="s">
        <v>385</v>
      </c>
      <c r="D64" s="74" t="s">
        <v>369</v>
      </c>
      <c r="E64" s="74" t="str">
        <f t="shared" si="12"/>
        <v>t-dip-ap-lb-rule8300</v>
      </c>
      <c r="F64" s="74" t="str">
        <f t="shared" si="14"/>
        <v>t-dip-ap-lb-fe</v>
      </c>
      <c r="G64" s="74" t="s">
        <v>57</v>
      </c>
      <c r="H64" s="74">
        <v>8300</v>
      </c>
      <c r="I64" s="74" t="b">
        <v>0</v>
      </c>
      <c r="J64" s="74" t="str">
        <f t="shared" si="15"/>
        <v>t-dip-ap-lb-bp</v>
      </c>
      <c r="K64" s="74">
        <v>8300</v>
      </c>
      <c r="L64" s="74" t="str">
        <f t="shared" si="13"/>
        <v>t-dip-ap-lb-pb8300</v>
      </c>
      <c r="M64" s="74" t="s">
        <v>598</v>
      </c>
      <c r="N64" s="74">
        <v>8300</v>
      </c>
      <c r="O64" s="74">
        <v>4</v>
      </c>
      <c r="P64" s="74" t="s">
        <v>123</v>
      </c>
      <c r="Q64" s="74" t="b">
        <v>1</v>
      </c>
      <c r="R64" s="74" t="b">
        <v>0</v>
      </c>
    </row>
    <row r="65" spans="1:18" x14ac:dyDescent="0.3">
      <c r="A65" s="74" t="s">
        <v>182</v>
      </c>
      <c r="B65" s="74" t="str" cm="1">
        <f t="array" ref="B65">UPPER(INDEX(_xlfn.TEXTSPLIT($C65, "-"), 3))</f>
        <v>DIP</v>
      </c>
      <c r="C65" s="74" t="s">
        <v>385</v>
      </c>
      <c r="D65" s="74" t="s">
        <v>369</v>
      </c>
      <c r="E65" s="74" t="str">
        <f t="shared" si="12"/>
        <v>t-dip-ap-lb-rule8400</v>
      </c>
      <c r="F65" s="74" t="str">
        <f t="shared" si="14"/>
        <v>t-dip-ap-lb-fe</v>
      </c>
      <c r="G65" s="74" t="s">
        <v>57</v>
      </c>
      <c r="H65" s="74">
        <v>8400</v>
      </c>
      <c r="I65" s="74" t="b">
        <v>0</v>
      </c>
      <c r="J65" s="74" t="str">
        <f t="shared" si="15"/>
        <v>t-dip-ap-lb-bp</v>
      </c>
      <c r="K65" s="74">
        <v>8400</v>
      </c>
      <c r="L65" s="74" t="str">
        <f t="shared" si="13"/>
        <v>t-dip-ap-lb-pb8400</v>
      </c>
      <c r="M65" s="74" t="s">
        <v>598</v>
      </c>
      <c r="N65" s="74">
        <v>8400</v>
      </c>
      <c r="O65" s="74">
        <v>4</v>
      </c>
      <c r="P65" s="74" t="s">
        <v>123</v>
      </c>
      <c r="Q65" s="74" t="b">
        <v>1</v>
      </c>
      <c r="R65" s="74" t="b">
        <v>0</v>
      </c>
    </row>
    <row r="66" spans="1:18" x14ac:dyDescent="0.3">
      <c r="A66" s="74" t="s">
        <v>182</v>
      </c>
      <c r="B66" s="74" t="str" cm="1">
        <f t="array" ref="B66">UPPER(INDEX(_xlfn.TEXTSPLIT($C66, "-"), 3))</f>
        <v>DIP</v>
      </c>
      <c r="C66" s="74" t="s">
        <v>385</v>
      </c>
      <c r="D66" s="74" t="s">
        <v>369</v>
      </c>
      <c r="E66" s="74" t="str">
        <f t="shared" si="12"/>
        <v>t-dip-ap-lb-rule9100</v>
      </c>
      <c r="F66" s="74" t="str">
        <f t="shared" si="14"/>
        <v>t-dip-ap-lb-fe</v>
      </c>
      <c r="G66" s="74" t="s">
        <v>57</v>
      </c>
      <c r="H66" s="74">
        <v>9100</v>
      </c>
      <c r="I66" s="74" t="b">
        <v>0</v>
      </c>
      <c r="J66" s="74" t="str">
        <f t="shared" si="15"/>
        <v>t-dip-ap-lb-bp</v>
      </c>
      <c r="K66" s="74">
        <v>9100</v>
      </c>
      <c r="L66" s="74" t="str">
        <f t="shared" si="13"/>
        <v>t-dip-ap-lb-pb9100</v>
      </c>
      <c r="M66" s="74" t="s">
        <v>598</v>
      </c>
      <c r="N66" s="74">
        <v>9100</v>
      </c>
      <c r="O66" s="74">
        <v>4</v>
      </c>
      <c r="P66" s="74" t="s">
        <v>123</v>
      </c>
      <c r="Q66" s="74" t="b">
        <v>1</v>
      </c>
      <c r="R66" s="74" t="b">
        <v>0</v>
      </c>
    </row>
    <row r="67" spans="1:18" x14ac:dyDescent="0.3">
      <c r="A67" s="74" t="s">
        <v>182</v>
      </c>
      <c r="B67" s="74" t="str" cm="1">
        <f t="array" ref="B67">UPPER(INDEX(_xlfn.TEXTSPLIT($C67, "-"), 3))</f>
        <v>DIP</v>
      </c>
      <c r="C67" s="74" t="s">
        <v>385</v>
      </c>
      <c r="D67" s="74" t="s">
        <v>369</v>
      </c>
      <c r="E67" s="74" t="str">
        <f t="shared" si="12"/>
        <v>t-dip-ap-lb-rule9113</v>
      </c>
      <c r="F67" s="74" t="str">
        <f t="shared" si="14"/>
        <v>t-dip-ap-lb-fe</v>
      </c>
      <c r="G67" s="74" t="s">
        <v>57</v>
      </c>
      <c r="H67" s="74">
        <v>9113</v>
      </c>
      <c r="I67" s="74" t="b">
        <v>0</v>
      </c>
      <c r="J67" s="74" t="str">
        <f t="shared" si="15"/>
        <v>t-dip-ap-lb-bp</v>
      </c>
      <c r="K67" s="74">
        <v>9113</v>
      </c>
      <c r="L67" s="74" t="str">
        <f t="shared" si="13"/>
        <v>t-dip-ap-lb-pb9113</v>
      </c>
      <c r="M67" s="74" t="s">
        <v>598</v>
      </c>
      <c r="N67" s="74">
        <v>9113</v>
      </c>
      <c r="O67" s="74">
        <v>4</v>
      </c>
      <c r="P67" s="74" t="s">
        <v>123</v>
      </c>
      <c r="Q67" s="74" t="b">
        <v>1</v>
      </c>
      <c r="R67" s="74" t="b">
        <v>0</v>
      </c>
    </row>
    <row r="68" spans="1:18" x14ac:dyDescent="0.3">
      <c r="A68" s="84" t="s">
        <v>182</v>
      </c>
      <c r="B68" s="84" t="str" cm="1">
        <f t="array" ref="B68">UPPER(INDEX(_xlfn.TEXTSPLIT($C68, "-"), 3))</f>
        <v>DIP</v>
      </c>
      <c r="C68" s="84" t="s">
        <v>385</v>
      </c>
      <c r="D68" s="84" t="s">
        <v>368</v>
      </c>
      <c r="E68" s="84" t="str">
        <f t="shared" si="12"/>
        <v>t-dip-adm-lb-rule443</v>
      </c>
      <c r="F68" s="84" t="str">
        <f t="shared" si="14"/>
        <v>t-dip-adm-lb-fe</v>
      </c>
      <c r="G68" s="84" t="s">
        <v>57</v>
      </c>
      <c r="H68" s="84">
        <v>443</v>
      </c>
      <c r="I68" s="84" t="b">
        <v>0</v>
      </c>
      <c r="J68" s="84" t="str">
        <f t="shared" si="15"/>
        <v>t-dip-adm-lb-bp</v>
      </c>
      <c r="K68" s="84">
        <v>443</v>
      </c>
      <c r="L68" s="84" t="str">
        <f t="shared" si="13"/>
        <v>t-dip-adm-lb-pb443</v>
      </c>
      <c r="M68" s="84" t="s">
        <v>598</v>
      </c>
      <c r="N68" s="84">
        <v>443</v>
      </c>
      <c r="O68" s="84">
        <v>4</v>
      </c>
      <c r="P68" s="84" t="s">
        <v>123</v>
      </c>
      <c r="Q68" s="84" t="b">
        <v>1</v>
      </c>
      <c r="R68" s="84" t="b">
        <v>0</v>
      </c>
    </row>
    <row r="69" spans="1:18" x14ac:dyDescent="0.3">
      <c r="A69" s="84" t="s">
        <v>182</v>
      </c>
      <c r="B69" s="84" t="str" cm="1">
        <f t="array" ref="B69">UPPER(INDEX(_xlfn.TEXTSPLIT($C69, "-"), 3))</f>
        <v>DIP</v>
      </c>
      <c r="C69" s="84" t="s">
        <v>385</v>
      </c>
      <c r="D69" s="84" t="s">
        <v>368</v>
      </c>
      <c r="E69" s="84" t="str">
        <f t="shared" si="12"/>
        <v>t-dip-adm-lb-rule8085</v>
      </c>
      <c r="F69" s="84" t="str">
        <f t="shared" si="14"/>
        <v>t-dip-adm-lb-fe</v>
      </c>
      <c r="G69" s="84" t="s">
        <v>57</v>
      </c>
      <c r="H69" s="84">
        <v>8085</v>
      </c>
      <c r="I69" s="84" t="b">
        <v>0</v>
      </c>
      <c r="J69" s="84" t="str">
        <f t="shared" si="15"/>
        <v>t-dip-adm-lb-bp</v>
      </c>
      <c r="K69" s="84">
        <v>8085</v>
      </c>
      <c r="L69" s="84" t="str">
        <f t="shared" si="13"/>
        <v>t-dip-adm-lb-pb8085</v>
      </c>
      <c r="M69" s="84" t="s">
        <v>598</v>
      </c>
      <c r="N69" s="84">
        <v>8085</v>
      </c>
      <c r="O69" s="84">
        <v>4</v>
      </c>
      <c r="P69" s="84" t="s">
        <v>123</v>
      </c>
      <c r="Q69" s="84" t="b">
        <v>1</v>
      </c>
      <c r="R69" s="84" t="b">
        <v>0</v>
      </c>
    </row>
    <row r="70" spans="1:18" x14ac:dyDescent="0.3">
      <c r="A70" s="84" t="s">
        <v>182</v>
      </c>
      <c r="B70" s="84" t="str" cm="1">
        <f t="array" ref="B70">UPPER(INDEX(_xlfn.TEXTSPLIT($C70, "-"), 3))</f>
        <v>DIP</v>
      </c>
      <c r="C70" s="84" t="s">
        <v>385</v>
      </c>
      <c r="D70" s="84" t="s">
        <v>368</v>
      </c>
      <c r="E70" s="84" t="str">
        <f t="shared" si="12"/>
        <v>t-dip-adm-lb-rule8900</v>
      </c>
      <c r="F70" s="84" t="str">
        <f t="shared" si="14"/>
        <v>t-dip-adm-lb-fe</v>
      </c>
      <c r="G70" s="84" t="s">
        <v>57</v>
      </c>
      <c r="H70" s="84">
        <v>8900</v>
      </c>
      <c r="I70" s="84" t="b">
        <v>0</v>
      </c>
      <c r="J70" s="84" t="str">
        <f t="shared" si="15"/>
        <v>t-dip-adm-lb-bp</v>
      </c>
      <c r="K70" s="84">
        <v>8900</v>
      </c>
      <c r="L70" s="84" t="str">
        <f t="shared" si="13"/>
        <v>t-dip-adm-lb-pb8900</v>
      </c>
      <c r="M70" s="84" t="s">
        <v>598</v>
      </c>
      <c r="N70" s="84">
        <v>8900</v>
      </c>
      <c r="O70" s="84">
        <v>4</v>
      </c>
      <c r="P70" s="84" t="s">
        <v>123</v>
      </c>
      <c r="Q70" s="84" t="b">
        <v>1</v>
      </c>
      <c r="R70" s="84" t="b">
        <v>0</v>
      </c>
    </row>
    <row r="71" spans="1:18" x14ac:dyDescent="0.3">
      <c r="A71" s="84" t="s">
        <v>182</v>
      </c>
      <c r="B71" s="84" t="str" cm="1">
        <f t="array" ref="B71">UPPER(INDEX(_xlfn.TEXTSPLIT($C71, "-"), 3))</f>
        <v>DIP</v>
      </c>
      <c r="C71" s="84" t="s">
        <v>385</v>
      </c>
      <c r="D71" s="84" t="s">
        <v>368</v>
      </c>
      <c r="E71" s="84" t="str">
        <f t="shared" si="12"/>
        <v>t-dip-adm-lb-rule8901</v>
      </c>
      <c r="F71" s="84" t="str">
        <f t="shared" si="14"/>
        <v>t-dip-adm-lb-fe</v>
      </c>
      <c r="G71" s="84" t="s">
        <v>57</v>
      </c>
      <c r="H71" s="84">
        <v>8901</v>
      </c>
      <c r="I71" s="84" t="b">
        <v>0</v>
      </c>
      <c r="J71" s="84" t="str">
        <f t="shared" si="15"/>
        <v>t-dip-adm-lb-bp</v>
      </c>
      <c r="K71" s="84">
        <v>8901</v>
      </c>
      <c r="L71" s="84" t="str">
        <f t="shared" si="13"/>
        <v>t-dip-adm-lb-pb8901</v>
      </c>
      <c r="M71" s="84" t="s">
        <v>598</v>
      </c>
      <c r="N71" s="84">
        <v>8901</v>
      </c>
      <c r="O71" s="84">
        <v>4</v>
      </c>
      <c r="P71" s="84" t="s">
        <v>123</v>
      </c>
      <c r="Q71" s="84" t="b">
        <v>1</v>
      </c>
      <c r="R71" s="84" t="b">
        <v>0</v>
      </c>
    </row>
    <row r="72" spans="1:18" x14ac:dyDescent="0.3">
      <c r="A72" s="84" t="s">
        <v>182</v>
      </c>
      <c r="B72" s="84" t="str" cm="1">
        <f t="array" ref="B72">UPPER(INDEX(_xlfn.TEXTSPLIT($C72, "-"), 3))</f>
        <v>DIP</v>
      </c>
      <c r="C72" s="84" t="s">
        <v>385</v>
      </c>
      <c r="D72" s="84" t="s">
        <v>368</v>
      </c>
      <c r="E72" s="84" t="str">
        <f t="shared" si="12"/>
        <v>t-dip-adm-lb-rule9100</v>
      </c>
      <c r="F72" s="84" t="str">
        <f t="shared" si="14"/>
        <v>t-dip-adm-lb-fe</v>
      </c>
      <c r="G72" s="84" t="s">
        <v>57</v>
      </c>
      <c r="H72" s="84">
        <v>9100</v>
      </c>
      <c r="I72" s="84" t="b">
        <v>0</v>
      </c>
      <c r="J72" s="84" t="str">
        <f t="shared" si="15"/>
        <v>t-dip-adm-lb-bp</v>
      </c>
      <c r="K72" s="84">
        <v>9100</v>
      </c>
      <c r="L72" s="84" t="str">
        <f t="shared" si="13"/>
        <v>t-dip-adm-lb-pb9100</v>
      </c>
      <c r="M72" s="84" t="s">
        <v>598</v>
      </c>
      <c r="N72" s="84">
        <v>9100</v>
      </c>
      <c r="O72" s="84">
        <v>4</v>
      </c>
      <c r="P72" s="84" t="s">
        <v>123</v>
      </c>
      <c r="Q72" s="84" t="b">
        <v>1</v>
      </c>
      <c r="R72" s="84" t="b">
        <v>0</v>
      </c>
    </row>
    <row r="73" spans="1:18" x14ac:dyDescent="0.3">
      <c r="A73" s="74" t="s">
        <v>182</v>
      </c>
      <c r="B73" s="74"/>
      <c r="C73" s="74" t="s">
        <v>385</v>
      </c>
      <c r="D73" s="74" t="s">
        <v>375</v>
      </c>
      <c r="E73" s="74"/>
      <c r="F73" s="74" t="str">
        <f t="shared" si="14"/>
        <v>t-cs-chtweb-lb-fe</v>
      </c>
      <c r="G73" s="74" t="s">
        <v>57</v>
      </c>
      <c r="H73" s="74"/>
      <c r="I73" s="74" t="b">
        <v>0</v>
      </c>
      <c r="J73" s="74" t="str">
        <f t="shared" si="15"/>
        <v>t-cs-chtweb-lb-bp</v>
      </c>
      <c r="K73" s="74"/>
      <c r="L73" s="74"/>
      <c r="M73" s="74"/>
      <c r="N73" s="74"/>
      <c r="O73" s="74">
        <v>4</v>
      </c>
      <c r="P73" s="74" t="s">
        <v>123</v>
      </c>
      <c r="Q73" s="74" t="b">
        <v>1</v>
      </c>
      <c r="R73" s="74" t="b">
        <v>0</v>
      </c>
    </row>
    <row r="74" spans="1:18" x14ac:dyDescent="0.3">
      <c r="A74" s="84" t="s">
        <v>182</v>
      </c>
      <c r="B74" s="84"/>
      <c r="C74" s="84" t="s">
        <v>205</v>
      </c>
      <c r="D74" s="84" t="s">
        <v>376</v>
      </c>
      <c r="E74" s="84"/>
      <c r="F74" s="84" t="str">
        <f t="shared" si="14"/>
        <v>t-cs-chtintweb-lb-fe</v>
      </c>
      <c r="G74" s="84" t="s">
        <v>57</v>
      </c>
      <c r="H74" s="84"/>
      <c r="I74" s="84" t="b">
        <v>0</v>
      </c>
      <c r="J74" s="84" t="str">
        <f t="shared" si="15"/>
        <v>t-cs-chtintweb-lb-bp</v>
      </c>
      <c r="K74" s="84"/>
      <c r="L74" s="84"/>
      <c r="M74" s="84"/>
      <c r="N74" s="84"/>
      <c r="O74" s="84">
        <v>4</v>
      </c>
      <c r="P74" s="84" t="s">
        <v>123</v>
      </c>
      <c r="Q74" s="84" t="b">
        <v>1</v>
      </c>
      <c r="R74" s="84" t="b">
        <v>0</v>
      </c>
    </row>
    <row r="75" spans="1:18" x14ac:dyDescent="0.3">
      <c r="A75" s="74" t="s">
        <v>182</v>
      </c>
      <c r="B75" s="74"/>
      <c r="C75" s="74" t="s">
        <v>205</v>
      </c>
      <c r="D75" s="74" t="s">
        <v>374</v>
      </c>
      <c r="E75" s="74"/>
      <c r="F75" s="74" t="str">
        <f t="shared" si="14"/>
        <v>t-cs-chtap-lb-fe</v>
      </c>
      <c r="G75" s="74" t="s">
        <v>57</v>
      </c>
      <c r="H75" s="74"/>
      <c r="I75" s="74" t="b">
        <v>0</v>
      </c>
      <c r="J75" s="74" t="str">
        <f t="shared" si="15"/>
        <v>t-cs-chtap-lb-bp</v>
      </c>
      <c r="K75" s="74"/>
      <c r="L75" s="74"/>
      <c r="M75" s="74"/>
      <c r="N75" s="74"/>
      <c r="O75" s="74">
        <v>4</v>
      </c>
      <c r="P75" s="74" t="s">
        <v>123</v>
      </c>
      <c r="Q75" s="74" t="b">
        <v>1</v>
      </c>
      <c r="R75" s="74" t="b">
        <v>0</v>
      </c>
    </row>
    <row r="76" spans="1:18" x14ac:dyDescent="0.3">
      <c r="A76" s="74" t="s">
        <v>182</v>
      </c>
      <c r="B76" s="74" t="str" cm="1">
        <f t="array" ref="B76">UPPER(INDEX(_xlfn.TEXTSPLIT($C76, "-"), 3))</f>
        <v>IF</v>
      </c>
      <c r="C76" s="74" t="s">
        <v>604</v>
      </c>
      <c r="D76" s="74" t="s">
        <v>605</v>
      </c>
      <c r="E76" s="74" t="str">
        <f t="shared" ref="E76:E83" si="16">SUBSTITUTE(D76, "hazr-", "")&amp;"-rule"&amp;N76</f>
        <v>t-if-auth-lb-rule8088</v>
      </c>
      <c r="F76" s="74" t="str">
        <f t="shared" si="14"/>
        <v>t-if-auth-lb-fe</v>
      </c>
      <c r="G76" s="74" t="s">
        <v>57</v>
      </c>
      <c r="H76" s="74">
        <v>8088</v>
      </c>
      <c r="I76" s="74" t="b">
        <v>0</v>
      </c>
      <c r="J76" s="74" t="str">
        <f t="shared" si="15"/>
        <v>t-if-auth-lb-bp</v>
      </c>
      <c r="K76" s="74">
        <v>8088</v>
      </c>
      <c r="L76" s="74" t="str">
        <f t="shared" ref="L76:L83" si="17">SUBSTITUTE(D76, "hazr-", "")&amp;"-pb"&amp;IF(N76="", "", N76)</f>
        <v>t-if-auth-lb-pb8088</v>
      </c>
      <c r="M76" s="74" t="s">
        <v>57</v>
      </c>
      <c r="N76" s="74">
        <v>8088</v>
      </c>
      <c r="O76" s="74">
        <v>4</v>
      </c>
      <c r="P76" s="74" t="s">
        <v>123</v>
      </c>
      <c r="Q76" s="74" t="b">
        <v>1</v>
      </c>
      <c r="R76" s="74" t="b">
        <v>0</v>
      </c>
    </row>
    <row r="77" spans="1:18" x14ac:dyDescent="0.3">
      <c r="A77" s="74" t="s">
        <v>182</v>
      </c>
      <c r="B77" s="74" t="str" cm="1">
        <f t="array" ref="B77">UPPER(INDEX(_xlfn.TEXTSPLIT($C77, "-"), 3))</f>
        <v>IF</v>
      </c>
      <c r="C77" s="74" t="s">
        <v>604</v>
      </c>
      <c r="D77" s="74" t="s">
        <v>605</v>
      </c>
      <c r="E77" s="74" t="str">
        <f t="shared" si="16"/>
        <v>t-if-auth-lb-rule9003</v>
      </c>
      <c r="F77" s="74" t="str">
        <f t="shared" si="14"/>
        <v>t-if-auth-lb-fe</v>
      </c>
      <c r="G77" s="74" t="s">
        <v>57</v>
      </c>
      <c r="H77" s="74">
        <v>9003</v>
      </c>
      <c r="I77" s="74" t="b">
        <v>0</v>
      </c>
      <c r="J77" s="74" t="str">
        <f t="shared" si="15"/>
        <v>t-if-auth-lb-bp</v>
      </c>
      <c r="K77" s="74">
        <v>9003</v>
      </c>
      <c r="L77" s="74" t="str">
        <f t="shared" si="17"/>
        <v>t-if-auth-lb-pb9003</v>
      </c>
      <c r="M77" s="74" t="s">
        <v>57</v>
      </c>
      <c r="N77" s="74">
        <v>9003</v>
      </c>
      <c r="O77" s="74">
        <v>4</v>
      </c>
      <c r="P77" s="74" t="s">
        <v>123</v>
      </c>
      <c r="Q77" s="74" t="b">
        <v>1</v>
      </c>
      <c r="R77" s="74" t="b">
        <v>0</v>
      </c>
    </row>
    <row r="78" spans="1:18" x14ac:dyDescent="0.3">
      <c r="A78" s="74" t="s">
        <v>182</v>
      </c>
      <c r="B78" s="74" t="str" cm="1">
        <f t="array" ref="B78">UPPER(INDEX(_xlfn.TEXTSPLIT($C78, "-"), 3))</f>
        <v>IF</v>
      </c>
      <c r="C78" s="74" t="s">
        <v>604</v>
      </c>
      <c r="D78" s="74" t="s">
        <v>605</v>
      </c>
      <c r="E78" s="74" t="str">
        <f t="shared" si="16"/>
        <v>t-if-auth-lb-rule9005</v>
      </c>
      <c r="F78" s="74" t="str">
        <f t="shared" si="14"/>
        <v>t-if-auth-lb-fe</v>
      </c>
      <c r="G78" s="74" t="s">
        <v>57</v>
      </c>
      <c r="H78" s="74">
        <v>9005</v>
      </c>
      <c r="I78" s="74" t="b">
        <v>0</v>
      </c>
      <c r="J78" s="74" t="str">
        <f t="shared" si="15"/>
        <v>t-if-auth-lb-bp</v>
      </c>
      <c r="K78" s="74">
        <v>9005</v>
      </c>
      <c r="L78" s="74" t="str">
        <f t="shared" si="17"/>
        <v>t-if-auth-lb-pb9005</v>
      </c>
      <c r="M78" s="74" t="s">
        <v>57</v>
      </c>
      <c r="N78" s="74">
        <v>9005</v>
      </c>
      <c r="O78" s="74">
        <v>4</v>
      </c>
      <c r="P78" s="74" t="s">
        <v>123</v>
      </c>
      <c r="Q78" s="74" t="b">
        <v>1</v>
      </c>
      <c r="R78" s="74" t="b">
        <v>0</v>
      </c>
    </row>
    <row r="79" spans="1:18" x14ac:dyDescent="0.3">
      <c r="A79" s="84" t="s">
        <v>182</v>
      </c>
      <c r="B79" s="84" t="str" cm="1">
        <f t="array" ref="B79">UPPER(INDEX(_xlfn.TEXTSPLIT($C79, "-"), 3))</f>
        <v>BDP</v>
      </c>
      <c r="C79" s="84" t="s">
        <v>384</v>
      </c>
      <c r="D79" s="84" t="s">
        <v>367</v>
      </c>
      <c r="E79" s="84" t="str">
        <f t="shared" si="16"/>
        <v>t-bdp-slap-lb-rule443</v>
      </c>
      <c r="F79" s="84" t="str">
        <f t="shared" si="14"/>
        <v>t-bdp-slap-lb-fe</v>
      </c>
      <c r="G79" s="84" t="s">
        <v>57</v>
      </c>
      <c r="H79" s="84">
        <v>443</v>
      </c>
      <c r="I79" s="84" t="b">
        <v>0</v>
      </c>
      <c r="J79" s="84" t="str">
        <f t="shared" si="15"/>
        <v>t-bdp-slap-lb-bp</v>
      </c>
      <c r="K79" s="84">
        <v>443</v>
      </c>
      <c r="L79" s="84" t="str">
        <f t="shared" si="17"/>
        <v>t-bdp-slap-lb-pb443</v>
      </c>
      <c r="M79" s="84" t="s">
        <v>598</v>
      </c>
      <c r="N79" s="84">
        <v>443</v>
      </c>
      <c r="O79" s="84">
        <v>4</v>
      </c>
      <c r="P79" s="84" t="s">
        <v>123</v>
      </c>
      <c r="Q79" s="84" t="b">
        <v>1</v>
      </c>
      <c r="R79" s="84" t="b">
        <v>0</v>
      </c>
    </row>
    <row r="80" spans="1:18" x14ac:dyDescent="0.3">
      <c r="A80" s="74" t="s">
        <v>182</v>
      </c>
      <c r="B80" s="74" t="str" cm="1">
        <f t="array" ref="B80">UPPER(INDEX(_xlfn.TEXTSPLIT($C80, "-"), 3))</f>
        <v>BDP</v>
      </c>
      <c r="C80" s="74" t="s">
        <v>384</v>
      </c>
      <c r="D80" s="74" t="s">
        <v>366</v>
      </c>
      <c r="E80" s="74" t="str">
        <f t="shared" si="16"/>
        <v>t-bdp-cxmadm-lb-rule443</v>
      </c>
      <c r="F80" s="74" t="str">
        <f t="shared" si="14"/>
        <v>t-bdp-cxmadm-lb-fe</v>
      </c>
      <c r="G80" s="74" t="s">
        <v>57</v>
      </c>
      <c r="H80" s="74">
        <v>443</v>
      </c>
      <c r="I80" s="74" t="b">
        <v>0</v>
      </c>
      <c r="J80" s="74" t="str">
        <f t="shared" si="15"/>
        <v>t-bdp-cxmadm-lb-bp</v>
      </c>
      <c r="K80" s="74">
        <v>443</v>
      </c>
      <c r="L80" s="74" t="str">
        <f t="shared" si="17"/>
        <v>t-bdp-cxmadm-lb-pb443</v>
      </c>
      <c r="M80" s="74" t="s">
        <v>598</v>
      </c>
      <c r="N80" s="74">
        <v>443</v>
      </c>
      <c r="O80" s="74">
        <v>4</v>
      </c>
      <c r="P80" s="74" t="s">
        <v>123</v>
      </c>
      <c r="Q80" s="74" t="b">
        <v>1</v>
      </c>
      <c r="R80" s="74" t="b">
        <v>0</v>
      </c>
    </row>
    <row r="81" spans="1:18" x14ac:dyDescent="0.3">
      <c r="A81" s="84" t="s">
        <v>182</v>
      </c>
      <c r="B81" s="84" t="str" cm="1">
        <f t="array" ref="B81">UPPER(INDEX(_xlfn.TEXTSPLIT($C81, "-"), 3))</f>
        <v>BDP</v>
      </c>
      <c r="C81" s="84" t="s">
        <v>384</v>
      </c>
      <c r="D81" s="84" t="s">
        <v>380</v>
      </c>
      <c r="E81" s="84" t="str">
        <f t="shared" si="16"/>
        <v>t-bdp-crkweb-lb-rule443</v>
      </c>
      <c r="F81" s="84" t="str">
        <f t="shared" si="14"/>
        <v>t-bdp-crkweb-lb-fe</v>
      </c>
      <c r="G81" s="84" t="s">
        <v>57</v>
      </c>
      <c r="H81" s="84">
        <v>443</v>
      </c>
      <c r="I81" s="84" t="b">
        <v>0</v>
      </c>
      <c r="J81" s="84" t="str">
        <f t="shared" si="15"/>
        <v>t-bdp-crkweb-lb-bp</v>
      </c>
      <c r="K81" s="84">
        <v>443</v>
      </c>
      <c r="L81" s="84" t="str">
        <f t="shared" si="17"/>
        <v>t-bdp-crkweb-lb-pb443</v>
      </c>
      <c r="M81" s="84" t="s">
        <v>57</v>
      </c>
      <c r="N81" s="84">
        <v>443</v>
      </c>
      <c r="O81" s="84">
        <v>4</v>
      </c>
      <c r="P81" s="84" t="s">
        <v>123</v>
      </c>
      <c r="Q81" s="84" t="b">
        <v>1</v>
      </c>
      <c r="R81" s="84" t="b">
        <v>0</v>
      </c>
    </row>
    <row r="82" spans="1:18" x14ac:dyDescent="0.3">
      <c r="A82" s="74" t="s">
        <v>182</v>
      </c>
      <c r="B82" s="74" t="str" cm="1">
        <f t="array" ref="B82">UPPER(INDEX(_xlfn.TEXTSPLIT($C82, "-"), 3))</f>
        <v>BDP</v>
      </c>
      <c r="C82" s="74" t="s">
        <v>384</v>
      </c>
      <c r="D82" s="74" t="s">
        <v>382</v>
      </c>
      <c r="E82" s="74" t="str">
        <f t="shared" si="16"/>
        <v>t-bdp-crkml-lb-rule8082</v>
      </c>
      <c r="F82" s="74" t="str">
        <f t="shared" si="14"/>
        <v>t-bdp-crkml-lb-fe</v>
      </c>
      <c r="G82" s="74" t="s">
        <v>57</v>
      </c>
      <c r="H82" s="74">
        <v>8082</v>
      </c>
      <c r="I82" s="74" t="b">
        <v>0</v>
      </c>
      <c r="J82" s="74" t="str">
        <f t="shared" si="15"/>
        <v>t-bdp-crkml-lb-bp</v>
      </c>
      <c r="K82" s="74">
        <v>8082</v>
      </c>
      <c r="L82" s="74" t="str">
        <f t="shared" si="17"/>
        <v>t-bdp-crkml-lb-pb8082</v>
      </c>
      <c r="M82" s="74" t="s">
        <v>57</v>
      </c>
      <c r="N82" s="74">
        <v>8082</v>
      </c>
      <c r="O82" s="74">
        <v>4</v>
      </c>
      <c r="P82" s="74" t="s">
        <v>123</v>
      </c>
      <c r="Q82" s="74" t="b">
        <v>1</v>
      </c>
      <c r="R82" s="74" t="b">
        <v>0</v>
      </c>
    </row>
    <row r="83" spans="1:18" x14ac:dyDescent="0.3">
      <c r="A83" s="84" t="s">
        <v>182</v>
      </c>
      <c r="B83" s="84" t="str" cm="1">
        <f t="array" ref="B83">UPPER(INDEX(_xlfn.TEXTSPLIT($C83, "-"), 3))</f>
        <v>BDP</v>
      </c>
      <c r="C83" s="84" t="s">
        <v>384</v>
      </c>
      <c r="D83" s="84" t="s">
        <v>381</v>
      </c>
      <c r="E83" s="84" t="str">
        <f t="shared" si="16"/>
        <v>t-bdp-crkap-lb-rule8085</v>
      </c>
      <c r="F83" s="84" t="str">
        <f t="shared" si="14"/>
        <v>t-bdp-crkap-lb-fe</v>
      </c>
      <c r="G83" s="84" t="s">
        <v>57</v>
      </c>
      <c r="H83" s="84">
        <v>8085</v>
      </c>
      <c r="I83" s="84" t="b">
        <v>0</v>
      </c>
      <c r="J83" s="84" t="str">
        <f t="shared" si="15"/>
        <v>t-bdp-crkap-lb-bp</v>
      </c>
      <c r="K83" s="84">
        <v>8085</v>
      </c>
      <c r="L83" s="84" t="str">
        <f t="shared" si="17"/>
        <v>t-bdp-crkap-lb-pb8085</v>
      </c>
      <c r="M83" s="84" t="s">
        <v>57</v>
      </c>
      <c r="N83" s="84">
        <v>8085</v>
      </c>
      <c r="O83" s="84">
        <v>4</v>
      </c>
      <c r="P83" s="84" t="s">
        <v>123</v>
      </c>
      <c r="Q83" s="84" t="b">
        <v>1</v>
      </c>
      <c r="R83" s="84" t="b">
        <v>0</v>
      </c>
    </row>
    <row r="84" spans="1:18" x14ac:dyDescent="0.3">
      <c r="A84" s="74" t="s">
        <v>182</v>
      </c>
      <c r="B84" s="74" t="str" cm="1">
        <f t="array" ref="B84">UPPER(INDEX(_xlfn.TEXTSPLIT($C84, "-"), 3))</f>
        <v>DTG</v>
      </c>
      <c r="C84" s="74" t="s">
        <v>383</v>
      </c>
      <c r="D84" s="74" t="s">
        <v>622</v>
      </c>
      <c r="E84" s="74" t="str">
        <f t="shared" ref="E84" si="18">SUBSTITUTE(D84, "hazr-", "")&amp;"-rule"&amp;N84</f>
        <v>t-dtg-bbigeoap01-rule8089</v>
      </c>
      <c r="F84" s="74" t="str">
        <f t="shared" ref="F84" si="19">SUBSTITUTE(D84, "hazr-", "")&amp;"-fe"</f>
        <v>t-dtg-bbigeoap01-fe</v>
      </c>
      <c r="G84" s="74" t="s">
        <v>57</v>
      </c>
      <c r="H84" s="74">
        <v>8089</v>
      </c>
      <c r="I84" s="74" t="b">
        <v>0</v>
      </c>
      <c r="J84" s="74" t="str">
        <f t="shared" ref="J84" si="20">SUBSTITUTE(D84, "hazr-", "")&amp;"-bp"</f>
        <v>t-dtg-bbigeoap01-bp</v>
      </c>
      <c r="K84" s="74">
        <v>8089</v>
      </c>
      <c r="L84" s="74" t="str">
        <f t="shared" ref="L84" si="21">SUBSTITUTE(D84, "hazr-", "")&amp;"-pb"&amp;IF(N84="", "", N84)</f>
        <v>t-dtg-bbigeoap01-pb8089</v>
      </c>
      <c r="M84" s="74" t="s">
        <v>57</v>
      </c>
      <c r="N84" s="74">
        <v>8089</v>
      </c>
      <c r="O84" s="74">
        <v>4</v>
      </c>
      <c r="P84" s="74" t="s">
        <v>123</v>
      </c>
      <c r="Q84" s="74" t="b">
        <v>1</v>
      </c>
      <c r="R84" s="74" t="b">
        <v>0</v>
      </c>
    </row>
    <row r="85" spans="1:18" x14ac:dyDescent="0.3">
      <c r="A85" s="74" t="s">
        <v>182</v>
      </c>
      <c r="B85" s="74" t="str" cm="1">
        <f t="array" ref="B85">UPPER(INDEX(_xlfn.TEXTSPLIT($C85, "-"), 3))</f>
        <v>DTG</v>
      </c>
      <c r="C85" s="74" t="s">
        <v>383</v>
      </c>
      <c r="D85" s="74" t="s">
        <v>622</v>
      </c>
      <c r="E85" s="74" t="str">
        <f t="shared" ref="E85" si="22">SUBSTITUTE(D85, "hazr-", "")&amp;"-rule"&amp;N85</f>
        <v>t-dtg-bbigeoap01-rule9089</v>
      </c>
      <c r="F85" s="74" t="str">
        <f t="shared" ref="F85" si="23">SUBSTITUTE(D85, "hazr-", "")&amp;"-fe"</f>
        <v>t-dtg-bbigeoap01-fe</v>
      </c>
      <c r="G85" s="74" t="s">
        <v>57</v>
      </c>
      <c r="H85" s="74">
        <v>9089</v>
      </c>
      <c r="I85" s="74" t="b">
        <v>0</v>
      </c>
      <c r="J85" s="74" t="str">
        <f t="shared" ref="J85" si="24">SUBSTITUTE(D85, "hazr-", "")&amp;"-bp"</f>
        <v>t-dtg-bbigeoap01-bp</v>
      </c>
      <c r="K85" s="74">
        <v>9089</v>
      </c>
      <c r="L85" s="74" t="str">
        <f t="shared" ref="L85" si="25">SUBSTITUTE(D85, "hazr-", "")&amp;"-pb"&amp;IF(N85="", "", N85)</f>
        <v>t-dtg-bbigeoap01-pb9089</v>
      </c>
      <c r="M85" s="74" t="s">
        <v>57</v>
      </c>
      <c r="N85" s="74">
        <v>9089</v>
      </c>
      <c r="O85" s="74">
        <v>4</v>
      </c>
      <c r="P85" s="74" t="s">
        <v>123</v>
      </c>
      <c r="Q85" s="74" t="b">
        <v>1</v>
      </c>
      <c r="R85" s="74" t="b">
        <v>0</v>
      </c>
    </row>
  </sheetData>
  <autoFilter ref="A1:R83" xr:uid="{A4BC862D-08E7-4593-9A34-4D2B508CF25B}">
    <sortState xmlns:xlrd2="http://schemas.microsoft.com/office/spreadsheetml/2017/richdata2" ref="A2:R48">
      <sortCondition descending="1" ref="B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</vt:lpstr>
      <vt:lpstr>VM_Datadisk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임승현</dc:creator>
  <cp:keywords/>
  <dc:description/>
  <cp:lastModifiedBy>백승규</cp:lastModifiedBy>
  <cp:revision/>
  <dcterms:created xsi:type="dcterms:W3CDTF">2021-03-26T06:15:24Z</dcterms:created>
  <dcterms:modified xsi:type="dcterms:W3CDTF">2026-07-07T07:51:35Z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