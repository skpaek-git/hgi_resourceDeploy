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0F79D06-B3BB-4746-99BB-6FB53CC50147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2" l="1" a="1"/>
  <c r="C78" i="2" s="1"/>
  <c r="C79" i="2" a="1"/>
  <c r="C79" i="2" s="1"/>
  <c r="E76" i="2"/>
  <c r="C76" i="2" s="1" a="1"/>
  <c r="C76" i="2" s="1"/>
  <c r="E77" i="2"/>
  <c r="C77" i="2" s="1" a="1"/>
  <c r="C77" i="2" s="1"/>
  <c r="E78" i="2"/>
  <c r="E79" i="2"/>
  <c r="E80" i="2"/>
  <c r="C80" i="2" s="1" a="1"/>
  <c r="C80" i="2" s="1"/>
  <c r="K77" i="2"/>
  <c r="K79" i="2"/>
  <c r="J56" i="14"/>
  <c r="J57" i="14"/>
  <c r="J58" i="14"/>
  <c r="J59" i="14"/>
  <c r="J60" i="14"/>
  <c r="G56" i="14"/>
  <c r="G57" i="14"/>
  <c r="G58" i="14"/>
  <c r="G59" i="14"/>
  <c r="G60" i="14"/>
  <c r="C57" i="14" a="1"/>
  <c r="C57" i="14" s="1"/>
  <c r="C58" i="14" a="1"/>
  <c r="C58" i="14" s="1"/>
  <c r="C59" i="14" a="1"/>
  <c r="C59" i="14" s="1"/>
  <c r="C60" i="14" a="1"/>
  <c r="C60" i="14" s="1"/>
  <c r="C56" i="14" a="1"/>
  <c r="C56" i="14" s="1"/>
  <c r="C64" i="1" a="1"/>
  <c r="C64" i="1" s="1"/>
  <c r="O64" i="1"/>
  <c r="U64" i="1"/>
  <c r="C63" i="1" a="1"/>
  <c r="C63" i="1" s="1"/>
  <c r="O63" i="1"/>
  <c r="U63" i="1"/>
  <c r="C62" i="1" a="1"/>
  <c r="C62" i="1" s="1"/>
  <c r="O62" i="1"/>
  <c r="U62" i="1"/>
  <c r="C61" i="1" a="1"/>
  <c r="C61" i="1" s="1"/>
  <c r="O61" i="1"/>
  <c r="U61" i="1"/>
  <c r="C60" i="1" a="1"/>
  <c r="C60" i="1" s="1"/>
  <c r="O60" i="1"/>
  <c r="U60" i="1"/>
  <c r="C55" i="14" a="1"/>
  <c r="C55" i="14" s="1"/>
  <c r="G55" i="14"/>
  <c r="J55" i="14"/>
  <c r="C59" i="1" a="1"/>
  <c r="C59" i="1" s="1"/>
  <c r="O59" i="1"/>
  <c r="U59" i="1"/>
  <c r="E75" i="2"/>
  <c r="K75" i="2"/>
  <c r="G54" i="14"/>
  <c r="J54" i="14"/>
  <c r="C58" i="1" l="1" a="1"/>
  <c r="C58" i="1" s="1"/>
  <c r="O58" i="1"/>
  <c r="U58" i="1"/>
  <c r="K71" i="2"/>
  <c r="K72" i="2"/>
  <c r="K73" i="2"/>
  <c r="K74" i="2"/>
  <c r="E71" i="2"/>
  <c r="E72" i="2"/>
  <c r="E73" i="2"/>
  <c r="E74" i="2"/>
  <c r="O57" i="1"/>
  <c r="U57" i="1"/>
  <c r="O56" i="1"/>
  <c r="U56" i="1"/>
  <c r="O55" i="1"/>
  <c r="U55" i="1"/>
  <c r="O54" i="1"/>
  <c r="U54" i="1"/>
  <c r="C48" i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<sst xmlns="http://schemas.openxmlformats.org/spreadsheetml/2006/main" count="2401" uniqueCount="451">
  <si>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</si>
  <si>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</si>
  <si>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</si>
  <si>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</si>
  <si>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</si>
  <si>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</si>
  <si>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</si>
  <si>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</si>
  <si>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</si>
  <si>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</si>
  <si>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</si>
  <si>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</si>
  <si>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</si>
  <si>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</si>
  <si>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</si>
  <si>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</si>
  <si>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</si>
  <si>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</si>
  <si>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</si>
  <si>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</si>
  <si>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</si>
  <si>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</si>
  <si>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</si>
  <si>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</si>
  <si>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</si>
  <si>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</si>
  <si>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</si>
  <si>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</si>
  <si>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</si>
  <si>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</si>
  <si>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</si>
  <si>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</si>
  <si>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</si>
  <si>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</si>
  <si>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</si>
  <si>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</si>
  <si>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</si>
  <si>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</si>
  <si>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</si>
  <si>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</si>
  <si>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</si>
  <si>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</si>
  <si>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</si>
  <si>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</si>
  <si>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</si>
  <si>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</si>
  <si>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</si>
  <si>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</si>
  <si>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</si>
  <si>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</si>
  <si>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</si>
  <si>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</si>
  <si>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</si>
  <si>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</si>
  <si>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</si>
  <si>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</si>
  <si>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</si>
  <si>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</si>
  <si>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</si>
  <si>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</si>
  <si>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</si>
  <si>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</si>
  <si>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</si>
  <si>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</si>
  <si>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</si>
  <si>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</si>
  <si>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</si>
  <si>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</si>
  <si>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</si>
  <si>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</si>
  <si>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</si>
  <si>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</si>
  <si>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</si>
  <si>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</si>
  <si>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</si>
  <si>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</si>
  <si>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</si>
  <si>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</si>
  <si>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</si>
  <si>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</si>
  <si>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</si>
  <si>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</si>
  <si>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</si>
  <si>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</si>
  <si>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</si>
  <si>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</si>
  <si>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</si>
  <si>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</si>
  <si>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</si>
  <si>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</si>
  <si>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</si>
  <si>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</si>
  <si>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</si>
  <si>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</si>
  <si>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</si>
  <si>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</si>
  <si>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</si>
  <si>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</si>
  <si>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</si>
  <si>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</si>
  <si>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</si>
  <si>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</si>
  <si>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</si>
  <si>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</si>
  <si>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</si>
  <si>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</si>
  <si>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</si>
  <si>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</si>
  <si>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</si>
  <si>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</si>
  <si>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</si>
  <si>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</si>
  <si>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</si>
  <si>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</si>
  <si>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</si>
  <si>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</si>
  <si>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</si>
  <si>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</si>
  <si>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</si>
  <si>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</si>
  <si>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</si>
  <si>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</si>
  <si>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</si>
  <si>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</si>
  <si>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</si>
  <si>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</si>
  <si>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</si>
  <si>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</si>
  <si>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</si>
  <si>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</si>
  <si>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</si>
  <si>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</si>
  <si>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</si>
  <si>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</si>
  <si>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</si>
  <si>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</si>
  <si>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</si>
  <si>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</si>
  <si>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</si>
  <si>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</si>
  <si>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</si>
  <si>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</si>
  <si>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</si>
  <si>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</si>
  <si>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</si>
  <si>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</si>
  <si>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</si>
  <si>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</si>
  <si>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</si>
  <si>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</si>
  <si>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</si>
  <si>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</si>
  <si>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</si>
  <si>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</si>
  <si>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</si>
  <si>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</si>
  <si>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</si>
  <si>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</si>
  <si>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</si>
  <si>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</si>
  <si>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</si>
  <si>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</si>
  <si>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</si>
  <si>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</si>
  <si>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</si>
  <si>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</si>
  <si>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</si>
  <si>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</si>
  <si>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</si>
  <si>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</si>
  <si>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</si>
  <si>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</si>
  <si>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</si>
  <si>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</si>
  <si>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</si>
  <si>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</si>
  <si>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</si>
  <si>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</si>
  <si>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</si>
  <si>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</si>
  <si>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</si>
  <si>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</si>
  <si>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</si>
  <si>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</si>
  <si>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</si>
  <si>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</si>
  <si>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</si>
  <si>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</si>
  <si>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</si>
  <si>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</si>
  <si>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</si>
  <si>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</si>
  <si>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</si>
  <si>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</si>
  <si>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</si>
  <si>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</si>
  <si>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</si>
  <si>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</si>
  <si>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</si>
  <si>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</si>
  <si>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</si>
  <si>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</si>
  <si>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</si>
  <si>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</si>
  <si>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</si>
  <si>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</si>
  <si>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</si>
  <si>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</si>
  <si>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</si>
  <si>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</si>
  <si>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</si>
  <si>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</si>
  <si>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</si>
  <si>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</si>
  <si>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</si>
  <si>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</si>
  <si>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</si>
  <si>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</si>
  <si>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</si>
  <si>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</si>
  <si>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</si>
  <si>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</si>
  <si>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</si>
  <si>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</si>
  <si>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</si>
  <si>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</si>
  <si>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</si>
  <si>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</si>
  <si>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</si>
  <si>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</si>
  <si>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</si>
  <si>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</si>
  <si>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</si>
  <si>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</si>
  <si>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</si>
  <si>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</si>
  <si>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</si>
  <si>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</si>
  <si>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</si>
  <si>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</si>
  <si>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</si>
  <si>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</si>
  <si>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</si>
  <si>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</si>
  <si>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</si>
  <si>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</si>
  <si>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</si>
  <si>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</si>
  <si>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</si>
  <si>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</si>
  <si>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</si>
  <si>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</si>
  <si>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</si>
  <si>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</si>
  <si>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</si>
  <si>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</si>
  <si>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</si>
  <si>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</si>
  <si>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</si>
  <si>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</si>
  <si>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</si>
  <si>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</si>
  <si>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</si>
  <si>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</si>
  <si>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</si>
  <si>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</si>
  <si>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</si>
  <si>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</si>
  <si>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</si>
  <si>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</si>
  <si>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</si>
  <si>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</si>
  <si>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</si>
  <si>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</si>
  <si>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</si>
  <si>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</si>
  <si>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</si>
  <si>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</si>
  <si>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</si>
  <si>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</si>
  <si>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</si>
  <si>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</si>
  <si>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</si>
  <si>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</si>
  <si>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</si>
  <si>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</si>
  <si>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</si>
  <si>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</si>
  <si>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</si>
  <si>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</si>
  <si>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</si>
  <si>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</si>
  <si>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</si>
  <si>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</si>
  <si>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</si>
  <si>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</si>
  <si>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</si>
  <si>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</si>
  <si>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</si>
  <si>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</si>
  <si>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</si>
  <si>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</si>
  <si>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</si>
  <si>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</si>
  <si>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</si>
  <si>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</si>
  <si>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</si>
  <si>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</si>
  <si>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</si>
  <si>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</si>
  <si>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</si>
  <si>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</si>
  <si>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</si>
  <si>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</si>
  <si>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</si>
  <si>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</si>
  <si>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</si>
  <si>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</si>
  <si>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</si>
  <si>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</si>
  <si>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</si>
  <si>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</si>
  <si>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</si>
  <si>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</si>
  <si>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</si>
  <si>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</si>
  <si>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</si>
  <si>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</si>
  <si>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</si>
  <si>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</si>
  <si>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</si>
  <si>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</si>
  <si>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</si>
  <si>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</si>
  <si>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</si>
  <si>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</si>
  <si>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</si>
  <si>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</si>
  <si>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</si>
  <si>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</si>
  <si>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</si>
  <si>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</si>
  <si>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</si>
  <si>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</si>
  <si>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</si>
  <si>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</si>
  <si>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</si>
  <si>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</si>
  <si>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</si>
  <si>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</si>
  <si>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</si>
  <si>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</si>
  <si>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</si>
  <si>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</si>
  <si>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</si>
  <si>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</si>
  <si>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</si>
  <si>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</si>
  <si>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</si>
  <si>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</si>
  <si>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</si>
  <si>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</si>
  <si>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</si>
  <si>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</si>
  <si>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</si>
  <si>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</si>
  <si>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</si>
  <si>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</si>
  <si>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</si>
  <si>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</si>
  <si>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</si>
  <si>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</si>
  <si>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</si>
  <si>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</si>
  <si>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</si>
  <si>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</si>
  <si>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</si>
  <si>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</si>
  <si>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</si>
  <si>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</si>
  <si>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</si>
  <si>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</si>
  <si>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</si>
  <si>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</si>
  <si>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</si>
  <si>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</si>
  <si>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</si>
  <si>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</si>
  <si>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</si>
  <si>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</si>
  <si>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</si>
  <si>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</si>
  <si>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</si>
  <si>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</si>
  <si>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TEMP</t>
    <phoneticPr fontId="1" type="noConversion"/>
  </si>
  <si>
    <t>az-d-int-host1</t>
    <phoneticPr fontId="1" type="noConversion"/>
  </si>
  <si>
    <t>az-d-int-host2</t>
    <phoneticPr fontId="1" type="noConversion"/>
  </si>
  <si>
    <t>az-d-int-host3</t>
    <phoneticPr fontId="1" type="noConversion"/>
  </si>
  <si>
    <t>az-d-int-host4</t>
    <phoneticPr fontId="1" type="noConversion"/>
  </si>
  <si>
    <t>10.156.147.4</t>
    <phoneticPr fontId="1" type="noConversion"/>
  </si>
  <si>
    <t>10.156.147.5</t>
    <phoneticPr fontId="1" type="noConversion"/>
  </si>
  <si>
    <t>10.156.147.6</t>
    <phoneticPr fontId="1" type="noConversion"/>
  </si>
  <si>
    <t>10.156.147.7</t>
    <phoneticPr fontId="1" type="noConversion"/>
  </si>
  <si>
    <t>d-puls-ap-sbn</t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</si>
  <si>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</si>
  <si>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DEV</t>
    <phoneticPr fontId="1" type="noConversion"/>
  </si>
  <si>
    <t>hazr-d-if-edmsstr01</t>
    <phoneticPr fontId="1" type="noConversion"/>
  </si>
  <si>
    <t>10.156.165.30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</si>
  <si>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</si>
  <si>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</si>
  <si>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hazr-d-dch-int-vnet</t>
    <phoneticPr fontId="1" type="noConversion"/>
  </si>
  <si>
    <t>d-if-ap-sbn</t>
    <phoneticPr fontId="1" type="noConversion"/>
  </si>
  <si>
    <t>hazr-d-if-edmsstr01</t>
    <phoneticPr fontId="1" type="noConversion"/>
  </si>
  <si>
    <t>O</t>
    <phoneticPr fontId="1" type="noConversion"/>
  </si>
  <si>
    <t>hazr-d-if-rg</t>
    <phoneticPr fontId="1" type="noConversion"/>
  </si>
  <si>
    <t>if</t>
    <phoneticPr fontId="1" type="noConversion"/>
  </si>
  <si>
    <t>DEV</t>
    <phoneticPr fontId="1" type="noConversion"/>
  </si>
  <si>
    <t>hazr-d-sec-rg</t>
    <phoneticPr fontId="1" type="noConversion"/>
  </si>
  <si>
    <t>hazr-d-sec-mevrsol01</t>
    <phoneticPr fontId="1" type="noConversion"/>
  </si>
  <si>
    <t>10.156.150.10</t>
    <phoneticPr fontId="1" type="noConversion"/>
  </si>
  <si>
    <t>Linux</t>
    <phoneticPr fontId="1" type="noConversion"/>
  </si>
  <si>
    <t>hazr-d-dch-rg</t>
    <phoneticPr fontId="1" type="noConversion"/>
  </si>
  <si>
    <t>d-sec-ap-sbn</t>
    <phoneticPr fontId="1" type="noConversion"/>
  </si>
  <si>
    <t>hazr-d-sec-rg</t>
    <phoneticPr fontId="1" type="noConversion"/>
  </si>
  <si>
    <t>hazr-d-sec-mevrsol01</t>
    <phoneticPr fontId="1" type="noConversion"/>
  </si>
  <si>
    <t>d-sec-mevrsol01-nic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</si>
  <si>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</si>
  <si>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DEV</t>
    <phoneticPr fontId="1" type="noConversion"/>
  </si>
  <si>
    <t>hazr-d-dis-clvweb01</t>
    <phoneticPr fontId="1" type="noConversion"/>
  </si>
  <si>
    <t>hazr-d-dis-clvap01</t>
    <phoneticPr fontId="1" type="noConversion"/>
  </si>
  <si>
    <t>hazr-d-dis-clvssrap01</t>
    <phoneticPr fontId="1" type="noConversion"/>
  </si>
  <si>
    <t>hazr-d-dis-clvadmweb01</t>
    <phoneticPr fontId="1" type="noConversion"/>
  </si>
  <si>
    <t>hazr-d-dis-clvadmap01</t>
    <phoneticPr fontId="1" type="noConversion"/>
  </si>
  <si>
    <t>10.156.144.50</t>
    <phoneticPr fontId="1" type="noConversion"/>
  </si>
  <si>
    <t>10.156.144.70</t>
    <phoneticPr fontId="1" type="noConversion"/>
  </si>
  <si>
    <t>10.156.144.130</t>
    <phoneticPr fontId="1" type="noConversion"/>
  </si>
  <si>
    <t>10.156.128.50</t>
    <phoneticPr fontId="1" type="noConversion"/>
  </si>
  <si>
    <t>10.156.144.140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</si>
  <si>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</si>
  <si>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</si>
  <si>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</si>
  <si>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hazr-d-dch-ext-vnet</t>
    <phoneticPr fontId="1" type="noConversion"/>
  </si>
  <si>
    <t>d-dis-web-sbn</t>
    <phoneticPr fontId="1" type="noConversion"/>
  </si>
  <si>
    <t>d-dis-ap-sbn</t>
    <phoneticPr fontId="1" type="noConversion"/>
  </si>
  <si>
    <t>hazr-d-dis-clvweb01</t>
    <phoneticPr fontId="1" type="noConversion"/>
  </si>
  <si>
    <t>hazr-d-dis-clvap01</t>
    <phoneticPr fontId="1" type="noConversion"/>
  </si>
  <si>
    <t>hazr-d-dis-clvssrap01</t>
    <phoneticPr fontId="1" type="noConversion"/>
  </si>
  <si>
    <t>hazr-d-dis-clvadmweb01</t>
    <phoneticPr fontId="1" type="noConversion"/>
  </si>
  <si>
    <t>hazr-d-dis-clvadmap01</t>
    <phoneticPr fontId="1" type="noConversion"/>
  </si>
  <si>
    <t>d-sec-mevrsol02-nic</t>
  </si>
  <si>
    <t>d-sec-mevrsol03-nic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</si>
</sst>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4" totalsRowShown="0" headerRowDxfId="33" dataDxfId="32">
  <autoFilter ref="B1:AF6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4"/>
  <sheetViews>
    <sheetView tabSelected="1" topLeftCell="I39" zoomScaleNormal="100" zoomScaleSheetLayoutView="100" workbookViewId="0">
      <selection activeCell="N60" sqref="N60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378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380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380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378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378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378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378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378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380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380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378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380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378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378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378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378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378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378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380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380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378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378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380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378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378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378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378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378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378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380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378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378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380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378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380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380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378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380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380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380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380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372</v>
      </c>
      <c r="G43" s="1" t="s">
        <v>373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380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378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380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378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378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374</v>
      </c>
      <c r="G48" s="1" t="s">
        <v>375</v>
      </c>
      <c r="H48" s="10" t="s">
        <v>376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377</v>
      </c>
      <c r="N48" s="1" t="s">
        <v>379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392</v>
      </c>
      <c r="G49" s="1" t="s">
        <v>381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377</v>
      </c>
      <c r="N49" s="1" t="s">
        <v>379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382</v>
      </c>
      <c r="G50" s="1" t="s">
        <v>383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377</v>
      </c>
      <c r="N50" s="1" t="s">
        <v>379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384</v>
      </c>
      <c r="G51" s="1" t="s">
        <v>385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377</v>
      </c>
      <c r="N51" s="1" t="s">
        <v>379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386</v>
      </c>
      <c r="G52" s="1" t="s">
        <v>388</v>
      </c>
      <c r="H52" s="10" t="s">
        <v>390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377</v>
      </c>
      <c r="N52" s="1" t="s">
        <v>393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A53" s="38"/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387</v>
      </c>
      <c r="G53" s="1" t="s">
        <v>389</v>
      </c>
      <c r="H53" s="10" t="s">
        <v>391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377</v>
      </c>
      <c r="N53" s="1" t="s">
        <v>393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  <row r="54" spans="1:32" x14ac:dyDescent="0.3">
      <c r="A54" s="21"/>
      <c r="B54" s="1" t="s">
        <v>31</v>
      </c>
      <c r="C54" s="1" t="s">
        <v>394</v>
      </c>
      <c r="D54" s="1" t="s">
        <v>301</v>
      </c>
      <c r="E54" s="1" t="s">
        <v>23</v>
      </c>
      <c r="F54" s="1" t="s">
        <v>395</v>
      </c>
      <c r="G54" s="1" t="s">
        <v>399</v>
      </c>
      <c r="H54" s="10" t="s">
        <v>184</v>
      </c>
      <c r="I54" s="1">
        <v>2</v>
      </c>
      <c r="J54" s="1">
        <v>8</v>
      </c>
      <c r="K54" s="1" t="s">
        <v>302</v>
      </c>
      <c r="L54" s="9" t="s">
        <v>182</v>
      </c>
      <c r="M54" s="9" t="s">
        <v>377</v>
      </c>
      <c r="N54" s="1" t="s">
        <v>404</v>
      </c>
      <c r="O54" s="1" t="str">
        <f t="shared" ref="O54:O59" si="8">SUBSTITUTE(F54,"hazr-","")&amp;"-osdisk"</f>
        <v>az-d-int-host1-osdisk</v>
      </c>
      <c r="P54" s="1">
        <v>64</v>
      </c>
      <c r="Q54" s="1" t="s">
        <v>290</v>
      </c>
      <c r="R54" s="1"/>
      <c r="S54" s="1"/>
      <c r="T54" s="1"/>
      <c r="U54" s="1" t="str">
        <f t="shared" ref="U54:U59" si="9">SUBSTITUTE(F54,"hazr-","")&amp;"-nic"</f>
        <v>az-d-int-host1-nic</v>
      </c>
      <c r="V54" s="1" t="b">
        <v>1</v>
      </c>
      <c r="W54" s="1" t="b">
        <v>1</v>
      </c>
      <c r="X54" s="1" t="s">
        <v>49</v>
      </c>
      <c r="Y54" s="1" t="s">
        <v>57</v>
      </c>
      <c r="Z54" s="1" t="s">
        <v>98</v>
      </c>
      <c r="AA54" s="1" t="b">
        <v>1</v>
      </c>
      <c r="AB54" s="1" t="s">
        <v>49</v>
      </c>
      <c r="AC54" s="1" t="s">
        <v>311</v>
      </c>
      <c r="AD54" s="1">
        <v>1</v>
      </c>
      <c r="AE54" s="1"/>
      <c r="AF54" s="1"/>
    </row>
    <row r="55" spans="1:32" x14ac:dyDescent="0.3">
      <c r="A55" s="21"/>
      <c r="B55" s="1" t="s">
        <v>31</v>
      </c>
      <c r="C55" s="1" t="s">
        <v>394</v>
      </c>
      <c r="D55" s="1" t="s">
        <v>301</v>
      </c>
      <c r="E55" s="1" t="s">
        <v>23</v>
      </c>
      <c r="F55" s="1" t="s">
        <v>396</v>
      </c>
      <c r="G55" s="1" t="s">
        <v>400</v>
      </c>
      <c r="H55" s="10" t="s">
        <v>184</v>
      </c>
      <c r="I55" s="1">
        <v>2</v>
      </c>
      <c r="J55" s="1">
        <v>8</v>
      </c>
      <c r="K55" s="1" t="s">
        <v>302</v>
      </c>
      <c r="L55" s="9" t="s">
        <v>182</v>
      </c>
      <c r="M55" s="9" t="s">
        <v>377</v>
      </c>
      <c r="N55" s="1" t="s">
        <v>404</v>
      </c>
      <c r="O55" s="1" t="str">
        <f t="shared" si="8"/>
        <v>az-d-int-host2-osdisk</v>
      </c>
      <c r="P55" s="1">
        <v>64</v>
      </c>
      <c r="Q55" s="1" t="s">
        <v>290</v>
      </c>
      <c r="R55" s="1"/>
      <c r="S55" s="1"/>
      <c r="T55" s="1"/>
      <c r="U55" s="1" t="str">
        <f t="shared" si="9"/>
        <v>az-d-int-host2-nic</v>
      </c>
      <c r="V55" s="1" t="b">
        <v>1</v>
      </c>
      <c r="W55" s="1" t="b">
        <v>1</v>
      </c>
      <c r="X55" s="1" t="s">
        <v>49</v>
      </c>
      <c r="Y55" s="1" t="s">
        <v>57</v>
      </c>
      <c r="Z55" s="1" t="s">
        <v>403</v>
      </c>
      <c r="AA55" s="1" t="b">
        <v>1</v>
      </c>
      <c r="AB55" s="1" t="s">
        <v>49</v>
      </c>
      <c r="AC55" s="1" t="s">
        <v>311</v>
      </c>
      <c r="AD55" s="1">
        <v>1</v>
      </c>
      <c r="AE55" s="1"/>
      <c r="AF55" s="1"/>
    </row>
    <row r="56" spans="1:32" x14ac:dyDescent="0.3">
      <c r="A56" s="21"/>
      <c r="B56" s="1" t="s">
        <v>31</v>
      </c>
      <c r="C56" s="1" t="s">
        <v>394</v>
      </c>
      <c r="D56" s="1" t="s">
        <v>301</v>
      </c>
      <c r="E56" s="1" t="s">
        <v>23</v>
      </c>
      <c r="F56" s="1" t="s">
        <v>397</v>
      </c>
      <c r="G56" s="1" t="s">
        <v>401</v>
      </c>
      <c r="H56" s="10" t="s">
        <v>184</v>
      </c>
      <c r="I56" s="1">
        <v>2</v>
      </c>
      <c r="J56" s="1">
        <v>8</v>
      </c>
      <c r="K56" s="1" t="s">
        <v>302</v>
      </c>
      <c r="L56" s="9" t="s">
        <v>182</v>
      </c>
      <c r="M56" s="9" t="s">
        <v>377</v>
      </c>
      <c r="N56" s="1" t="s">
        <v>404</v>
      </c>
      <c r="O56" s="1" t="str">
        <f t="shared" si="8"/>
        <v>az-d-int-host3-osdisk</v>
      </c>
      <c r="P56" s="1">
        <v>64</v>
      </c>
      <c r="Q56" s="1" t="s">
        <v>290</v>
      </c>
      <c r="R56" s="1"/>
      <c r="S56" s="1"/>
      <c r="T56" s="1"/>
      <c r="U56" s="1" t="str">
        <f t="shared" si="9"/>
        <v>az-d-int-host3-nic</v>
      </c>
      <c r="V56" s="1" t="b">
        <v>1</v>
      </c>
      <c r="W56" s="1" t="b">
        <v>1</v>
      </c>
      <c r="X56" s="1" t="s">
        <v>49</v>
      </c>
      <c r="Y56" s="1" t="s">
        <v>57</v>
      </c>
      <c r="Z56" s="1" t="s">
        <v>403</v>
      </c>
      <c r="AA56" s="1" t="b">
        <v>1</v>
      </c>
      <c r="AB56" s="1" t="s">
        <v>49</v>
      </c>
      <c r="AC56" s="1" t="s">
        <v>311</v>
      </c>
      <c r="AD56" s="1">
        <v>1</v>
      </c>
      <c r="AE56" s="1"/>
      <c r="AF56" s="1"/>
    </row>
    <row r="57" spans="1:32" x14ac:dyDescent="0.3">
      <c r="A57" s="21"/>
      <c r="B57" s="1" t="s">
        <v>31</v>
      </c>
      <c r="C57" s="1" t="s">
        <v>394</v>
      </c>
      <c r="D57" s="1" t="s">
        <v>301</v>
      </c>
      <c r="E57" s="1" t="s">
        <v>23</v>
      </c>
      <c r="F57" s="1" t="s">
        <v>398</v>
      </c>
      <c r="G57" s="1" t="s">
        <v>402</v>
      </c>
      <c r="H57" s="10" t="s">
        <v>184</v>
      </c>
      <c r="I57" s="1">
        <v>2</v>
      </c>
      <c r="J57" s="1">
        <v>8</v>
      </c>
      <c r="K57" s="1" t="s">
        <v>302</v>
      </c>
      <c r="L57" s="9" t="s">
        <v>182</v>
      </c>
      <c r="M57" s="9" t="s">
        <v>377</v>
      </c>
      <c r="N57" s="1" t="s">
        <v>404</v>
      </c>
      <c r="O57" s="1" t="str">
        <f t="shared" si="8"/>
        <v>az-d-int-host4-osdisk</v>
      </c>
      <c r="P57" s="1">
        <v>64</v>
      </c>
      <c r="Q57" s="1" t="s">
        <v>290</v>
      </c>
      <c r="R57" s="1"/>
      <c r="S57" s="1"/>
      <c r="T57" s="1"/>
      <c r="U57" s="1" t="str">
        <f t="shared" si="9"/>
        <v>az-d-int-host4-nic</v>
      </c>
      <c r="V57" s="1" t="b">
        <v>1</v>
      </c>
      <c r="W57" s="1" t="b">
        <v>1</v>
      </c>
      <c r="X57" s="1" t="s">
        <v>49</v>
      </c>
      <c r="Y57" s="1" t="s">
        <v>57</v>
      </c>
      <c r="Z57" s="1" t="s">
        <v>98</v>
      </c>
      <c r="AA57" s="1" t="b">
        <v>1</v>
      </c>
      <c r="AB57" s="1" t="s">
        <v>49</v>
      </c>
      <c r="AC57" s="1" t="s">
        <v>311</v>
      </c>
      <c r="AD57" s="1">
        <v>1</v>
      </c>
      <c r="AE57" s="1"/>
      <c r="AF57" s="1"/>
    </row>
    <row r="58" spans="1:32" x14ac:dyDescent="0.3">
      <c r="A58" s="21"/>
      <c r="B58" s="1" t="s">
        <v>405</v>
      </c>
      <c r="C58" s="1" t="str" cm="1">
        <f t="array" ref="C58">UPPER(INDEX(_xlfn.TEXTSPLIT($D58, "-"), 3))</f>
        <v>IF</v>
      </c>
      <c r="D58" s="1" t="s">
        <v>55</v>
      </c>
      <c r="E58" s="1" t="s">
        <v>23</v>
      </c>
      <c r="F58" s="1" t="s">
        <v>406</v>
      </c>
      <c r="G58" s="1" t="s">
        <v>407</v>
      </c>
      <c r="H58" s="10" t="s">
        <v>390</v>
      </c>
      <c r="I58" s="1">
        <v>4</v>
      </c>
      <c r="J58" s="1">
        <v>16</v>
      </c>
      <c r="K58" s="1" t="s">
        <v>302</v>
      </c>
      <c r="L58" s="9" t="s">
        <v>182</v>
      </c>
      <c r="M58" s="9" t="s">
        <v>408</v>
      </c>
      <c r="N58" s="1" t="s">
        <v>409</v>
      </c>
      <c r="O58" s="1" t="str">
        <f t="shared" si="8"/>
        <v>d-if-edmsstr01-osdisk</v>
      </c>
      <c r="P58" s="1">
        <v>64</v>
      </c>
      <c r="Q58" s="1" t="s">
        <v>290</v>
      </c>
      <c r="R58" s="1"/>
      <c r="S58" s="1"/>
      <c r="T58" s="1"/>
      <c r="U58" s="1" t="str">
        <f t="shared" si="9"/>
        <v>d-if-edmsstr01-nic</v>
      </c>
      <c r="V58" s="1" t="b">
        <v>1</v>
      </c>
      <c r="W58" s="1" t="b">
        <v>1</v>
      </c>
      <c r="X58" s="1" t="s">
        <v>49</v>
      </c>
      <c r="Y58" s="1" t="s">
        <v>410</v>
      </c>
      <c r="Z58" s="1" t="s">
        <v>411</v>
      </c>
      <c r="AA58" s="1" t="b">
        <v>1</v>
      </c>
      <c r="AB58" s="1" t="s">
        <v>49</v>
      </c>
      <c r="AC58" s="1" t="s">
        <v>311</v>
      </c>
      <c r="AD58" s="1">
        <v>1</v>
      </c>
      <c r="AE58" s="1"/>
      <c r="AF58" s="1"/>
    </row>
    <row r="59" spans="1:32" x14ac:dyDescent="0.3">
      <c r="A59" s="21"/>
      <c r="B59" s="1" t="s">
        <v>416</v>
      </c>
      <c r="C59" s="1" t="str" cm="1">
        <f t="array" ref="C59">UPPER(INDEX(_xlfn.TEXTSPLIT($D59, "-"), 3))</f>
        <v>SEC</v>
      </c>
      <c r="D59" s="1" t="s">
        <v>417</v>
      </c>
      <c r="E59" s="1" t="s">
        <v>23</v>
      </c>
      <c r="F59" s="1" t="s">
        <v>418</v>
      </c>
      <c r="G59" s="1" t="s">
        <v>419</v>
      </c>
      <c r="H59" s="10" t="s">
        <v>184</v>
      </c>
      <c r="I59" s="1">
        <v>2</v>
      </c>
      <c r="J59" s="1">
        <v>8</v>
      </c>
      <c r="K59" s="1" t="s">
        <v>302</v>
      </c>
      <c r="L59" s="9" t="s">
        <v>182</v>
      </c>
      <c r="M59" s="9" t="s">
        <v>420</v>
      </c>
      <c r="N59" s="1" t="s">
        <v>426</v>
      </c>
      <c r="O59" s="1" t="str">
        <f t="shared" si="8"/>
        <v>d-sec-mevrsol01-osdisk</v>
      </c>
      <c r="P59" s="1">
        <v>64</v>
      </c>
      <c r="Q59" s="1" t="s">
        <v>290</v>
      </c>
      <c r="R59" s="1"/>
      <c r="S59" s="1"/>
      <c r="T59" s="1"/>
      <c r="U59" s="1" t="str">
        <f t="shared" si="9"/>
        <v>d-sec-mevrsol01-nic</v>
      </c>
      <c r="V59" s="1" t="b">
        <v>1</v>
      </c>
      <c r="W59" s="1" t="b">
        <v>1</v>
      </c>
      <c r="X59" s="1" t="s">
        <v>421</v>
      </c>
      <c r="Y59" s="1" t="s">
        <v>57</v>
      </c>
      <c r="Z59" s="1" t="s">
        <v>422</v>
      </c>
      <c r="AA59" s="1" t="b">
        <v>1</v>
      </c>
      <c r="AB59" s="1" t="s">
        <v>49</v>
      </c>
      <c r="AC59" s="1" t="s">
        <v>311</v>
      </c>
      <c r="AD59" s="1">
        <v>1</v>
      </c>
      <c r="AE59" s="1"/>
      <c r="AF59" s="1"/>
    </row>
    <row r="60" spans="1:32" x14ac:dyDescent="0.3">
      <c r="B60" s="1" t="s">
        <v>427</v>
      </c>
      <c r="C60" s="1" t="str" cm="1">
        <f t="array" ref="C60">UPPER(INDEX(_xlfn.TEXTSPLIT($D60, "-"), 3))</f>
        <v>DIS</v>
      </c>
      <c r="D60" s="1" t="s">
        <v>52</v>
      </c>
      <c r="E60" s="1" t="s">
        <v>23</v>
      </c>
      <c r="F60" s="1" t="s">
        <v>428</v>
      </c>
      <c r="G60" s="1" t="s">
        <v>436</v>
      </c>
      <c r="H60" s="10" t="s">
        <v>438</v>
      </c>
      <c r="I60" s="1">
        <v>2</v>
      </c>
      <c r="J60" s="1">
        <v>8</v>
      </c>
      <c r="K60" s="1" t="s">
        <v>302</v>
      </c>
      <c r="L60" s="9" t="s">
        <v>182</v>
      </c>
      <c r="M60" s="9" t="s">
        <v>439</v>
      </c>
      <c r="N60" s="1" t="s">
        <v>426</v>
      </c>
      <c r="O60" s="1" t="str">
        <f>SUBSTITUTE(F60,"hazr-","")&amp;"-osdisk"</f>
        <v>d-dis-clvweb01-osdisk</v>
      </c>
      <c r="P60" s="1">
        <v>64</v>
      </c>
      <c r="Q60" s="1" t="s">
        <v>290</v>
      </c>
      <c r="R60" s="1"/>
      <c r="S60" s="1"/>
      <c r="T60" s="1"/>
      <c r="U60" s="1" t="str">
        <f>SUBSTITUTE(F60,"hazr-","")&amp;"-nic"</f>
        <v>d-dis-clvweb01-nic</v>
      </c>
      <c r="V60" s="1" t="b">
        <v>1</v>
      </c>
      <c r="W60" s="1" t="b">
        <v>1</v>
      </c>
      <c r="X60" s="1" t="s">
        <v>49</v>
      </c>
      <c r="Y60" s="1" t="s">
        <v>441</v>
      </c>
      <c r="Z60" s="1" t="s">
        <v>442</v>
      </c>
      <c r="AA60" s="1" t="b">
        <v>1</v>
      </c>
      <c r="AB60" s="1" t="s">
        <v>49</v>
      </c>
      <c r="AC60" s="1" t="s">
        <v>311</v>
      </c>
      <c r="AD60" s="1">
        <v>1</v>
      </c>
      <c r="AE60" s="1"/>
      <c r="AF60" s="1"/>
    </row>
    <row r="61" spans="1:32" x14ac:dyDescent="0.3">
      <c r="B61" s="1" t="s">
        <v>427</v>
      </c>
      <c r="C61" s="1" t="str" cm="1">
        <f t="array" ref="C61">UPPER(INDEX(_xlfn.TEXTSPLIT($D61, "-"), 3))</f>
        <v>DIS</v>
      </c>
      <c r="D61" s="1" t="s">
        <v>52</v>
      </c>
      <c r="E61" s="1" t="s">
        <v>23</v>
      </c>
      <c r="F61" s="1" t="s">
        <v>429</v>
      </c>
      <c r="G61" s="1" t="s">
        <v>433</v>
      </c>
      <c r="H61" s="10" t="s">
        <v>438</v>
      </c>
      <c r="I61" s="1">
        <v>2</v>
      </c>
      <c r="J61" s="1">
        <v>8</v>
      </c>
      <c r="K61" s="1" t="s">
        <v>302</v>
      </c>
      <c r="L61" s="9" t="s">
        <v>182</v>
      </c>
      <c r="M61" s="9" t="s">
        <v>439</v>
      </c>
      <c r="N61" s="1" t="s">
        <v>440</v>
      </c>
      <c r="O61" s="1" t="str">
        <f>SUBSTITUTE(F61,"hazr-","")&amp;"-osdisk"</f>
        <v>d-dis-clvap01-osdisk</v>
      </c>
      <c r="P61" s="1">
        <v>64</v>
      </c>
      <c r="Q61" s="1" t="s">
        <v>290</v>
      </c>
      <c r="R61" s="1"/>
      <c r="S61" s="1"/>
      <c r="T61" s="1"/>
      <c r="U61" s="1" t="str">
        <f>SUBSTITUTE(F61,"hazr-","")&amp;"-nic"</f>
        <v>d-dis-clvap01-nic</v>
      </c>
      <c r="V61" s="1" t="b">
        <v>1</v>
      </c>
      <c r="W61" s="1" t="b">
        <v>1</v>
      </c>
      <c r="X61" s="1" t="s">
        <v>49</v>
      </c>
      <c r="Y61" s="1" t="s">
        <v>57</v>
      </c>
      <c r="Z61" s="1" t="s">
        <v>443</v>
      </c>
      <c r="AA61" s="1" t="b">
        <v>1</v>
      </c>
      <c r="AB61" s="1" t="s">
        <v>49</v>
      </c>
      <c r="AC61" s="1" t="s">
        <v>311</v>
      </c>
      <c r="AD61" s="1">
        <v>1</v>
      </c>
      <c r="AE61" s="1"/>
      <c r="AF61" s="1"/>
    </row>
    <row r="62" spans="1:32" x14ac:dyDescent="0.3">
      <c r="B62" s="1" t="s">
        <v>427</v>
      </c>
      <c r="C62" s="1" t="str" cm="1">
        <f t="array" ref="C62">UPPER(INDEX(_xlfn.TEXTSPLIT($D62, "-"), 3))</f>
        <v>DIS</v>
      </c>
      <c r="D62" s="1" t="s">
        <v>52</v>
      </c>
      <c r="E62" s="1" t="s">
        <v>23</v>
      </c>
      <c r="F62" s="1" t="s">
        <v>430</v>
      </c>
      <c r="G62" s="1" t="s">
        <v>434</v>
      </c>
      <c r="H62" s="10" t="s">
        <v>195</v>
      </c>
      <c r="I62" s="1">
        <v>2</v>
      </c>
      <c r="J62" s="1">
        <v>8</v>
      </c>
      <c r="K62" s="1" t="s">
        <v>302</v>
      </c>
      <c r="L62" s="9" t="s">
        <v>182</v>
      </c>
      <c r="M62" s="9" t="s">
        <v>439</v>
      </c>
      <c r="N62" s="1" t="s">
        <v>440</v>
      </c>
      <c r="O62" s="1" t="str">
        <f>SUBSTITUTE(F62,"hazr-","")&amp;"-osdisk"</f>
        <v>d-dis-clvssrap01-osdisk</v>
      </c>
      <c r="P62" s="1">
        <v>64</v>
      </c>
      <c r="Q62" s="1" t="s">
        <v>290</v>
      </c>
      <c r="R62" s="1"/>
      <c r="S62" s="1"/>
      <c r="T62" s="1"/>
      <c r="U62" s="1" t="str">
        <f>SUBSTITUTE(F62,"hazr-","")&amp;"-nic"</f>
        <v>d-dis-clvssrap01-nic</v>
      </c>
      <c r="V62" s="1" t="b">
        <v>1</v>
      </c>
      <c r="W62" s="1" t="b">
        <v>1</v>
      </c>
      <c r="X62" s="1" t="s">
        <v>49</v>
      </c>
      <c r="Y62" s="1" t="s">
        <v>57</v>
      </c>
      <c r="Z62" s="1" t="s">
        <v>443</v>
      </c>
      <c r="AA62" s="1" t="b">
        <v>1</v>
      </c>
      <c r="AB62" s="1" t="s">
        <v>49</v>
      </c>
      <c r="AC62" s="1" t="s">
        <v>311</v>
      </c>
      <c r="AD62" s="1">
        <v>1</v>
      </c>
      <c r="AE62" s="1"/>
      <c r="AF62" s="1"/>
    </row>
    <row r="63" spans="1:32" x14ac:dyDescent="0.3">
      <c r="B63" s="1" t="s">
        <v>427</v>
      </c>
      <c r="C63" s="1" t="str" cm="1">
        <f t="array" ref="C63">UPPER(INDEX(_xlfn.TEXTSPLIT($D63, "-"), 3))</f>
        <v>DIS</v>
      </c>
      <c r="D63" s="1" t="s">
        <v>52</v>
      </c>
      <c r="E63" s="1" t="s">
        <v>23</v>
      </c>
      <c r="F63" s="1" t="s">
        <v>431</v>
      </c>
      <c r="G63" s="1" t="s">
        <v>435</v>
      </c>
      <c r="H63" s="10" t="s">
        <v>195</v>
      </c>
      <c r="I63" s="1">
        <v>2</v>
      </c>
      <c r="J63" s="1">
        <v>8</v>
      </c>
      <c r="K63" s="1" t="s">
        <v>302</v>
      </c>
      <c r="L63" s="9" t="s">
        <v>182</v>
      </c>
      <c r="M63" s="9" t="s">
        <v>439</v>
      </c>
      <c r="N63" s="1" t="s">
        <v>440</v>
      </c>
      <c r="O63" s="1" t="str">
        <f>SUBSTITUTE(F63,"hazr-","")&amp;"-osdisk"</f>
        <v>d-dis-clvadmweb01-osdisk</v>
      </c>
      <c r="P63" s="1">
        <v>64</v>
      </c>
      <c r="Q63" s="1" t="s">
        <v>290</v>
      </c>
      <c r="R63" s="1"/>
      <c r="S63" s="1"/>
      <c r="T63" s="1"/>
      <c r="U63" s="1" t="str">
        <f>SUBSTITUTE(F63,"hazr-","")&amp;"-nic"</f>
        <v>d-dis-clvadmweb01-nic</v>
      </c>
      <c r="V63" s="1" t="b">
        <v>1</v>
      </c>
      <c r="W63" s="1" t="b">
        <v>1</v>
      </c>
      <c r="X63" s="1" t="s">
        <v>49</v>
      </c>
      <c r="Y63" s="1" t="s">
        <v>57</v>
      </c>
      <c r="Z63" s="1" t="s">
        <v>443</v>
      </c>
      <c r="AA63" s="1" t="b">
        <v>1</v>
      </c>
      <c r="AB63" s="1" t="s">
        <v>49</v>
      </c>
      <c r="AC63" s="1" t="s">
        <v>311</v>
      </c>
      <c r="AD63" s="1">
        <v>1</v>
      </c>
      <c r="AE63" s="1"/>
      <c r="AF63" s="1"/>
    </row>
    <row r="64" spans="1:32" x14ac:dyDescent="0.3">
      <c r="B64" s="1" t="s">
        <v>427</v>
      </c>
      <c r="C64" s="1" t="str" cm="1">
        <f t="array" ref="C64">UPPER(INDEX(_xlfn.TEXTSPLIT($D64, "-"), 3))</f>
        <v>DIS</v>
      </c>
      <c r="D64" s="1" t="s">
        <v>52</v>
      </c>
      <c r="E64" s="1" t="s">
        <v>23</v>
      </c>
      <c r="F64" s="1" t="s">
        <v>432</v>
      </c>
      <c r="G64" s="1" t="s">
        <v>437</v>
      </c>
      <c r="H64" s="10" t="s">
        <v>195</v>
      </c>
      <c r="I64" s="1">
        <v>2</v>
      </c>
      <c r="J64" s="1">
        <v>8</v>
      </c>
      <c r="K64" s="1" t="s">
        <v>302</v>
      </c>
      <c r="L64" s="9" t="s">
        <v>182</v>
      </c>
      <c r="M64" s="9" t="s">
        <v>439</v>
      </c>
      <c r="N64" s="1" t="s">
        <v>440</v>
      </c>
      <c r="O64" s="1" t="str">
        <f>SUBSTITUTE(F64,"hazr-","")&amp;"-osdisk"</f>
        <v>d-dis-clvadmap01-osdisk</v>
      </c>
      <c r="P64" s="1">
        <v>64</v>
      </c>
      <c r="Q64" s="1" t="s">
        <v>290</v>
      </c>
      <c r="R64" s="1"/>
      <c r="S64" s="1"/>
      <c r="T64" s="1"/>
      <c r="U64" s="1" t="str">
        <f>SUBSTITUTE(F64,"hazr-","")&amp;"-nic"</f>
        <v>d-dis-clvadmap01-nic</v>
      </c>
      <c r="V64" s="1" t="b">
        <v>1</v>
      </c>
      <c r="W64" s="1" t="b">
        <v>1</v>
      </c>
      <c r="X64" s="1" t="s">
        <v>49</v>
      </c>
      <c r="Y64" s="1" t="s">
        <v>57</v>
      </c>
      <c r="Z64" s="1" t="s">
        <v>443</v>
      </c>
      <c r="AA64" s="1" t="b">
        <v>1</v>
      </c>
      <c r="AB64" s="1" t="s">
        <v>49</v>
      </c>
      <c r="AC64" s="1" t="s">
        <v>311</v>
      </c>
      <c r="AD64" s="1">
        <v>1</v>
      </c>
      <c r="AE64" s="1"/>
      <c r="AF64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0"/>
  <sheetViews>
    <sheetView topLeftCell="A32" workbookViewId="0">
      <selection activeCell="F56" sqref="F56:F60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372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60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60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21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374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23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392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21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382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23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384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A52" s="21"/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386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A53" s="23"/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387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  <row r="54" spans="1:18" x14ac:dyDescent="0.3">
      <c r="A54" s="37"/>
      <c r="B54" s="16" t="s">
        <v>31</v>
      </c>
      <c r="C54" s="16" t="s">
        <v>298</v>
      </c>
      <c r="D54" s="16" t="s">
        <v>55</v>
      </c>
      <c r="E54" s="16" t="s">
        <v>23</v>
      </c>
      <c r="F54" s="16" t="s">
        <v>412</v>
      </c>
      <c r="G54" s="16" t="str">
        <f t="shared" si="2"/>
        <v>d-if-edmsstr01-disk01</v>
      </c>
      <c r="H54" s="16" t="s">
        <v>290</v>
      </c>
      <c r="I54" s="16">
        <v>64</v>
      </c>
      <c r="J54" s="16" t="str">
        <f t="shared" si="3"/>
        <v>d-if-edmsstr01-disk02</v>
      </c>
      <c r="K54" s="16" t="s">
        <v>290</v>
      </c>
      <c r="L54" s="16">
        <v>64</v>
      </c>
      <c r="M54" s="16">
        <v>1</v>
      </c>
      <c r="N54" s="16" t="s">
        <v>314</v>
      </c>
      <c r="O54" s="16" t="s">
        <v>49</v>
      </c>
      <c r="P54" s="16" t="s">
        <v>311</v>
      </c>
      <c r="Q54" s="16" t="b">
        <v>1</v>
      </c>
      <c r="R54" s="16"/>
    </row>
    <row r="55" spans="1:18" x14ac:dyDescent="0.3">
      <c r="A55" s="37"/>
      <c r="B55" s="17" t="s">
        <v>31</v>
      </c>
      <c r="C55" s="17" t="str" cm="1">
        <f t="array" ref="C55">UPPER(INDEX(_xlfn.TEXTSPLIT($D55, "-"), 3))</f>
        <v>SEC</v>
      </c>
      <c r="D55" s="17" t="s">
        <v>423</v>
      </c>
      <c r="E55" s="17" t="s">
        <v>23</v>
      </c>
      <c r="F55" s="24" t="s">
        <v>424</v>
      </c>
      <c r="G55" s="17" t="str">
        <f t="shared" si="2"/>
        <v>d-sec-mevrsol01-disk01</v>
      </c>
      <c r="H55" s="17" t="s">
        <v>290</v>
      </c>
      <c r="I55" s="17">
        <v>64</v>
      </c>
      <c r="J55" s="17" t="str">
        <f t="shared" si="3"/>
        <v>d-sec-mevrsol01-disk02</v>
      </c>
      <c r="K55" s="17" t="s">
        <v>290</v>
      </c>
      <c r="L55" s="17">
        <v>64</v>
      </c>
      <c r="M55" s="17">
        <v>1</v>
      </c>
      <c r="N55" s="17" t="s">
        <v>314</v>
      </c>
      <c r="O55" s="17" t="s">
        <v>49</v>
      </c>
      <c r="P55" s="17" t="s">
        <v>311</v>
      </c>
      <c r="Q55" s="17" t="b">
        <v>1</v>
      </c>
      <c r="R55" s="17"/>
    </row>
    <row r="56" spans="1:18" x14ac:dyDescent="0.3">
      <c r="B56" s="16" t="s">
        <v>31</v>
      </c>
      <c r="C56" s="16" t="str" cm="1">
        <f t="array" ref="C56">UPPER(INDEX(_xlfn.TEXTSPLIT($D56, "-"), 3))</f>
        <v>DIS</v>
      </c>
      <c r="D56" s="16" t="s">
        <v>52</v>
      </c>
      <c r="E56" s="16" t="s">
        <v>23</v>
      </c>
      <c r="F56" s="16" t="s">
        <v>444</v>
      </c>
      <c r="G56" s="16" t="str">
        <f t="shared" si="2"/>
        <v>d-dis-clvweb01-disk01</v>
      </c>
      <c r="H56" s="16" t="s">
        <v>290</v>
      </c>
      <c r="I56" s="16">
        <v>64</v>
      </c>
      <c r="J56" s="16" t="str">
        <f t="shared" si="3"/>
        <v>d-dis-clvweb01-disk02</v>
      </c>
      <c r="K56" s="16" t="s">
        <v>290</v>
      </c>
      <c r="L56" s="16">
        <v>64</v>
      </c>
      <c r="M56" s="16">
        <v>1</v>
      </c>
      <c r="N56" s="16" t="s">
        <v>314</v>
      </c>
      <c r="O56" s="16" t="s">
        <v>49</v>
      </c>
      <c r="P56" s="16" t="s">
        <v>311</v>
      </c>
      <c r="Q56" s="16" t="b">
        <v>1</v>
      </c>
      <c r="R56" s="16"/>
    </row>
    <row r="57" spans="1:18" x14ac:dyDescent="0.3">
      <c r="B57" s="17" t="s">
        <v>31</v>
      </c>
      <c r="C57" s="17" t="str" cm="1">
        <f t="array" ref="C57">UPPER(INDEX(_xlfn.TEXTSPLIT($D57, "-"), 3))</f>
        <v>DIS</v>
      </c>
      <c r="D57" s="17" t="s">
        <v>52</v>
      </c>
      <c r="E57" s="17" t="s">
        <v>23</v>
      </c>
      <c r="F57" s="24" t="s">
        <v>445</v>
      </c>
      <c r="G57" s="17" t="str">
        <f t="shared" si="2"/>
        <v>d-dis-clvap01-disk01</v>
      </c>
      <c r="H57" s="17" t="s">
        <v>290</v>
      </c>
      <c r="I57" s="17">
        <v>64</v>
      </c>
      <c r="J57" s="17" t="str">
        <f t="shared" si="3"/>
        <v>d-dis-clvap01-disk02</v>
      </c>
      <c r="K57" s="17" t="s">
        <v>290</v>
      </c>
      <c r="L57" s="17">
        <v>64</v>
      </c>
      <c r="M57" s="17">
        <v>1</v>
      </c>
      <c r="N57" s="17" t="s">
        <v>314</v>
      </c>
      <c r="O57" s="17" t="s">
        <v>49</v>
      </c>
      <c r="P57" s="17" t="s">
        <v>311</v>
      </c>
      <c r="Q57" s="17" t="b">
        <v>1</v>
      </c>
      <c r="R57" s="17"/>
    </row>
    <row r="58" spans="1:18" x14ac:dyDescent="0.3">
      <c r="B58" s="16" t="s">
        <v>31</v>
      </c>
      <c r="C58" s="16" t="str" cm="1">
        <f t="array" ref="C58">UPPER(INDEX(_xlfn.TEXTSPLIT($D58, "-"), 3))</f>
        <v>DIS</v>
      </c>
      <c r="D58" s="16" t="s">
        <v>52</v>
      </c>
      <c r="E58" s="16" t="s">
        <v>23</v>
      </c>
      <c r="F58" s="16" t="s">
        <v>446</v>
      </c>
      <c r="G58" s="16" t="str">
        <f t="shared" si="2"/>
        <v>d-dis-clvssrap01-disk01</v>
      </c>
      <c r="H58" s="16" t="s">
        <v>290</v>
      </c>
      <c r="I58" s="16">
        <v>64</v>
      </c>
      <c r="J58" s="16" t="str">
        <f t="shared" si="3"/>
        <v>d-dis-clvssrap01-disk02</v>
      </c>
      <c r="K58" s="16" t="s">
        <v>290</v>
      </c>
      <c r="L58" s="16">
        <v>64</v>
      </c>
      <c r="M58" s="16">
        <v>1</v>
      </c>
      <c r="N58" s="16" t="s">
        <v>314</v>
      </c>
      <c r="O58" s="16" t="s">
        <v>49</v>
      </c>
      <c r="P58" s="16" t="s">
        <v>311</v>
      </c>
      <c r="Q58" s="16" t="b">
        <v>1</v>
      </c>
      <c r="R58" s="16"/>
    </row>
    <row r="59" spans="1:18" x14ac:dyDescent="0.3">
      <c r="B59" s="17" t="s">
        <v>31</v>
      </c>
      <c r="C59" s="17" t="str" cm="1">
        <f t="array" ref="C59">UPPER(INDEX(_xlfn.TEXTSPLIT($D59, "-"), 3))</f>
        <v>DIS</v>
      </c>
      <c r="D59" s="17" t="s">
        <v>52</v>
      </c>
      <c r="E59" s="17" t="s">
        <v>23</v>
      </c>
      <c r="F59" s="24" t="s">
        <v>447</v>
      </c>
      <c r="G59" s="17" t="str">
        <f t="shared" si="2"/>
        <v>d-dis-clvadmweb01-disk01</v>
      </c>
      <c r="H59" s="17" t="s">
        <v>290</v>
      </c>
      <c r="I59" s="17">
        <v>64</v>
      </c>
      <c r="J59" s="17" t="str">
        <f t="shared" si="3"/>
        <v>d-dis-clvadmweb01-disk02</v>
      </c>
      <c r="K59" s="17" t="s">
        <v>290</v>
      </c>
      <c r="L59" s="17">
        <v>64</v>
      </c>
      <c r="M59" s="17">
        <v>1</v>
      </c>
      <c r="N59" s="17" t="s">
        <v>314</v>
      </c>
      <c r="O59" s="17" t="s">
        <v>49</v>
      </c>
      <c r="P59" s="17" t="s">
        <v>311</v>
      </c>
      <c r="Q59" s="17" t="b">
        <v>1</v>
      </c>
      <c r="R59" s="17"/>
    </row>
    <row r="60" spans="1:18" x14ac:dyDescent="0.3">
      <c r="B60" s="16" t="s">
        <v>31</v>
      </c>
      <c r="C60" s="16" t="str" cm="1">
        <f t="array" ref="C60">UPPER(INDEX(_xlfn.TEXTSPLIT($D60, "-"), 3))</f>
        <v>DIS</v>
      </c>
      <c r="D60" s="16" t="s">
        <v>52</v>
      </c>
      <c r="E60" s="16" t="s">
        <v>23</v>
      </c>
      <c r="F60" s="16" t="s">
        <v>448</v>
      </c>
      <c r="G60" s="16" t="str">
        <f t="shared" si="2"/>
        <v>d-dis-clvadmap01-disk01</v>
      </c>
      <c r="H60" s="16" t="s">
        <v>290</v>
      </c>
      <c r="I60" s="16">
        <v>64</v>
      </c>
      <c r="J60" s="16" t="str">
        <f t="shared" si="3"/>
        <v>d-dis-clvadmap01-disk02</v>
      </c>
      <c r="K60" s="16" t="s">
        <v>290</v>
      </c>
      <c r="L60" s="16">
        <v>64</v>
      </c>
      <c r="M60" s="16">
        <v>1</v>
      </c>
      <c r="N60" s="16" t="s">
        <v>314</v>
      </c>
      <c r="O60" s="16" t="s">
        <v>49</v>
      </c>
      <c r="P60" s="16" t="s">
        <v>311</v>
      </c>
      <c r="Q60" s="16" t="b">
        <v>1</v>
      </c>
      <c r="R60" s="1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80"/>
  <sheetViews>
    <sheetView topLeftCell="A58" zoomScaleNormal="100" workbookViewId="0">
      <selection activeCell="I76" sqref="I76:I80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11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16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11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17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11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16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11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17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11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16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11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16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11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17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11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17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11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16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11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17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11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16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11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17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11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16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11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17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11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16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11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17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11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16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11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17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11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16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11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17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11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16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11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17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11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16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11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17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11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16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11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17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11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16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11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17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11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16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11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17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11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16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11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17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11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16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11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17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11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16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11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17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11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16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11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17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11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16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11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17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11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16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11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17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11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16" t="s">
        <v>372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11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16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11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16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11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17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11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16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11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369</v>
      </c>
    </row>
    <row r="50" spans="1:12" x14ac:dyDescent="0.3">
      <c r="A50" s="11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369</v>
      </c>
    </row>
    <row r="51" spans="1:12" x14ac:dyDescent="0.3">
      <c r="A51" s="11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369</v>
      </c>
    </row>
    <row r="52" spans="1:12" x14ac:dyDescent="0.3">
      <c r="A52" s="11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369</v>
      </c>
    </row>
    <row r="53" spans="1:12" x14ac:dyDescent="0.3">
      <c r="A53" s="11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369</v>
      </c>
    </row>
    <row r="54" spans="1:12" x14ac:dyDescent="0.3">
      <c r="A54" s="11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369</v>
      </c>
    </row>
    <row r="55" spans="1:12" x14ac:dyDescent="0.3">
      <c r="A55" s="11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369</v>
      </c>
    </row>
    <row r="56" spans="1:12" x14ac:dyDescent="0.3">
      <c r="A56" s="11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369</v>
      </c>
    </row>
    <row r="57" spans="1:12" x14ac:dyDescent="0.3">
      <c r="A57" s="11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369</v>
      </c>
    </row>
    <row r="58" spans="1:12" x14ac:dyDescent="0.3">
      <c r="A58" s="11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369</v>
      </c>
    </row>
    <row r="59" spans="1:12" x14ac:dyDescent="0.3">
      <c r="A59" s="11"/>
      <c r="B59" s="35" t="s">
        <v>31</v>
      </c>
      <c r="C59" s="35" t="str" cm="1">
        <f t="array" ref="C59">UPPER(INDEX(_xlfn.TEXTSPLIT($E59, "-"), 2))</f>
        <v>DIP</v>
      </c>
      <c r="D59" s="32" t="s">
        <v>49</v>
      </c>
      <c r="E59" s="32" t="str">
        <f t="shared" si="3"/>
        <v>d-dip-db-nsg</v>
      </c>
      <c r="F59" s="32" t="s">
        <v>49</v>
      </c>
      <c r="G59" s="32" t="s">
        <v>187</v>
      </c>
      <c r="H59" s="32" t="s">
        <v>364</v>
      </c>
      <c r="I59" s="32"/>
      <c r="J59" s="32"/>
      <c r="K59" s="32"/>
      <c r="L59" s="32" t="s">
        <v>369</v>
      </c>
    </row>
    <row r="60" spans="1:12" x14ac:dyDescent="0.3">
      <c r="A60" s="11"/>
      <c r="B60" s="34" t="s">
        <v>31</v>
      </c>
      <c r="C60" s="34" t="s">
        <v>370</v>
      </c>
      <c r="D60" s="34" t="s">
        <v>49</v>
      </c>
      <c r="E60" s="34" t="s">
        <v>371</v>
      </c>
      <c r="F60" s="34" t="s">
        <v>49</v>
      </c>
      <c r="G60" s="34" t="s">
        <v>57</v>
      </c>
      <c r="H60" s="34" t="s">
        <v>156</v>
      </c>
      <c r="I60" s="34"/>
      <c r="J60" s="34"/>
      <c r="K60" s="34"/>
      <c r="L60" s="34" t="s">
        <v>369</v>
      </c>
    </row>
    <row r="61" spans="1:12" x14ac:dyDescent="0.3">
      <c r="A61" s="11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365</v>
      </c>
      <c r="I61" s="32"/>
      <c r="J61" s="32"/>
      <c r="K61" s="32"/>
      <c r="L61" s="32" t="s">
        <v>369</v>
      </c>
    </row>
    <row r="62" spans="1:12" x14ac:dyDescent="0.3">
      <c r="A62" s="11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366</v>
      </c>
      <c r="I62" s="34"/>
      <c r="J62" s="34"/>
      <c r="K62" s="34"/>
      <c r="L62" s="34" t="s">
        <v>369</v>
      </c>
    </row>
    <row r="63" spans="1:12" x14ac:dyDescent="0.3">
      <c r="A63" s="11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367</v>
      </c>
      <c r="I63" s="32"/>
      <c r="J63" s="32"/>
      <c r="K63" s="32"/>
      <c r="L63" s="32" t="s">
        <v>369</v>
      </c>
    </row>
    <row r="64" spans="1:12" x14ac:dyDescent="0.3">
      <c r="A64" s="11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368</v>
      </c>
      <c r="I64" s="34"/>
      <c r="J64" s="34"/>
      <c r="K64" s="34"/>
      <c r="L64" s="34" t="s">
        <v>369</v>
      </c>
    </row>
    <row r="65" spans="1:12" x14ac:dyDescent="0.3">
      <c r="A65" s="11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80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374</v>
      </c>
      <c r="J65" s="16" t="s">
        <v>50</v>
      </c>
      <c r="K65" s="32" t="str">
        <f t="shared" ref="K65:K79" si="5">SUBSTITUTE($I65,"hazr-","")&amp;"-nic"</f>
        <v>d-com-esnweb01-nic</v>
      </c>
      <c r="L65" s="33" t="s">
        <v>341</v>
      </c>
    </row>
    <row r="66" spans="1:12" x14ac:dyDescent="0.3">
      <c r="A66" s="11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392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11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382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11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384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A69" s="11"/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56</v>
      </c>
      <c r="H69" s="32" t="s">
        <v>78</v>
      </c>
      <c r="I69" s="16" t="s">
        <v>386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A70" s="11"/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57</v>
      </c>
      <c r="H70" s="34" t="s">
        <v>127</v>
      </c>
      <c r="I70" s="17" t="s">
        <v>387</v>
      </c>
      <c r="J70" s="17" t="s">
        <v>183</v>
      </c>
      <c r="K70" s="34" t="str">
        <f t="shared" si="5"/>
        <v>d-bdp-rlgcap01-nic</v>
      </c>
      <c r="L70" s="36" t="s">
        <v>341</v>
      </c>
    </row>
    <row r="71" spans="1:12" x14ac:dyDescent="0.3">
      <c r="A71" s="11"/>
      <c r="B71" s="35" t="s">
        <v>31</v>
      </c>
      <c r="C71" s="35" t="s">
        <v>394</v>
      </c>
      <c r="D71" s="32" t="s">
        <v>49</v>
      </c>
      <c r="E71" s="32" t="str">
        <f t="shared" si="4"/>
        <v>az-d-int-host1-nsg</v>
      </c>
      <c r="F71" s="32" t="s">
        <v>49</v>
      </c>
      <c r="G71" s="32" t="s">
        <v>57</v>
      </c>
      <c r="H71" s="32" t="s">
        <v>98</v>
      </c>
      <c r="I71" s="16" t="s">
        <v>395</v>
      </c>
      <c r="J71" s="16" t="s">
        <v>301</v>
      </c>
      <c r="K71" s="32" t="str">
        <f t="shared" si="5"/>
        <v>az-d-int-host1-nic</v>
      </c>
      <c r="L71" s="33" t="s">
        <v>341</v>
      </c>
    </row>
    <row r="72" spans="1:12" x14ac:dyDescent="0.3">
      <c r="A72" s="11"/>
      <c r="B72" s="34" t="s">
        <v>31</v>
      </c>
      <c r="C72" s="34" t="s">
        <v>394</v>
      </c>
      <c r="D72" s="34" t="s">
        <v>49</v>
      </c>
      <c r="E72" s="34" t="str">
        <f t="shared" si="4"/>
        <v>az-d-int-host2-nsg</v>
      </c>
      <c r="F72" s="34" t="s">
        <v>49</v>
      </c>
      <c r="G72" s="34" t="s">
        <v>57</v>
      </c>
      <c r="H72" s="34" t="s">
        <v>98</v>
      </c>
      <c r="I72" s="17" t="s">
        <v>396</v>
      </c>
      <c r="J72" s="17" t="s">
        <v>301</v>
      </c>
      <c r="K72" s="34" t="str">
        <f t="shared" si="5"/>
        <v>az-d-int-host2-nic</v>
      </c>
      <c r="L72" s="36" t="s">
        <v>341</v>
      </c>
    </row>
    <row r="73" spans="1:12" x14ac:dyDescent="0.3">
      <c r="A73" s="11"/>
      <c r="B73" s="35" t="s">
        <v>31</v>
      </c>
      <c r="C73" s="35" t="s">
        <v>394</v>
      </c>
      <c r="D73" s="32" t="s">
        <v>49</v>
      </c>
      <c r="E73" s="32" t="str">
        <f t="shared" si="4"/>
        <v>az-d-int-host3-nsg</v>
      </c>
      <c r="F73" s="32" t="s">
        <v>49</v>
      </c>
      <c r="G73" s="32" t="s">
        <v>57</v>
      </c>
      <c r="H73" s="32" t="s">
        <v>98</v>
      </c>
      <c r="I73" s="16" t="s">
        <v>397</v>
      </c>
      <c r="J73" s="16" t="s">
        <v>301</v>
      </c>
      <c r="K73" s="32" t="str">
        <f t="shared" si="5"/>
        <v>az-d-int-host3-nic</v>
      </c>
      <c r="L73" s="33" t="s">
        <v>341</v>
      </c>
    </row>
    <row r="74" spans="1:12" x14ac:dyDescent="0.3">
      <c r="A74" s="11"/>
      <c r="B74" s="34" t="s">
        <v>31</v>
      </c>
      <c r="C74" s="34" t="s">
        <v>394</v>
      </c>
      <c r="D74" s="34" t="s">
        <v>49</v>
      </c>
      <c r="E74" s="34" t="str">
        <f t="shared" si="4"/>
        <v>az-d-int-host4-nsg</v>
      </c>
      <c r="F74" s="34" t="s">
        <v>49</v>
      </c>
      <c r="G74" s="34" t="s">
        <v>57</v>
      </c>
      <c r="H74" s="34" t="s">
        <v>98</v>
      </c>
      <c r="I74" s="17" t="s">
        <v>398</v>
      </c>
      <c r="J74" s="17" t="s">
        <v>301</v>
      </c>
      <c r="K74" s="34" t="str">
        <f t="shared" si="5"/>
        <v>az-d-int-host4-nic</v>
      </c>
      <c r="L74" s="36" t="s">
        <v>341</v>
      </c>
    </row>
    <row r="75" spans="1:12" x14ac:dyDescent="0.3">
      <c r="A75" s="11"/>
      <c r="B75" s="35" t="s">
        <v>405</v>
      </c>
      <c r="C75" s="35" t="s">
        <v>415</v>
      </c>
      <c r="D75" s="32" t="s">
        <v>49</v>
      </c>
      <c r="E75" s="32" t="str">
        <f t="shared" si="4"/>
        <v>d-if-edmsstr01-nsg</v>
      </c>
      <c r="F75" s="32" t="s">
        <v>49</v>
      </c>
      <c r="G75" s="32" t="s">
        <v>57</v>
      </c>
      <c r="H75" s="32" t="s">
        <v>166</v>
      </c>
      <c r="I75" s="16" t="s">
        <v>406</v>
      </c>
      <c r="J75" s="16" t="s">
        <v>414</v>
      </c>
      <c r="K75" s="32" t="str">
        <f t="shared" si="5"/>
        <v>d-if-edmsstr01-nic</v>
      </c>
      <c r="L75" s="33" t="s">
        <v>413</v>
      </c>
    </row>
    <row r="76" spans="1:12" x14ac:dyDescent="0.3">
      <c r="A76" s="6"/>
      <c r="B76" s="34" t="s">
        <v>31</v>
      </c>
      <c r="C76" s="36" t="str" cm="1">
        <f t="array" ref="C76">UPPER(INDEX(_xlfn.TEXTSPLIT($E76, "-"), 2))</f>
        <v>DIS</v>
      </c>
      <c r="D76" s="34" t="s">
        <v>49</v>
      </c>
      <c r="E76" s="36" t="str">
        <f t="shared" si="4"/>
        <v>d-dis-clvweb01-nsg</v>
      </c>
      <c r="F76" s="34" t="s">
        <v>49</v>
      </c>
      <c r="G76" s="36" t="s">
        <v>56</v>
      </c>
      <c r="H76" s="34" t="s">
        <v>59</v>
      </c>
      <c r="I76" s="36" t="s">
        <v>444</v>
      </c>
      <c r="J76" s="34" t="s">
        <v>52</v>
      </c>
      <c r="K76" s="36" t="s">
        <v>425</v>
      </c>
      <c r="L76" s="36" t="s">
        <v>341</v>
      </c>
    </row>
    <row r="77" spans="1:12" x14ac:dyDescent="0.3">
      <c r="B77" s="16" t="s">
        <v>31</v>
      </c>
      <c r="C77" s="32" t="str" cm="1">
        <f t="array" ref="C77">UPPER(INDEX(_xlfn.TEXTSPLIT($E77, "-"), 2))</f>
        <v>DIS</v>
      </c>
      <c r="D77" s="16" t="s">
        <v>49</v>
      </c>
      <c r="E77" s="32" t="str">
        <f t="shared" si="4"/>
        <v>d-dis-clvap01-nsg</v>
      </c>
      <c r="F77" s="16" t="s">
        <v>49</v>
      </c>
      <c r="G77" s="32" t="s">
        <v>57</v>
      </c>
      <c r="H77" s="16" t="s">
        <v>91</v>
      </c>
      <c r="I77" s="32" t="s">
        <v>429</v>
      </c>
      <c r="J77" s="16" t="s">
        <v>52</v>
      </c>
      <c r="K77" s="32" t="str">
        <f t="shared" si="5"/>
        <v>d-dis-clvap01-nic</v>
      </c>
      <c r="L77" s="33" t="s">
        <v>341</v>
      </c>
    </row>
    <row r="78" spans="1:12" x14ac:dyDescent="0.3">
      <c r="B78" s="34" t="s">
        <v>31</v>
      </c>
      <c r="C78" s="36" t="str" cm="1">
        <f t="array" ref="C78">UPPER(INDEX(_xlfn.TEXTSPLIT($E78, "-"), 2))</f>
        <v>DIS</v>
      </c>
      <c r="D78" s="34" t="s">
        <v>49</v>
      </c>
      <c r="E78" s="36" t="str">
        <f t="shared" si="4"/>
        <v>d-dis-clvssrap01-nsg</v>
      </c>
      <c r="F78" s="34" t="s">
        <v>49</v>
      </c>
      <c r="G78" s="36" t="s">
        <v>57</v>
      </c>
      <c r="H78" s="34" t="s">
        <v>91</v>
      </c>
      <c r="I78" s="36" t="s">
        <v>430</v>
      </c>
      <c r="J78" s="34" t="s">
        <v>52</v>
      </c>
      <c r="K78" s="36" t="s">
        <v>449</v>
      </c>
      <c r="L78" s="36" t="s">
        <v>341</v>
      </c>
    </row>
    <row r="79" spans="1:12" x14ac:dyDescent="0.3">
      <c r="B79" s="16" t="s">
        <v>31</v>
      </c>
      <c r="C79" s="32" t="str" cm="1">
        <f t="array" ref="C79">UPPER(INDEX(_xlfn.TEXTSPLIT($E79, "-"), 2))</f>
        <v>DIS</v>
      </c>
      <c r="D79" s="16" t="s">
        <v>49</v>
      </c>
      <c r="E79" s="32" t="str">
        <f t="shared" si="4"/>
        <v>d-dis-clvadmweb01-nsg</v>
      </c>
      <c r="F79" s="16" t="s">
        <v>49</v>
      </c>
      <c r="G79" s="32" t="s">
        <v>57</v>
      </c>
      <c r="H79" s="16" t="s">
        <v>91</v>
      </c>
      <c r="I79" s="32" t="s">
        <v>431</v>
      </c>
      <c r="J79" s="16" t="s">
        <v>52</v>
      </c>
      <c r="K79" s="32" t="str">
        <f t="shared" si="5"/>
        <v>d-dis-clvadmweb01-nic</v>
      </c>
      <c r="L79" s="33" t="s">
        <v>341</v>
      </c>
    </row>
    <row r="80" spans="1:12" x14ac:dyDescent="0.3">
      <c r="B80" s="34" t="s">
        <v>31</v>
      </c>
      <c r="C80" s="36" t="str" cm="1">
        <f t="array" ref="C80">UPPER(INDEX(_xlfn.TEXTSPLIT($E80, "-"), 2))</f>
        <v>DIS</v>
      </c>
      <c r="D80" s="34" t="s">
        <v>49</v>
      </c>
      <c r="E80" s="36" t="str">
        <f t="shared" si="4"/>
        <v>d-dis-clvadmap01-nsg</v>
      </c>
      <c r="F80" s="34" t="s">
        <v>49</v>
      </c>
      <c r="G80" s="36" t="s">
        <v>57</v>
      </c>
      <c r="H80" s="34" t="s">
        <v>91</v>
      </c>
      <c r="I80" s="36" t="s">
        <v>432</v>
      </c>
      <c r="J80" s="34" t="s">
        <v>52</v>
      </c>
      <c r="K80" s="36" t="s">
        <v>450</v>
      </c>
      <c r="L80" s="36" t="s">
        <v>341</v>
      </c>
    </row>
  </sheetData>
  <phoneticPr fontId="1" type="noConversion"/>
  <conditionalFormatting sqref="E2:E75">
    <cfRule type="duplicateValues" dxfId="0" priority="9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2026-09-11T08:15:20Z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