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VM 배포\서버정보\"/>
    </mc:Choice>
  </mc:AlternateContent>
  <xr:revisionPtr revIDLastSave="0" documentId="13_ncr:1_{175BE2FD-3069-44B4-9BFE-36E7FBF72F9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V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" l="1"/>
  <c r="AE4" i="1"/>
  <c r="AE5" i="1"/>
  <c r="AE2" i="1"/>
  <c r="S2" i="1"/>
  <c r="S3" i="1"/>
  <c r="S4" i="1"/>
  <c r="S5" i="1"/>
</calcChain>
</file>

<file path=xl/sharedStrings.xml><?xml version="1.0" encoding="utf-8"?>
<sst xmlns="http://schemas.openxmlformats.org/spreadsheetml/2006/main" count="106" uniqueCount="74">
  <si>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</si>
  <si>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</si>
  <si>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</si>
  <si>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</si>
  <si>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OsDiskCopyFrom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</si>
  <si>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</si>
  <si>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</si>
  <si>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</si>
  <si>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</si>
  <si>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</si>
  <si>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</si>
  <si>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</si>
  <si>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OsType</t>
  </si>
  <si>
    <t>Publisher</t>
    <phoneticPr fontId="1" type="noConversion"/>
  </si>
  <si>
    <t>Offer</t>
    <phoneticPr fontId="1" type="noConversion"/>
  </si>
  <si>
    <t>Sku</t>
    <phoneticPr fontId="1" type="noConversion"/>
  </si>
  <si>
    <t>Version</t>
    <phoneticPr fontId="1" type="noConversion"/>
  </si>
  <si>
    <t>DBVersion</t>
    <phoneticPr fontId="1" type="noConversion"/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</si>
  <si>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</si>
  <si>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</si>
  <si>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</si>
  <si>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</si>
  <si>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</si>
  <si>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DataDiskName2</t>
  </si>
  <si>
    <t>DataDiskSize2</t>
  </si>
  <si>
    <t>DataDiskStorageType2</t>
    <phoneticPr fontId="1" type="noConversion"/>
  </si>
  <si>
    <t>DataDiskName3</t>
    <phoneticPr fontId="1" type="noConversion"/>
  </si>
  <si>
    <t>DataDiskSize3</t>
    <phoneticPr fontId="1" type="noConversion"/>
  </si>
  <si>
    <t>DataDiskStorageType3</t>
    <phoneticPr fontId="1" type="noConversion"/>
  </si>
  <si>
    <t>NicName</t>
  </si>
  <si>
    <t>IsStatic</t>
  </si>
  <si>
    <t>VnetName</t>
  </si>
  <si>
    <t>SubnetName</t>
  </si>
  <si>
    <t>LB</t>
    <phoneticPr fontId="1" type="noConversion"/>
  </si>
  <si>
    <t>SubscriptionName</t>
  </si>
  <si>
    <t>Description</t>
    <phoneticPr fontId="1" type="noConversion"/>
  </si>
  <si>
    <t>PRD</t>
    <phoneticPr fontId="1" type="noConversion"/>
  </si>
  <si>
    <t>koreacentral</t>
    <phoneticPr fontId="1" type="noConversion"/>
  </si>
  <si>
    <t>D2ds_v5</t>
    <phoneticPr fontId="1" type="noConversion"/>
  </si>
  <si>
    <t>Linux</t>
    <phoneticPr fontId="1" type="noConversion"/>
  </si>
  <si>
    <t>Canonical</t>
    <phoneticPr fontId="1" type="noConversion"/>
  </si>
  <si>
    <t>UbuntuServer</t>
    <phoneticPr fontId="1" type="noConversion"/>
  </si>
  <si>
    <t>18.04-LTS</t>
    <phoneticPr fontId="1" type="noConversion"/>
  </si>
  <si>
    <t>latest</t>
    <phoneticPr fontId="1" type="noConversion"/>
  </si>
  <si>
    <t>PremiumSSD</t>
    <phoneticPr fontId="1" type="noConversion"/>
  </si>
  <si>
    <t>Canonical</t>
  </si>
  <si>
    <t>UbuntuServer</t>
  </si>
  <si>
    <t>E2ds_v5</t>
    <phoneticPr fontId="1" type="noConversion"/>
  </si>
  <si>
    <t>Windows</t>
    <phoneticPr fontId="1" type="noConversion"/>
  </si>
  <si>
    <t>MicrosoftWindowsServer</t>
  </si>
  <si>
    <t>WindowsServer</t>
  </si>
  <si>
    <t>2019-Datacenter</t>
  </si>
  <si>
    <t>StandardSSD</t>
    <phoneticPr fontId="1" type="noConversion"/>
  </si>
  <si>
    <t>DEV</t>
    <phoneticPr fontId="1" type="noConversion"/>
  </si>
  <si>
    <t>TEST-Linux-RG</t>
    <phoneticPr fontId="1" type="noConversion"/>
  </si>
  <si>
    <t>TEST-WINDOW-RG</t>
    <phoneticPr fontId="1" type="noConversion"/>
  </si>
  <si>
    <t>Linux-01</t>
    <phoneticPr fontId="1" type="noConversion"/>
  </si>
  <si>
    <t>Linux-02</t>
    <phoneticPr fontId="1" type="noConversion"/>
  </si>
  <si>
    <t>Window-01</t>
    <phoneticPr fontId="1" type="noConversion"/>
  </si>
  <si>
    <t>Window-02</t>
    <phoneticPr fontId="1" type="noConversion"/>
  </si>
  <si>
    <t>azureadmin</t>
    <phoneticPr fontId="1" type="noConversion"/>
  </si>
  <si>
    <t>rkskkfk1234!@</t>
    <phoneticPr fontId="1" type="noConversion"/>
  </si>
  <si>
    <t>Zones</t>
    <phoneticPr fontId="1" type="noConversion"/>
  </si>
  <si>
    <t>260303TEST-vNET</t>
    <phoneticPr fontId="1" type="noConversion"/>
  </si>
  <si>
    <t>WEB2-Subnet</t>
    <phoneticPr fontId="1" type="noConversion"/>
  </si>
  <si>
    <t>WEB1-Subnet</t>
    <phoneticPr fontId="1" type="noConversion"/>
  </si>
  <si>
    <t>10.10.10.82</t>
    <phoneticPr fontId="1" type="noConversion"/>
  </si>
  <si>
    <t>10.10.10.83</t>
    <phoneticPr fontId="1" type="noConversion"/>
  </si>
  <si>
    <t>10.10.10.84</t>
    <phoneticPr fontId="1" type="noConversion"/>
  </si>
  <si>
    <t>WIN</t>
    <phoneticPr fontId="1" type="noConversion"/>
  </si>
  <si>
    <t>LIN</t>
    <phoneticPr fontId="1" type="noConversion"/>
  </si>
  <si>
    <t>web</t>
    <phoneticPr fontId="1" type="noConversion"/>
  </si>
  <si>
    <t>OsDiskName</t>
    <phoneticPr fontId="1" type="noConversion"/>
  </si>
  <si>
    <t>10.10.70.81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</si>
</sst>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3" fillId="0" borderId="0" xfId="1" applyNumberFormat="1" applyFont="1" applyFill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49" fontId="5" fillId="0" borderId="0" xfId="0" applyNumberFormat="1" applyFont="1">
      <alignment vertical="center"/>
    </xf>
  </cellXfs>
  <cellStyles count="2">
    <cellStyle name="표준" xfId="0" builtinId="0"/>
    <cellStyle name="하이퍼링크" xfId="1" builtinId="8"/>
  </cellStyles>
  <dxfs count="40"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A1:AL7" totalsRowShown="0" headerRowDxfId="39" dataDxfId="38">
  <autoFilter ref="A1:AL7" xr:uid="{00000000-0009-0000-0100-000001000000}"/>
  <tableColumns count="38">
    <tableColumn id="1" xr3:uid="{00000000-0010-0000-0000-000001000000}" name="Stage" dataDxfId="37"/>
    <tableColumn id="2" xr3:uid="{00000000-0010-0000-0000-000002000000}" name="Role" dataDxfId="36"/>
    <tableColumn id="3" xr3:uid="{00000000-0010-0000-0000-000003000000}" name="RGname" dataDxfId="35">
      <calculatedColumnFormula>표1[[#This Row],[SubnetName]]</calculatedColumnFormula>
    </tableColumn>
    <tableColumn id="4" xr3:uid="{00000000-0010-0000-0000-000004000000}" name="Location" dataDxfId="34"/>
    <tableColumn id="28" xr3:uid="{00000000-0010-0000-0000-00001C000000}" name="OsDiskCopyFrom" dataDxfId="33"/>
    <tableColumn id="5" xr3:uid="{00000000-0010-0000-0000-000005000000}" name="Name" dataDxfId="32"/>
    <tableColumn id="6" xr3:uid="{00000000-0010-0000-0000-000006000000}" name="PrivateIP" dataDxfId="31"/>
    <tableColumn id="22" xr3:uid="{00000000-0010-0000-0000-000016000000}" name="VmSize" dataDxfId="30"/>
    <tableColumn id="23" xr3:uid="{00000000-0010-0000-0000-000017000000}" name="CPU" dataDxfId="29"/>
    <tableColumn id="34" xr3:uid="{00000000-0010-0000-0000-000022000000}" name="RAM" dataDxfId="28"/>
    <tableColumn id="7" xr3:uid="{00000000-0010-0000-0000-000007000000}" name="AdminUsername" dataDxfId="27"/>
    <tableColumn id="8" xr3:uid="{00000000-0010-0000-0000-000008000000}" name="AdminPassword" dataDxfId="26"/>
    <tableColumn id="9" xr3:uid="{00000000-0010-0000-0000-000009000000}" name="OsType" dataDxfId="25"/>
    <tableColumn id="10" xr3:uid="{00000000-0010-0000-0000-00000A000000}" name="Publisher" dataDxfId="24"/>
    <tableColumn id="32" xr3:uid="{00000000-0010-0000-0000-000020000000}" name="Offer" dataDxfId="23"/>
    <tableColumn id="33" xr3:uid="{00000000-0010-0000-0000-000021000000}" name="Sku" dataDxfId="22"/>
    <tableColumn id="11" xr3:uid="{00000000-0010-0000-0000-00000B000000}" name="Version" dataDxfId="21"/>
    <tableColumn id="27" xr3:uid="{00000000-0010-0000-0000-00001B000000}" name="DBVersion" dataDxfId="20"/>
    <tableColumn id="12" xr3:uid="{00000000-0010-0000-0000-00000C000000}" name="OsDiskName" dataDxfId="19">
      <calculatedColumnFormula>표1[[#This Row],[Name]]&amp;"-OSDisk"</calculatedColumnFormula>
    </tableColumn>
    <tableColumn id="13" xr3:uid="{00000000-0010-0000-0000-00000D000000}" name="OsDiskSize" dataDxfId="18"/>
    <tableColumn id="14" xr3:uid="{00000000-0010-0000-0000-00000E000000}" name="OsDiskStorageType" dataDxfId="17"/>
    <tableColumn id="24" xr3:uid="{00000000-0010-0000-0000-000018000000}" name="DataDiskName" dataDxfId="16"/>
    <tableColumn id="25" xr3:uid="{00000000-0010-0000-0000-000019000000}" name="DataDiskSize" dataDxfId="15"/>
    <tableColumn id="26" xr3:uid="{00000000-0010-0000-0000-00001A000000}" name="DataDiskStorageType" dataDxfId="14"/>
    <tableColumn id="37" xr3:uid="{8656DC8B-F0DA-4B7E-B69C-D41655D15401}" name="DataDiskName2" dataDxfId="13"/>
    <tableColumn id="38" xr3:uid="{DDAB2376-514B-4B24-8118-2C4DD8A91C6A}" name="DataDiskSize2" dataDxfId="12"/>
    <tableColumn id="39" xr3:uid="{78FEDF19-D06C-4B36-B292-2496EB533924}" name="DataDiskStorageType2" dataDxfId="11"/>
    <tableColumn id="29" xr3:uid="{00000000-0010-0000-0000-00001D000000}" name="DataDiskName3" dataDxfId="10"/>
    <tableColumn id="30" xr3:uid="{00000000-0010-0000-0000-00001E000000}" name="DataDiskSize3" dataDxfId="9"/>
    <tableColumn id="31" xr3:uid="{00000000-0010-0000-0000-00001F000000}" name="DataDiskStorageType3" dataDxfId="8"/>
    <tableColumn id="15" xr3:uid="{00000000-0010-0000-0000-00000F000000}" name="NicName" dataDxfId="7">
      <calculatedColumnFormula>표1[[#This Row],[Name]]&amp;"-Nic"</calculatedColumnFormula>
    </tableColumn>
    <tableColumn id="17" xr3:uid="{00000000-0010-0000-0000-000011000000}" name="IsStatic" dataDxfId="6"/>
    <tableColumn id="18" xr3:uid="{00000000-0010-0000-0000-000012000000}" name="VnetName" dataDxfId="5"/>
    <tableColumn id="19" xr3:uid="{00000000-0010-0000-0000-000013000000}" name="SubnetName" dataDxfId="4"/>
    <tableColumn id="21" xr3:uid="{00000000-0010-0000-0000-000015000000}" name="LB" dataDxfId="3"/>
    <tableColumn id="36" xr3:uid="{9EB3DACA-84E4-4D05-8E76-433A4A9E33E7}" name="Zones" dataDxfId="2"/>
    <tableColumn id="20" xr3:uid="{00000000-0010-0000-0000-000014000000}" name="SubscriptionName" dataDxfId="1"/>
    <tableColumn id="35" xr3:uid="{A2E4758D-942B-4C99-96CE-9F1494B6961B}" name="Descrip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"/>
  <sheetViews>
    <sheetView tabSelected="1" zoomScaleNormal="100" zoomScaleSheetLayoutView="100" workbookViewId="0"/>
  </sheetViews>
  <sheetFormatPr defaultRowHeight="16.5" x14ac:dyDescent="0.3"/>
  <cols>
    <col min="1" max="1" width="7.75" bestFit="1" customWidth="1"/>
    <col min="2" max="2" width="6.875" bestFit="1" customWidth="1"/>
    <col min="3" max="3" width="16.125" bestFit="1" customWidth="1"/>
    <col min="4" max="4" width="12.25" bestFit="1" customWidth="1"/>
    <col min="5" max="5" width="17.25" bestFit="1" customWidth="1"/>
    <col min="6" max="6" width="10" bestFit="1" customWidth="1"/>
    <col min="7" max="7" width="11.75" bestFit="1" customWidth="1"/>
    <col min="8" max="8" width="9.125" bestFit="1" customWidth="1"/>
    <col min="9" max="9" width="6.75" bestFit="1" customWidth="1"/>
    <col min="10" max="10" width="7.25" bestFit="1" customWidth="1"/>
    <col min="11" max="11" width="15.875" customWidth="1"/>
    <col min="12" max="12" width="16.25" style="4" bestFit="1" customWidth="1"/>
    <col min="13" max="13" width="9" customWidth="1"/>
    <col min="14" max="14" width="21.125" customWidth="1"/>
    <col min="15" max="15" width="11.5" customWidth="1"/>
    <col min="16" max="16" width="12.625" customWidth="1"/>
    <col min="17" max="17" width="14.25" customWidth="1"/>
    <col min="18" max="18" width="11.625" bestFit="1" customWidth="1"/>
    <col min="19" max="19" width="21.75" bestFit="1" customWidth="1"/>
    <col min="20" max="20" width="11.125" customWidth="1"/>
    <col min="21" max="21" width="19.25" bestFit="1" customWidth="1"/>
    <col min="22" max="22" width="15.375" bestFit="1" customWidth="1"/>
    <col min="23" max="23" width="17.375" customWidth="1"/>
    <col min="24" max="24" width="21" bestFit="1" customWidth="1"/>
    <col min="25" max="25" width="16.375" bestFit="1" customWidth="1"/>
    <col min="26" max="26" width="14.75" bestFit="1" customWidth="1"/>
    <col min="27" max="27" width="21" customWidth="1"/>
    <col min="28" max="28" width="16.375" bestFit="1" customWidth="1"/>
    <col min="29" max="30" width="21" customWidth="1"/>
    <col min="31" max="31" width="18" customWidth="1"/>
    <col min="33" max="33" width="15.125" customWidth="1"/>
    <col min="34" max="34" width="18.5" customWidth="1"/>
    <col min="35" max="35" width="18.125" bestFit="1" customWidth="1"/>
    <col min="36" max="36" width="18.125" customWidth="1"/>
    <col min="37" max="37" width="17" customWidth="1"/>
    <col min="38" max="38" width="58.5" bestFit="1" customWidth="1"/>
  </cols>
  <sheetData>
    <row r="1" spans="1:38" x14ac:dyDescent="0.3">
      <c r="A1" s="1" t="s">
        <v>0</v>
      </c>
      <c r="B1" s="6" t="s">
        <v>1</v>
      </c>
      <c r="C1" s="6" t="s">
        <v>2</v>
      </c>
      <c r="D1" s="7" t="s">
        <v>3</v>
      </c>
      <c r="E1" s="1" t="s">
        <v>4</v>
      </c>
      <c r="F1" s="6" t="s">
        <v>5</v>
      </c>
      <c r="G1" s="6" t="s">
        <v>6</v>
      </c>
      <c r="H1" s="6" t="s">
        <v>7</v>
      </c>
      <c r="I1" s="1" t="s">
        <v>8</v>
      </c>
      <c r="J1" s="1" t="s">
        <v>9</v>
      </c>
      <c r="K1" s="6" t="s">
        <v>10</v>
      </c>
      <c r="L1" s="8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" t="s">
        <v>17</v>
      </c>
      <c r="S1" s="6" t="s">
        <v>72</v>
      </c>
      <c r="T1" s="6" t="s">
        <v>18</v>
      </c>
      <c r="U1" s="6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6" t="s">
        <v>62</v>
      </c>
      <c r="AK1" s="1" t="s">
        <v>34</v>
      </c>
      <c r="AL1" s="2" t="s">
        <v>35</v>
      </c>
    </row>
    <row r="2" spans="1:38" x14ac:dyDescent="0.3">
      <c r="A2" s="1" t="s">
        <v>36</v>
      </c>
      <c r="B2" s="1" t="s">
        <v>71</v>
      </c>
      <c r="C2" s="1" t="s">
        <v>54</v>
      </c>
      <c r="D2" s="1" t="s">
        <v>37</v>
      </c>
      <c r="E2" s="1"/>
      <c r="F2" s="1" t="s">
        <v>56</v>
      </c>
      <c r="G2" s="1" t="s">
        <v>73</v>
      </c>
      <c r="H2" s="1" t="s">
        <v>38</v>
      </c>
      <c r="I2" s="1">
        <v>2</v>
      </c>
      <c r="J2" s="1">
        <v>8</v>
      </c>
      <c r="K2" s="1" t="s">
        <v>60</v>
      </c>
      <c r="L2" s="3" t="s">
        <v>61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/>
      <c r="S2" s="1" t="str">
        <f>표1[[#This Row],[Name]]&amp;"-OSDisk"</f>
        <v>Linux-01-OSDisk</v>
      </c>
      <c r="T2" s="1">
        <v>200</v>
      </c>
      <c r="U2" s="1" t="s">
        <v>44</v>
      </c>
      <c r="V2" s="1"/>
      <c r="W2" s="1"/>
      <c r="X2" s="1"/>
      <c r="Y2" s="1"/>
      <c r="Z2" s="1"/>
      <c r="AA2" s="1"/>
      <c r="AB2" s="1"/>
      <c r="AC2" s="1"/>
      <c r="AD2" s="1"/>
      <c r="AE2" s="1" t="str">
        <f>표1[[#This Row],[Name]]&amp;"-Nic"</f>
        <v>Linux-01-Nic</v>
      </c>
      <c r="AF2" s="1" t="b">
        <v>1</v>
      </c>
      <c r="AG2" s="1" t="s">
        <v>63</v>
      </c>
      <c r="AH2" s="1" t="s">
        <v>65</v>
      </c>
      <c r="AI2" s="1"/>
      <c r="AJ2" s="1">
        <v>1</v>
      </c>
      <c r="AK2" s="1"/>
      <c r="AL2" s="2"/>
    </row>
    <row r="3" spans="1:38" x14ac:dyDescent="0.3">
      <c r="A3" s="1" t="s">
        <v>36</v>
      </c>
      <c r="B3" s="1" t="s">
        <v>70</v>
      </c>
      <c r="C3" s="1" t="s">
        <v>54</v>
      </c>
      <c r="D3" s="1" t="s">
        <v>37</v>
      </c>
      <c r="E3" s="1"/>
      <c r="F3" s="1" t="s">
        <v>57</v>
      </c>
      <c r="G3" s="1" t="s">
        <v>66</v>
      </c>
      <c r="H3" s="1" t="s">
        <v>38</v>
      </c>
      <c r="I3" s="1">
        <v>2</v>
      </c>
      <c r="J3" s="1">
        <v>8</v>
      </c>
      <c r="K3" s="1" t="s">
        <v>60</v>
      </c>
      <c r="L3" s="3" t="s">
        <v>61</v>
      </c>
      <c r="M3" s="1" t="s">
        <v>39</v>
      </c>
      <c r="N3" s="1" t="s">
        <v>45</v>
      </c>
      <c r="O3" s="1" t="s">
        <v>46</v>
      </c>
      <c r="P3" s="1" t="s">
        <v>42</v>
      </c>
      <c r="Q3" s="1" t="s">
        <v>43</v>
      </c>
      <c r="R3" s="1"/>
      <c r="S3" s="1" t="str">
        <f>표1[[#This Row],[Name]]&amp;"-OSDisk"</f>
        <v>Linux-02-OSDisk</v>
      </c>
      <c r="T3" s="1">
        <v>200</v>
      </c>
      <c r="U3" s="1" t="s">
        <v>44</v>
      </c>
      <c r="V3" s="1"/>
      <c r="W3" s="1"/>
      <c r="X3" s="1"/>
      <c r="Y3" s="1"/>
      <c r="Z3" s="1"/>
      <c r="AA3" s="1"/>
      <c r="AB3" s="1"/>
      <c r="AC3" s="1"/>
      <c r="AD3" s="1"/>
      <c r="AE3" s="1" t="str">
        <f>표1[[#This Row],[Name]]&amp;"-Nic"</f>
        <v>Linux-02-Nic</v>
      </c>
      <c r="AF3" s="1" t="b">
        <v>1</v>
      </c>
      <c r="AG3" s="1" t="s">
        <v>63</v>
      </c>
      <c r="AH3" s="1" t="s">
        <v>65</v>
      </c>
      <c r="AI3" s="1"/>
      <c r="AJ3" s="1">
        <v>2</v>
      </c>
      <c r="AK3" s="1"/>
      <c r="AL3" s="2"/>
    </row>
    <row r="4" spans="1:38" x14ac:dyDescent="0.3">
      <c r="A4" s="1" t="s">
        <v>53</v>
      </c>
      <c r="B4" s="1" t="s">
        <v>71</v>
      </c>
      <c r="C4" s="1" t="s">
        <v>55</v>
      </c>
      <c r="D4" s="1" t="s">
        <v>37</v>
      </c>
      <c r="E4" s="1"/>
      <c r="F4" s="1" t="s">
        <v>58</v>
      </c>
      <c r="G4" s="1" t="s">
        <v>67</v>
      </c>
      <c r="H4" s="1" t="s">
        <v>47</v>
      </c>
      <c r="I4" s="1">
        <v>2</v>
      </c>
      <c r="J4" s="1">
        <v>16</v>
      </c>
      <c r="K4" s="1" t="s">
        <v>60</v>
      </c>
      <c r="L4" s="3" t="s">
        <v>61</v>
      </c>
      <c r="M4" s="1" t="s">
        <v>48</v>
      </c>
      <c r="N4" s="1" t="s">
        <v>49</v>
      </c>
      <c r="O4" s="1" t="s">
        <v>50</v>
      </c>
      <c r="P4" s="1" t="s">
        <v>51</v>
      </c>
      <c r="Q4" s="1" t="s">
        <v>43</v>
      </c>
      <c r="R4" s="1"/>
      <c r="S4" s="1" t="str">
        <f>표1[[#This Row],[Name]]&amp;"-OSDisk"</f>
        <v>Window-01-OSDisk</v>
      </c>
      <c r="T4" s="1">
        <v>127</v>
      </c>
      <c r="U4" s="1" t="s">
        <v>52</v>
      </c>
      <c r="V4" s="1"/>
      <c r="W4" s="1"/>
      <c r="X4" s="1"/>
      <c r="Y4" s="1"/>
      <c r="Z4" s="1"/>
      <c r="AA4" s="1"/>
      <c r="AB4" s="1"/>
      <c r="AC4" s="1"/>
      <c r="AD4" s="1"/>
      <c r="AE4" s="1" t="str">
        <f>표1[[#This Row],[Name]]&amp;"-Nic"</f>
        <v>Window-01-Nic</v>
      </c>
      <c r="AF4" s="1" t="b">
        <v>1</v>
      </c>
      <c r="AG4" s="1" t="s">
        <v>63</v>
      </c>
      <c r="AH4" s="1" t="s">
        <v>64</v>
      </c>
      <c r="AI4" s="2"/>
      <c r="AJ4" s="2">
        <v>1</v>
      </c>
      <c r="AK4" s="1"/>
      <c r="AL4" s="2"/>
    </row>
    <row r="5" spans="1:38" ht="17.25" customHeight="1" x14ac:dyDescent="0.3">
      <c r="A5" s="1" t="s">
        <v>53</v>
      </c>
      <c r="B5" s="1" t="s">
        <v>69</v>
      </c>
      <c r="C5" s="1" t="s">
        <v>55</v>
      </c>
      <c r="D5" s="1" t="s">
        <v>37</v>
      </c>
      <c r="E5" s="1"/>
      <c r="F5" s="1" t="s">
        <v>59</v>
      </c>
      <c r="G5" s="1" t="s">
        <v>68</v>
      </c>
      <c r="H5" s="1" t="s">
        <v>47</v>
      </c>
      <c r="I5" s="1">
        <v>2</v>
      </c>
      <c r="J5" s="1">
        <v>16</v>
      </c>
      <c r="K5" s="1" t="s">
        <v>60</v>
      </c>
      <c r="L5" s="3" t="s">
        <v>61</v>
      </c>
      <c r="M5" s="1" t="s">
        <v>48</v>
      </c>
      <c r="N5" s="1" t="s">
        <v>49</v>
      </c>
      <c r="O5" s="1" t="s">
        <v>50</v>
      </c>
      <c r="P5" s="1" t="s">
        <v>51</v>
      </c>
      <c r="Q5" s="1" t="s">
        <v>43</v>
      </c>
      <c r="R5" s="1"/>
      <c r="S5" s="1" t="str">
        <f>표1[[#This Row],[Name]]&amp;"-OSDisk"</f>
        <v>Window-02-OSDisk</v>
      </c>
      <c r="T5" s="1">
        <v>127</v>
      </c>
      <c r="U5" s="1" t="s">
        <v>52</v>
      </c>
      <c r="V5" s="1"/>
      <c r="W5" s="1"/>
      <c r="X5" s="1"/>
      <c r="Y5" s="1"/>
      <c r="Z5" s="1"/>
      <c r="AA5" s="1"/>
      <c r="AB5" s="1"/>
      <c r="AC5" s="1"/>
      <c r="AD5" s="1"/>
      <c r="AE5" s="1" t="str">
        <f>표1[[#This Row],[Name]]&amp;"-Nic"</f>
        <v>Window-02-Nic</v>
      </c>
      <c r="AF5" s="1" t="b">
        <v>1</v>
      </c>
      <c r="AG5" s="1" t="s">
        <v>63</v>
      </c>
      <c r="AH5" s="1" t="s">
        <v>64</v>
      </c>
      <c r="AI5" s="2"/>
      <c r="AJ5" s="2">
        <v>2</v>
      </c>
      <c r="AK5" s="1"/>
      <c r="AL5" s="2"/>
    </row>
    <row r="6" spans="1:38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5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</sheetData>
  <phoneticPr fontId="1" type="noConversion"/>
  <pageMargins left="0.7" right="0.7" top="0.75" bottom="0.75" header="0.3" footer="0.3"/>
  <pageSetup paperSize="9" scale="63" orientation="landscape" r:id="rId1"/>
  <colBreaks count="1" manualBreakCount="1">
    <brk id="17" max="1048575" man="1"/>
  </colBreak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093BAC-4385-48E8-8492-BA8C8E7EF612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89f0f392-688b-4454-b192-0691f37dc811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임승현</dc:creator>
  <cp:keywords/>
  <dc:description/>
  <cp:lastModifiedBy>백승규</cp:lastModifiedBy>
  <cp:revision/>
  <dcterms:created xsi:type="dcterms:W3CDTF">2021-03-26T06:15:24Z</dcterms:created>
  <dcterms:modified xsi:type="dcterms:W3CDTF">2026-03-16T06:45:18Z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