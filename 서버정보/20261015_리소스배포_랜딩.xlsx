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25163CC6-61A2-4238-A56D-EFE954796CA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M" sheetId="1" r:id="rId1"/>
    <sheet name="VM_Datadisk" sheetId="14" r:id="rId2"/>
    <sheet name="NSG_Rule" sheetId="3" state="hidden" r:id="rId3"/>
    <sheet name="NSG" sheetId="2" r:id="rId4"/>
    <sheet name="LB" sheetId="6" r:id="rId5"/>
    <sheet name="LB_Probe" sheetId="10" r:id="rId6"/>
    <sheet name="LB_Rule" sheetId="11" r:id="rId7"/>
  </sheets>
  <definedNames>
    <definedName name="_xlnm._FilterDatabase" localSheetId="4" hidden="1">LB!$B$1:$Q$42</definedName>
    <definedName name="_xlnm._FilterDatabase" localSheetId="5" hidden="1">LB_Probe!$B$1:$K$2</definedName>
    <definedName name="_xlnm._FilterDatabase" localSheetId="6" hidden="1">LB_Rule!$B$1:$S$2</definedName>
    <definedName name="_xlnm._FilterDatabase" localSheetId="3" hidden="1">NSG!$B$1:$M$8</definedName>
    <definedName name="_xlnm._FilterDatabase" localSheetId="1" hidden="1">VM_Datadisk!$B$1:$R$8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 a="1"/>
  <c r="C2" i="10" s="1"/>
  <c r="F2" i="10"/>
  <c r="C2" i="6" a="1"/>
  <c r="C2" i="6" s="1"/>
  <c r="K19" i="2"/>
  <c r="K20" i="2"/>
  <c r="K21" i="2"/>
  <c r="E19" i="2"/>
  <c r="C19" i="2" s="1" a="1"/>
  <c r="C19" i="2" s="1"/>
  <c r="E20" i="2"/>
  <c r="C20" i="2" s="1" a="1"/>
  <c r="C20" i="2" s="1"/>
  <c r="E21" i="2"/>
  <c r="C21" i="2" s="1" a="1"/>
  <c r="C21" i="2" s="1"/>
  <c r="C11" i="14" a="1"/>
  <c r="C11" i="14" s="1"/>
  <c r="C12" i="14" a="1"/>
  <c r="C12" i="14" s="1"/>
  <c r="C13" i="14" a="1"/>
  <c r="C13" i="14" s="1"/>
  <c r="C19" i="1" a="1"/>
  <c r="C19" i="1" s="1"/>
  <c r="O20" i="1"/>
  <c r="O21" i="1"/>
  <c r="U20" i="1"/>
  <c r="U21" i="1"/>
  <c r="C20" i="1" a="1"/>
  <c r="C20" i="1" s="1"/>
  <c r="C21" i="1" a="1"/>
  <c r="C21" i="1" s="1"/>
  <c r="O19" i="1"/>
  <c r="U19" i="1"/>
  <c r="E15" i="2"/>
  <c r="E16" i="2"/>
  <c r="E17" i="2"/>
  <c r="E18" i="2"/>
  <c r="K15" i="2"/>
  <c r="K16" i="2"/>
  <c r="K17" i="2"/>
  <c r="K18" i="2"/>
  <c r="O15" i="1"/>
  <c r="O16" i="1"/>
  <c r="O17" i="1"/>
  <c r="O18" i="1"/>
  <c r="U15" i="1"/>
  <c r="U16" i="1"/>
  <c r="U17" i="1"/>
  <c r="U18" i="1"/>
  <c r="E11" i="2"/>
  <c r="E12" i="2"/>
  <c r="E13" i="2"/>
  <c r="E14" i="2"/>
  <c r="K11" i="2"/>
  <c r="K12" i="2"/>
  <c r="K13" i="2"/>
  <c r="K14" i="2"/>
  <c r="O14" i="1"/>
  <c r="U14" i="1"/>
  <c r="O13" i="1"/>
  <c r="U13" i="1"/>
  <c r="O12" i="1"/>
  <c r="U12" i="1"/>
  <c r="O11" i="1"/>
  <c r="U11" i="1"/>
  <c r="E10" i="2"/>
  <c r="C10" i="2" s="1" a="1"/>
  <c r="C10" i="2" s="1"/>
  <c r="U10" i="1"/>
  <c r="K10" i="2"/>
  <c r="C9" i="1" a="1"/>
  <c r="C9" i="1" s="1"/>
  <c r="C10" i="14" a="1"/>
  <c r="C10" i="14" s="1"/>
  <c r="C9" i="14" a="1"/>
  <c r="C9" i="14" s="1"/>
  <c r="C10" i="1" a="1"/>
  <c r="C10" i="1" s="1"/>
  <c r="O10" i="1"/>
  <c r="E9" i="2"/>
  <c r="C9" i="2" s="1" a="1"/>
  <c r="C9" i="2" s="1"/>
  <c r="K9" i="2"/>
  <c r="O9" i="1"/>
  <c r="U9" i="1"/>
  <c r="C2" i="1" l="1" a="1"/>
  <c r="C2" i="1" s="1"/>
  <c r="O2" i="1"/>
  <c r="U2" i="1"/>
  <c r="C3" i="1" a="1"/>
  <c r="C3" i="1" s="1"/>
  <c r="O3" i="1"/>
  <c r="U3" i="1"/>
  <c r="C4" i="14" a="1"/>
  <c r="C4" i="14" s="1"/>
  <c r="C5" i="14" a="1"/>
  <c r="C5" i="14" s="1"/>
  <c r="C6" i="14" a="1"/>
  <c r="C6" i="14" s="1"/>
  <c r="C2" i="14" a="1"/>
  <c r="C2" i="14" s="1"/>
  <c r="C3" i="14" a="1"/>
  <c r="C3" i="14" s="1"/>
  <c r="C7" i="14" a="1"/>
  <c r="C7" i="14" s="1"/>
  <c r="C8" i="14" a="1"/>
  <c r="C8" i="14" s="1"/>
  <c r="C4" i="1" a="1"/>
  <c r="C4" i="1" s="1"/>
  <c r="C5" i="1" a="1"/>
  <c r="C5" i="1" s="1"/>
  <c r="C6" i="1" a="1"/>
  <c r="C6" i="1" s="1"/>
  <c r="C8" i="1" a="1"/>
  <c r="C8" i="1" s="1"/>
  <c r="C7" i="1" a="1"/>
  <c r="C7" i="1" s="1"/>
  <c r="K8" i="2"/>
  <c r="E8" i="2"/>
  <c r="C8" i="2" s="1" a="1"/>
  <c r="C8" i="2" s="1"/>
  <c r="U8" i="1"/>
  <c r="O8" i="1"/>
  <c r="K7" i="2"/>
  <c r="K6" i="2"/>
  <c r="E7" i="2"/>
  <c r="C7" i="2" s="1" a="1"/>
  <c r="C7" i="2" s="1"/>
  <c r="E6" i="2"/>
  <c r="C6" i="2" s="1" a="1"/>
  <c r="C6" i="2" s="1"/>
  <c r="O7" i="1"/>
  <c r="U7" i="1"/>
  <c r="O6" i="1"/>
  <c r="U6" i="1"/>
  <c r="C2" i="11" a="1"/>
  <c r="C2" i="11" s="1"/>
  <c r="E2" i="2" l="1"/>
  <c r="C2" i="2" s="1" a="1"/>
  <c r="C2" i="2" s="1"/>
  <c r="E3" i="2"/>
  <c r="C3" i="2" s="1" a="1"/>
  <c r="C3" i="2" s="1"/>
  <c r="E4" i="2"/>
  <c r="C4" i="2" s="1" a="1"/>
  <c r="C4" i="2" s="1"/>
  <c r="E5" i="2"/>
  <c r="C5" i="2" s="1" a="1"/>
  <c r="C5" i="2" s="1"/>
  <c r="K2" i="2"/>
  <c r="K3" i="2"/>
  <c r="K4" i="2"/>
  <c r="K5" i="2"/>
  <c r="O4" i="1"/>
  <c r="O5" i="1"/>
  <c r="U4" i="1" l="1"/>
  <c r="U5" i="1"/>
  <c r="F2" i="11"/>
  <c r="M2" i="11"/>
  <c r="G2" i="11"/>
  <c r="K2" i="11" l="1"/>
  <c r="Q2" i="6"/>
  <c r="K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<sst xmlns="http://schemas.openxmlformats.org/spreadsheetml/2006/main" count="1039" uniqueCount="250">
  <si>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</si>
  <si>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</si>
  <si>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</si>
  <si>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</si>
  <si>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</si>
  <si>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</si>
  <si>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</si>
  <si>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</si>
  <si>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</si>
  <si>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</si>
  <si>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</si>
  <si>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</si>
  <si>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</si>
  <si>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</si>
  <si>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</si>
  <si>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</si>
  <si>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</si>
  <si>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</si>
  <si>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</si>
  <si>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</si>
  <si>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</si>
  <si>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</si>
  <si>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</si>
  <si>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</si>
  <si>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</si>
  <si>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</si>
  <si>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</si>
  <si>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</si>
  <si>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</si>
  <si>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</si>
  <si>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</si>
  <si>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</si>
  <si>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</si>
  <si>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</si>
  <si>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</si>
  <si>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</si>
  <si>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</si>
  <si>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</si>
  <si>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</si>
  <si>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</si>
  <si>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</si>
  <si>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</si>
  <si>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</si>
  <si>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</si>
  <si>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</si>
  <si>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</si>
  <si>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</si>
  <si>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</si>
  <si>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</si>
  <si>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</si>
  <si>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</si>
  <si>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</si>
  <si>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</si>
  <si>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</si>
  <si>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</si>
  <si>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</si>
  <si>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</si>
  <si>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</si>
  <si>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</si>
  <si>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</si>
  <si>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</si>
  <si>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</si>
  <si>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</si>
  <si>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</si>
  <si>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</si>
  <si>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</si>
  <si>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</si>
  <si>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</si>
  <si>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</si>
  <si>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</si>
  <si>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</si>
  <si>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</si>
  <si>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</si>
  <si>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</si>
  <si>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</si>
  <si>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</si>
  <si>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</si>
  <si>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</si>
  <si>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</si>
  <si>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VnetRG</t>
    <phoneticPr fontId="1" type="noConversion"/>
  </si>
  <si>
    <t>OsType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</si>
  <si>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</si>
  <si>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</si>
  <si>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</si>
  <si>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</si>
  <si>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</si>
  <si>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</si>
  <si>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</si>
  <si>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</si>
  <si>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</si>
  <si>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</si>
  <si>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</si>
  <si>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</si>
  <si>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</si>
  <si>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</si>
  <si>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</si>
  <si>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</si>
  <si>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</si>
  <si>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</si>
  <si>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</si>
  <si>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</si>
  <si>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</si>
  <si>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</si>
  <si>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</si>
  <si>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</si>
  <si>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</si>
  <si>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</si>
  <si>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</si>
  <si>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</si>
  <si>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</si>
  <si>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</si>
  <si>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</si>
  <si>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</si>
  <si>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</si>
  <si>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</si>
  <si>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</si>
  <si>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</si>
  <si>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</si>
  <si>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</si>
  <si>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</si>
  <si>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</si>
  <si>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</si>
  <si>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</si>
  <si>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</si>
  <si>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</si>
  <si>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</si>
  <si>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</si>
  <si>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</si>
  <si>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</si>
  <si>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</si>
  <si>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</si>
  <si>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</si>
  <si>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</si>
  <si>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</si>
  <si>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</si>
  <si>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</si>
  <si>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</si>
  <si>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hazr-l-comm-vnet</t>
  </si>
  <si>
    <t>hazr-l-comm-vnet</t>
    <phoneticPr fontId="1" type="noConversion"/>
  </si>
  <si>
    <t>Gksthschlrh!2#4</t>
  </si>
  <si>
    <t>O</t>
    <phoneticPr fontId="1" type="noConversion"/>
  </si>
  <si>
    <t>NicRG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</si>
  <si>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</si>
  <si>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</si>
  <si>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</si>
  <si>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</si>
  <si>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PBPort</t>
    <phoneticPr fontId="1" type="noConversion"/>
  </si>
  <si>
    <t>PBProtocol</t>
    <phoneticPr fontId="1" type="noConversion"/>
  </si>
  <si>
    <t>hazr-p-dch-int-vnet</t>
  </si>
  <si>
    <t>hazr-p-dch-rg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</si>
  <si>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</si>
  <si>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</si>
  <si>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</si>
  <si>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</si>
  <si>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10.155.161.68</t>
  </si>
  <si>
    <t>10.155.161.69</t>
  </si>
  <si>
    <t>D2s_v5</t>
  </si>
  <si>
    <t>D8s_v5</t>
  </si>
  <si>
    <t>Linux</t>
  </si>
  <si>
    <t>PremiumSSD_LRS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</si>
  <si>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</si>
  <si>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</si>
  <si>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</si>
  <si>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</si>
  <si>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</si>
  <si>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</si>
  <si>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</si>
  <si>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</si>
  <si>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ETC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</si>
  <si>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</si>
  <si>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</si>
  <si>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</si>
  <si>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l-mon-ap-sbn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</si>
  <si>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</si>
  <si>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</si>
  <si>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10.155.161.132</t>
    <phoneticPr fontId="1" type="noConversion"/>
  </si>
  <si>
    <t>10.155.161.133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</si>
  <si>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</si>
  <si>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</si>
  <si>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1,2,3</t>
    <phoneticPr fontId="1" type="noConversion"/>
  </si>
  <si>
    <t>ZoneRedundant</t>
    <phoneticPr fontId="1" type="noConversion"/>
  </si>
  <si>
    <t>hazr-l-sec-rg</t>
    <phoneticPr fontId="1" type="noConversion"/>
  </si>
  <si>
    <t>hazr-l-sec-virsol01</t>
    <phoneticPr fontId="1" type="noConversion"/>
  </si>
  <si>
    <t>hazr-l-sec-wbdsol01</t>
    <phoneticPr fontId="1" type="noConversion"/>
  </si>
  <si>
    <t>10.155.194.11</t>
    <phoneticPr fontId="1" type="noConversion"/>
  </si>
  <si>
    <t>E8-4ds_v5</t>
    <phoneticPr fontId="1" type="noConversion"/>
  </si>
  <si>
    <t>Windows</t>
    <phoneticPr fontId="1" type="noConversion"/>
  </si>
  <si>
    <t>hazr-l-sec-vnet</t>
    <phoneticPr fontId="1" type="noConversion"/>
  </si>
  <si>
    <t>l-sec-ap-sbn</t>
    <phoneticPr fontId="1" type="noConversion"/>
  </si>
  <si>
    <t>hazr-l-sec-des</t>
    <phoneticPr fontId="1" type="noConversion"/>
  </si>
  <si>
    <t>l-sec-virsol01-disk01</t>
    <phoneticPr fontId="1" type="noConversion"/>
  </si>
  <si>
    <t>l-sec-virsol01-disk02</t>
    <phoneticPr fontId="1" type="noConversion"/>
  </si>
  <si>
    <t>l-sec-wbdsol01-disk01</t>
    <phoneticPr fontId="1" type="noConversion"/>
  </si>
  <si>
    <t>l-sec-wbdsol01-disk02</t>
    <phoneticPr fontId="1" type="noConversion"/>
  </si>
  <si>
    <t>LAND</t>
    <phoneticPr fontId="1" type="noConversion"/>
  </si>
  <si>
    <t>hazr-l-com-scmsol01</t>
    <phoneticPr fontId="1" type="noConversion"/>
  </si>
  <si>
    <t>10.155.161.134</t>
    <phoneticPr fontId="1" type="noConversion"/>
  </si>
  <si>
    <t>l-com-scmsol01-disk01</t>
    <phoneticPr fontId="1" type="noConversion"/>
  </si>
  <si>
    <t>l-com-scmsol01-disk02</t>
    <phoneticPr fontId="1" type="noConversion"/>
  </si>
  <si>
    <t>10.155.194.21</t>
    <phoneticPr fontId="1" type="noConversion"/>
  </si>
  <si>
    <t>hazr-l-if-hipsproxy01</t>
    <phoneticPr fontId="1" type="noConversion"/>
  </si>
  <si>
    <t>10.155.161.135</t>
    <phoneticPr fontId="1" type="noConversion"/>
  </si>
  <si>
    <t>D2s_v5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</si>
  <si>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</si>
  <si>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l-if-hipsproxy01-disk01</t>
    <phoneticPr fontId="1" type="noConversion"/>
  </si>
  <si>
    <t>l-if-hipsproxy01-disk02</t>
    <phoneticPr fontId="1" type="noConversion"/>
  </si>
  <si>
    <t>10.155.161.136</t>
    <phoneticPr fontId="1" type="noConversion"/>
  </si>
  <si>
    <t>D32s_v5</t>
    <phoneticPr fontId="1" type="noConversion"/>
  </si>
  <si>
    <t>hazr-l-comm-rg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</si>
  <si>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</si>
  <si>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hazr-l-if-sastsol01</t>
    <phoneticPr fontId="1" type="noConversion"/>
  </si>
  <si>
    <t>l-if-sastsol01-disk01</t>
    <phoneticPr fontId="1" type="noConversion"/>
  </si>
  <si>
    <t>l-if-sastsol01-disk02</t>
    <phoneticPr fontId="1" type="noConversion"/>
  </si>
  <si>
    <t>TEMP</t>
    <phoneticPr fontId="1" type="noConversion"/>
  </si>
  <si>
    <t>az-erdirect-host1</t>
    <phoneticPr fontId="1" type="noConversion"/>
  </si>
  <si>
    <t>az-erdirect-host3</t>
  </si>
  <si>
    <t>az-erdirect-host2</t>
    <phoneticPr fontId="1" type="noConversion"/>
  </si>
  <si>
    <t>az-erdirect-host4</t>
  </si>
  <si>
    <t>10.155.161.196</t>
    <phoneticPr fontId="1" type="noConversion"/>
  </si>
  <si>
    <t>10.155.161.197</t>
    <phoneticPr fontId="1" type="noConversion"/>
  </si>
  <si>
    <t>10.155.161.198</t>
  </si>
  <si>
    <t>10.155.161.199</t>
  </si>
  <si>
    <t>l-ertest-sbn</t>
    <phoneticPr fontId="1" type="noConversion"/>
  </si>
  <si>
    <t>TEMP</t>
    <phoneticPr fontId="1" type="noConversion"/>
  </si>
  <si>
    <t>az-grayzone-host1</t>
    <phoneticPr fontId="1" type="noConversion"/>
  </si>
  <si>
    <t>az-grayzone-host2</t>
    <phoneticPr fontId="1" type="noConversion"/>
  </si>
  <si>
    <t>az-grayzone-host3</t>
    <phoneticPr fontId="1" type="noConversion"/>
  </si>
  <si>
    <t>az-grayzone-host4</t>
    <phoneticPr fontId="1" type="noConversion"/>
  </si>
  <si>
    <t>10.155.161.156</t>
    <phoneticPr fontId="1" type="noConversion"/>
  </si>
  <si>
    <t>10.155.161.157</t>
    <phoneticPr fontId="1" type="noConversion"/>
  </si>
  <si>
    <t>10.155.161.158</t>
    <phoneticPr fontId="1" type="noConversion"/>
  </si>
  <si>
    <t>10.155.161.155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</si>
  <si>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</si>
  <si>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hazr-l-sec-docams01</t>
    <phoneticPr fontId="1" type="noConversion"/>
  </si>
  <si>
    <t>hazr-l-sec-docsol01</t>
    <phoneticPr fontId="1" type="noConversion"/>
  </si>
  <si>
    <t>hazr-l-sec-docsol02</t>
    <phoneticPr fontId="1" type="noConversion"/>
  </si>
  <si>
    <t>D8s_v5</t>
    <phoneticPr fontId="1" type="noConversion"/>
  </si>
  <si>
    <t>D16ls_v5</t>
    <phoneticPr fontId="1" type="noConversion"/>
  </si>
  <si>
    <t>10.155.194.31</t>
    <phoneticPr fontId="1" type="noConversion"/>
  </si>
  <si>
    <t>10.155.194.41</t>
    <phoneticPr fontId="1" type="noConversion"/>
  </si>
  <si>
    <t>10.155.194.42</t>
    <phoneticPr fontId="1" type="noConversion"/>
  </si>
  <si>
    <t>l-sec-docams01-disk01</t>
    <phoneticPr fontId="1" type="noConversion"/>
  </si>
  <si>
    <t>hazr-l-sec-docsol01-disk01</t>
    <phoneticPr fontId="1" type="noConversion"/>
  </si>
  <si>
    <t>hazr-l-sec-docsol01-disk02</t>
    <phoneticPr fontId="1" type="noConversion"/>
  </si>
  <si>
    <t>hazr-l-sec-docsol02-disk01</t>
    <phoneticPr fontId="1" type="noConversion"/>
  </si>
  <si>
    <t>hazr-l-sec-docsol02-disk02</t>
    <phoneticPr fontId="1" type="noConversion"/>
  </si>
  <si>
    <t>hazr-l-mon-rg</t>
    <phoneticPr fontId="1" type="noConversion"/>
  </si>
  <si>
    <t>hazr-l-mon-whtap-lb</t>
  </si>
  <si>
    <t>hazr-l-mon-whtap-lb</t>
    <phoneticPr fontId="1" type="noConversion"/>
  </si>
  <si>
    <t>10.155.161.70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</si>
</sst>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21" totalsRowShown="0" headerRowDxfId="32" dataDxfId="31">
  <autoFilter ref="B1:AF21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21"/>
  <sheetViews>
    <sheetView zoomScaleNormal="100" zoomScaleSheetLayoutView="100" workbookViewId="0">
      <pane xSplit="6" ySplit="1" topLeftCell="G2" activePane="bottomRight" state="frozen"/>
      <selection pane="topRight"/>
      <selection pane="bottomLeft"/>
      <selection pane="bottomRight" activeCell="C33" sqref="C33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1" bestFit="1" customWidth="1"/>
    <col min="7" max="7" width="14" bestFit="1" customWidth="1"/>
    <col min="8" max="8" width="11.125" style="69" bestFit="1" customWidth="1"/>
    <col min="9" max="9" width="6.75" style="69" bestFit="1" customWidth="1"/>
    <col min="10" max="10" width="7.25" style="69" bestFit="1" customWidth="1"/>
    <col min="11" max="11" width="16.875" bestFit="1" customWidth="1"/>
    <col min="12" max="12" width="15.875" customWidth="1"/>
    <col min="13" max="13" width="16.25" style="81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69" bestFit="1" customWidth="1"/>
    <col min="26" max="26" width="15.5" style="69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7"/>
      <c r="B1" s="81" t="s">
        <v>0</v>
      </c>
      <c r="C1" s="81" t="s">
        <v>1</v>
      </c>
      <c r="D1" s="85" t="s">
        <v>2</v>
      </c>
      <c r="E1" s="85" t="s">
        <v>3</v>
      </c>
      <c r="F1" s="85" t="s">
        <v>4</v>
      </c>
      <c r="G1" s="85" t="s">
        <v>5</v>
      </c>
      <c r="H1" s="85" t="s">
        <v>6</v>
      </c>
      <c r="I1" s="81" t="s">
        <v>7</v>
      </c>
      <c r="J1" s="81" t="s">
        <v>8</v>
      </c>
      <c r="K1" s="85" t="s">
        <v>9</v>
      </c>
      <c r="L1" s="86" t="s">
        <v>10</v>
      </c>
      <c r="M1" s="87" t="s">
        <v>80</v>
      </c>
      <c r="N1" s="85" t="s">
        <v>28</v>
      </c>
      <c r="O1" s="85" t="s">
        <v>11</v>
      </c>
      <c r="P1" s="85" t="s">
        <v>12</v>
      </c>
      <c r="Q1" s="85" t="s">
        <v>13</v>
      </c>
      <c r="R1" s="81" t="s">
        <v>14</v>
      </c>
      <c r="S1" s="81" t="s">
        <v>15</v>
      </c>
      <c r="T1" s="81" t="s">
        <v>16</v>
      </c>
      <c r="U1" s="85" t="s">
        <v>17</v>
      </c>
      <c r="V1" s="85" t="s">
        <v>135</v>
      </c>
      <c r="W1" s="85" t="s">
        <v>18</v>
      </c>
      <c r="X1" s="85" t="s">
        <v>79</v>
      </c>
      <c r="Y1" s="85" t="s">
        <v>19</v>
      </c>
      <c r="Z1" s="85" t="s">
        <v>20</v>
      </c>
      <c r="AA1" s="85" t="s">
        <v>136</v>
      </c>
      <c r="AB1" s="85" t="s">
        <v>134</v>
      </c>
      <c r="AC1" s="85" t="s">
        <v>119</v>
      </c>
      <c r="AD1" s="85" t="s">
        <v>25</v>
      </c>
      <c r="AE1" s="81" t="s">
        <v>21</v>
      </c>
      <c r="AF1" s="81" t="s">
        <v>22</v>
      </c>
    </row>
    <row r="2" spans="1:32" x14ac:dyDescent="0.3">
      <c r="A2" s="83"/>
      <c r="B2" s="68" t="s">
        <v>194</v>
      </c>
      <c r="C2" s="87" t="str" cm="1">
        <f t="array" ref="C2">UPPER(INDEX(_xlfn.TEXTSPLIT($F2, "-"), 3))</f>
        <v>MON</v>
      </c>
      <c r="D2" s="74" t="s">
        <v>152</v>
      </c>
      <c r="E2" s="68" t="s">
        <v>24</v>
      </c>
      <c r="F2" s="68" t="s">
        <v>143</v>
      </c>
      <c r="G2" s="74" t="s">
        <v>154</v>
      </c>
      <c r="H2" s="74" t="s">
        <v>157</v>
      </c>
      <c r="I2" s="74">
        <v>8</v>
      </c>
      <c r="J2" s="74">
        <v>32</v>
      </c>
      <c r="K2" s="68" t="s">
        <v>122</v>
      </c>
      <c r="L2" s="68" t="s">
        <v>139</v>
      </c>
      <c r="M2" s="74" t="s">
        <v>158</v>
      </c>
      <c r="N2" s="90" t="s">
        <v>169</v>
      </c>
      <c r="O2" s="68" t="str">
        <f t="shared" ref="O2:O3" si="0">SUBSTITUTE(F2,"hazr-","")&amp;"-osdisk"</f>
        <v>l-mon-whtap01-osdisk</v>
      </c>
      <c r="P2" s="89">
        <v>64</v>
      </c>
      <c r="Q2" s="68" t="s">
        <v>121</v>
      </c>
      <c r="R2" s="68"/>
      <c r="S2" s="68"/>
      <c r="T2" s="68"/>
      <c r="U2" s="68" t="str">
        <f t="shared" ref="U2:U3" si="1">SUBSTITUTE(F2,"hazr-","")&amp;"-nic"</f>
        <v>l-mon-whtap01-nic</v>
      </c>
      <c r="V2" s="68" t="b">
        <v>1</v>
      </c>
      <c r="W2" s="68" t="b">
        <v>1</v>
      </c>
      <c r="X2" s="68" t="s">
        <v>144</v>
      </c>
      <c r="Y2" s="68" t="s">
        <v>137</v>
      </c>
      <c r="Z2" s="68" t="s">
        <v>153</v>
      </c>
      <c r="AA2" s="68" t="b">
        <v>1</v>
      </c>
      <c r="AB2" s="68" t="s">
        <v>144</v>
      </c>
      <c r="AC2" s="68" t="s">
        <v>145</v>
      </c>
      <c r="AD2" s="74">
        <v>1</v>
      </c>
      <c r="AE2" s="68"/>
      <c r="AF2" s="68"/>
    </row>
    <row r="3" spans="1:32" x14ac:dyDescent="0.3">
      <c r="A3" s="83"/>
      <c r="B3" s="68" t="s">
        <v>194</v>
      </c>
      <c r="C3" s="87" t="str" cm="1">
        <f t="array" ref="C3">UPPER(INDEX(_xlfn.TEXTSPLIT($F3, "-"), 3))</f>
        <v>MON</v>
      </c>
      <c r="D3" s="74" t="s">
        <v>152</v>
      </c>
      <c r="E3" s="68" t="s">
        <v>24</v>
      </c>
      <c r="F3" s="68" t="s">
        <v>142</v>
      </c>
      <c r="G3" s="74" t="s">
        <v>155</v>
      </c>
      <c r="H3" s="74" t="s">
        <v>157</v>
      </c>
      <c r="I3" s="74">
        <v>8</v>
      </c>
      <c r="J3" s="74">
        <v>32</v>
      </c>
      <c r="K3" s="68" t="s">
        <v>122</v>
      </c>
      <c r="L3" s="68" t="s">
        <v>139</v>
      </c>
      <c r="M3" s="74" t="s">
        <v>158</v>
      </c>
      <c r="N3" s="90" t="s">
        <v>169</v>
      </c>
      <c r="O3" s="68" t="str">
        <f t="shared" si="0"/>
        <v>l-mon-whtap02-osdisk</v>
      </c>
      <c r="P3" s="89">
        <v>64</v>
      </c>
      <c r="Q3" s="68" t="s">
        <v>121</v>
      </c>
      <c r="R3" s="68"/>
      <c r="S3" s="68"/>
      <c r="T3" s="68"/>
      <c r="U3" s="68" t="str">
        <f t="shared" si="1"/>
        <v>l-mon-whtap02-nic</v>
      </c>
      <c r="V3" s="68" t="b">
        <v>1</v>
      </c>
      <c r="W3" s="68" t="b">
        <v>1</v>
      </c>
      <c r="X3" s="68" t="s">
        <v>144</v>
      </c>
      <c r="Y3" s="68" t="s">
        <v>137</v>
      </c>
      <c r="Z3" s="68" t="s">
        <v>153</v>
      </c>
      <c r="AA3" s="68" t="b">
        <v>1</v>
      </c>
      <c r="AB3" s="68" t="s">
        <v>144</v>
      </c>
      <c r="AC3" s="68" t="s">
        <v>145</v>
      </c>
      <c r="AD3" s="74">
        <v>2</v>
      </c>
      <c r="AE3" s="68"/>
      <c r="AF3" s="68"/>
    </row>
    <row r="4" spans="1:32" x14ac:dyDescent="0.3">
      <c r="A4" s="83"/>
      <c r="B4" s="68" t="s">
        <v>194</v>
      </c>
      <c r="C4" s="87" t="str" cm="1">
        <f t="array" ref="C4">UPPER(INDEX(_xlfn.TEXTSPLIT($F4, "-"), 3))</f>
        <v>COM</v>
      </c>
      <c r="D4" s="74" t="s">
        <v>144</v>
      </c>
      <c r="E4" s="68" t="s">
        <v>24</v>
      </c>
      <c r="F4" s="68" t="s">
        <v>150</v>
      </c>
      <c r="G4" s="74" t="s">
        <v>175</v>
      </c>
      <c r="H4" s="74" t="s">
        <v>157</v>
      </c>
      <c r="I4" s="74">
        <v>8</v>
      </c>
      <c r="J4" s="74">
        <v>32</v>
      </c>
      <c r="K4" s="68" t="s">
        <v>122</v>
      </c>
      <c r="L4" s="68" t="s">
        <v>139</v>
      </c>
      <c r="M4" s="74" t="s">
        <v>158</v>
      </c>
      <c r="N4" s="90" t="s">
        <v>169</v>
      </c>
      <c r="O4" s="68" t="str">
        <f t="shared" ref="O4:O5" si="2">SUBSTITUTE(F4,"hazr-","")&amp;"-osdisk"</f>
        <v>l-com-build01-osdisk</v>
      </c>
      <c r="P4" s="89">
        <v>64</v>
      </c>
      <c r="Q4" s="68" t="s">
        <v>121</v>
      </c>
      <c r="R4" s="68"/>
      <c r="S4" s="68"/>
      <c r="T4" s="68"/>
      <c r="U4" s="68" t="str">
        <f t="shared" ref="U4:U5" si="3">SUBSTITUTE(F4,"hazr-","")&amp;"-nic"</f>
        <v>l-com-build01-nic</v>
      </c>
      <c r="V4" s="68" t="b">
        <v>1</v>
      </c>
      <c r="W4" s="68" t="b">
        <v>1</v>
      </c>
      <c r="X4" s="68" t="s">
        <v>144</v>
      </c>
      <c r="Y4" s="68" t="s">
        <v>138</v>
      </c>
      <c r="Z4" s="68" t="s">
        <v>171</v>
      </c>
      <c r="AA4" s="68" t="b">
        <v>1</v>
      </c>
      <c r="AB4" s="68" t="s">
        <v>144</v>
      </c>
      <c r="AC4" s="68" t="s">
        <v>145</v>
      </c>
      <c r="AD4" s="74">
        <v>1</v>
      </c>
      <c r="AE4" s="68"/>
      <c r="AF4" s="68"/>
    </row>
    <row r="5" spans="1:32" x14ac:dyDescent="0.3">
      <c r="A5" s="83"/>
      <c r="B5" s="68" t="s">
        <v>194</v>
      </c>
      <c r="C5" s="87" t="str" cm="1">
        <f t="array" ref="C5">UPPER(INDEX(_xlfn.TEXTSPLIT($F5, "-"), 3))</f>
        <v>COM</v>
      </c>
      <c r="D5" s="74" t="s">
        <v>144</v>
      </c>
      <c r="E5" s="68" t="s">
        <v>24</v>
      </c>
      <c r="F5" s="68" t="s">
        <v>151</v>
      </c>
      <c r="G5" s="74" t="s">
        <v>176</v>
      </c>
      <c r="H5" s="74" t="s">
        <v>156</v>
      </c>
      <c r="I5" s="74">
        <v>2</v>
      </c>
      <c r="J5" s="74">
        <v>8</v>
      </c>
      <c r="K5" s="68" t="s">
        <v>122</v>
      </c>
      <c r="L5" s="68" t="s">
        <v>139</v>
      </c>
      <c r="M5" s="74" t="s">
        <v>158</v>
      </c>
      <c r="N5" s="90" t="s">
        <v>170</v>
      </c>
      <c r="O5" s="68" t="str">
        <f t="shared" si="2"/>
        <v>l-com-repoweb01-osdisk</v>
      </c>
      <c r="P5" s="89">
        <v>64</v>
      </c>
      <c r="Q5" s="68" t="s">
        <v>121</v>
      </c>
      <c r="R5" s="68"/>
      <c r="S5" s="68"/>
      <c r="T5" s="68"/>
      <c r="U5" s="68" t="str">
        <f t="shared" si="3"/>
        <v>l-com-repoweb01-nic</v>
      </c>
      <c r="V5" s="68" t="b">
        <v>1</v>
      </c>
      <c r="W5" s="68" t="b">
        <v>1</v>
      </c>
      <c r="X5" s="68" t="s">
        <v>144</v>
      </c>
      <c r="Y5" s="68" t="s">
        <v>138</v>
      </c>
      <c r="Z5" s="68" t="s">
        <v>171</v>
      </c>
      <c r="AA5" s="68" t="b">
        <v>1</v>
      </c>
      <c r="AB5" s="68" t="s">
        <v>144</v>
      </c>
      <c r="AC5" s="68" t="s">
        <v>145</v>
      </c>
      <c r="AD5" s="74">
        <v>1</v>
      </c>
      <c r="AE5" s="68"/>
      <c r="AF5" s="68"/>
    </row>
    <row r="6" spans="1:32" x14ac:dyDescent="0.3">
      <c r="A6" s="83"/>
      <c r="B6" s="87" t="s">
        <v>194</v>
      </c>
      <c r="C6" s="87" t="str" cm="1">
        <f t="array" ref="C6">UPPER(INDEX(_xlfn.TEXTSPLIT($F6, "-"), 3))</f>
        <v>SEC</v>
      </c>
      <c r="D6" s="87" t="s">
        <v>181</v>
      </c>
      <c r="E6" s="87" t="s">
        <v>24</v>
      </c>
      <c r="F6" s="87" t="s">
        <v>182</v>
      </c>
      <c r="G6" s="87" t="s">
        <v>184</v>
      </c>
      <c r="H6" s="87" t="s">
        <v>185</v>
      </c>
      <c r="I6" s="87">
        <v>4</v>
      </c>
      <c r="J6" s="87">
        <v>64</v>
      </c>
      <c r="K6" s="87" t="s">
        <v>122</v>
      </c>
      <c r="L6" s="93" t="s">
        <v>120</v>
      </c>
      <c r="M6" s="87" t="s">
        <v>173</v>
      </c>
      <c r="N6" s="94" t="s">
        <v>169</v>
      </c>
      <c r="O6" s="95" t="str">
        <f t="shared" ref="O6:O14" si="4">SUBSTITUTE(F6,"hazr-","")&amp;"-osdisk"</f>
        <v>l-sec-virsol01-osdisk</v>
      </c>
      <c r="P6" s="96">
        <v>64</v>
      </c>
      <c r="Q6" s="97" t="s">
        <v>121</v>
      </c>
      <c r="R6" s="87"/>
      <c r="S6" s="87"/>
      <c r="T6" s="87"/>
      <c r="U6" s="87" t="str">
        <f t="shared" ref="U6:U14" si="5">SUBSTITUTE(F6,"hazr-","")&amp;"-nic"</f>
        <v>l-sec-virsol01-nic</v>
      </c>
      <c r="V6" s="87" t="b">
        <v>1</v>
      </c>
      <c r="W6" s="87" t="b">
        <v>1</v>
      </c>
      <c r="X6" s="87" t="s">
        <v>181</v>
      </c>
      <c r="Y6" s="68" t="s">
        <v>187</v>
      </c>
      <c r="Z6" s="68" t="s">
        <v>188</v>
      </c>
      <c r="AA6" s="87" t="b">
        <v>1</v>
      </c>
      <c r="AB6" s="87" t="s">
        <v>181</v>
      </c>
      <c r="AC6" s="87" t="s">
        <v>189</v>
      </c>
      <c r="AD6" s="96">
        <v>1</v>
      </c>
      <c r="AE6" s="87"/>
      <c r="AF6" s="87"/>
    </row>
    <row r="7" spans="1:32" x14ac:dyDescent="0.3">
      <c r="A7" s="83"/>
      <c r="B7" s="87" t="s">
        <v>194</v>
      </c>
      <c r="C7" s="87" t="str" cm="1">
        <f t="array" ref="C7">UPPER(INDEX(_xlfn.TEXTSPLIT($F7, "-"), 3))</f>
        <v>SEC</v>
      </c>
      <c r="D7" s="87" t="s">
        <v>181</v>
      </c>
      <c r="E7" s="87" t="s">
        <v>24</v>
      </c>
      <c r="F7" s="87" t="s">
        <v>183</v>
      </c>
      <c r="G7" s="87" t="s">
        <v>199</v>
      </c>
      <c r="H7" s="87" t="s">
        <v>177</v>
      </c>
      <c r="I7" s="87">
        <v>4</v>
      </c>
      <c r="J7" s="87">
        <v>16</v>
      </c>
      <c r="K7" s="87" t="s">
        <v>122</v>
      </c>
      <c r="L7" s="93" t="s">
        <v>120</v>
      </c>
      <c r="M7" s="87" t="s">
        <v>186</v>
      </c>
      <c r="N7" s="90" t="s">
        <v>174</v>
      </c>
      <c r="O7" s="95" t="str">
        <f t="shared" si="4"/>
        <v>l-sec-wbdsol01-osdisk</v>
      </c>
      <c r="P7" s="96">
        <v>64</v>
      </c>
      <c r="Q7" s="97" t="s">
        <v>121</v>
      </c>
      <c r="R7" s="87"/>
      <c r="S7" s="87"/>
      <c r="T7" s="87"/>
      <c r="U7" s="87" t="str">
        <f t="shared" si="5"/>
        <v>l-sec-wbdsol01-nic</v>
      </c>
      <c r="V7" s="87" t="b">
        <v>1</v>
      </c>
      <c r="W7" s="87" t="b">
        <v>1</v>
      </c>
      <c r="X7" s="87" t="s">
        <v>181</v>
      </c>
      <c r="Y7" s="68" t="s">
        <v>187</v>
      </c>
      <c r="Z7" s="68" t="s">
        <v>188</v>
      </c>
      <c r="AA7" s="87" t="b">
        <v>1</v>
      </c>
      <c r="AB7" s="87" t="s">
        <v>181</v>
      </c>
      <c r="AC7" s="87" t="s">
        <v>189</v>
      </c>
      <c r="AD7" s="96">
        <v>1</v>
      </c>
      <c r="AE7" s="87"/>
      <c r="AF7" s="87"/>
    </row>
    <row r="8" spans="1:32" x14ac:dyDescent="0.3">
      <c r="A8" s="83"/>
      <c r="B8" s="87" t="s">
        <v>194</v>
      </c>
      <c r="C8" s="87" t="str" cm="1">
        <f t="array" ref="C8">UPPER(INDEX(_xlfn.TEXTSPLIT($F8, "-"), 3))</f>
        <v>COM</v>
      </c>
      <c r="D8" s="87" t="s">
        <v>144</v>
      </c>
      <c r="E8" s="87" t="s">
        <v>24</v>
      </c>
      <c r="F8" s="87" t="s">
        <v>195</v>
      </c>
      <c r="G8" s="87" t="s">
        <v>196</v>
      </c>
      <c r="H8" s="87" t="s">
        <v>177</v>
      </c>
      <c r="I8" s="87">
        <v>4</v>
      </c>
      <c r="J8" s="87">
        <v>16</v>
      </c>
      <c r="K8" s="87" t="s">
        <v>122</v>
      </c>
      <c r="L8" s="93" t="s">
        <v>120</v>
      </c>
      <c r="M8" s="93" t="s">
        <v>173</v>
      </c>
      <c r="N8" s="94" t="s">
        <v>178</v>
      </c>
      <c r="O8" s="95" t="str">
        <f t="shared" si="4"/>
        <v>l-com-scmsol01-osdisk</v>
      </c>
      <c r="P8" s="96">
        <v>64</v>
      </c>
      <c r="Q8" s="97" t="s">
        <v>121</v>
      </c>
      <c r="R8" s="87"/>
      <c r="S8" s="87"/>
      <c r="T8" s="87"/>
      <c r="U8" s="87" t="str">
        <f t="shared" si="5"/>
        <v>l-com-scmsol01-nic</v>
      </c>
      <c r="V8" s="87" t="b">
        <v>1</v>
      </c>
      <c r="W8" s="87" t="b">
        <v>1</v>
      </c>
      <c r="X8" s="87" t="s">
        <v>144</v>
      </c>
      <c r="Y8" s="87" t="s">
        <v>138</v>
      </c>
      <c r="Z8" s="87" t="s">
        <v>171</v>
      </c>
      <c r="AA8" s="87" t="b">
        <v>1</v>
      </c>
      <c r="AB8" s="87" t="s">
        <v>144</v>
      </c>
      <c r="AC8" s="87" t="s">
        <v>145</v>
      </c>
      <c r="AD8" s="96">
        <v>1</v>
      </c>
      <c r="AE8" s="87"/>
      <c r="AF8" s="87"/>
    </row>
    <row r="9" spans="1:32" x14ac:dyDescent="0.3">
      <c r="A9" s="83"/>
      <c r="B9" s="87" t="s">
        <v>194</v>
      </c>
      <c r="C9" s="87" t="str" cm="1">
        <f t="array" ref="C9">UPPER(INDEX(_xlfn.TEXTSPLIT($F9, "-"), 3))</f>
        <v>IF</v>
      </c>
      <c r="D9" s="87" t="s">
        <v>144</v>
      </c>
      <c r="E9" s="87" t="s">
        <v>24</v>
      </c>
      <c r="F9" s="87" t="s">
        <v>200</v>
      </c>
      <c r="G9" s="87" t="s">
        <v>201</v>
      </c>
      <c r="H9" s="87" t="s">
        <v>202</v>
      </c>
      <c r="I9" s="87">
        <v>2</v>
      </c>
      <c r="J9" s="87">
        <v>8</v>
      </c>
      <c r="K9" s="87" t="s">
        <v>122</v>
      </c>
      <c r="L9" s="93" t="s">
        <v>120</v>
      </c>
      <c r="M9" s="87" t="s">
        <v>173</v>
      </c>
      <c r="N9" s="94" t="s">
        <v>203</v>
      </c>
      <c r="O9" s="95" t="str">
        <f t="shared" si="4"/>
        <v>l-if-hipsproxy01-osdisk</v>
      </c>
      <c r="P9" s="96">
        <v>64</v>
      </c>
      <c r="Q9" s="97" t="s">
        <v>121</v>
      </c>
      <c r="R9" s="87"/>
      <c r="S9" s="87"/>
      <c r="T9" s="87"/>
      <c r="U9" s="87" t="str">
        <f t="shared" si="5"/>
        <v>l-if-hipsproxy01-nic</v>
      </c>
      <c r="V9" s="87" t="b">
        <v>1</v>
      </c>
      <c r="W9" s="87" t="b">
        <v>1</v>
      </c>
      <c r="X9" s="87" t="s">
        <v>144</v>
      </c>
      <c r="Y9" s="68" t="s">
        <v>138</v>
      </c>
      <c r="Z9" s="68" t="s">
        <v>171</v>
      </c>
      <c r="AA9" s="87" t="b">
        <v>1</v>
      </c>
      <c r="AB9" s="87" t="s">
        <v>144</v>
      </c>
      <c r="AC9" s="87" t="s">
        <v>145</v>
      </c>
      <c r="AD9" s="96">
        <v>1</v>
      </c>
      <c r="AE9" s="87"/>
      <c r="AF9" s="87"/>
    </row>
    <row r="10" spans="1:32" x14ac:dyDescent="0.3">
      <c r="A10" s="83"/>
      <c r="B10" s="87" t="s">
        <v>194</v>
      </c>
      <c r="C10" s="87" t="str" cm="1">
        <f t="array" ref="C10">UPPER(INDEX(_xlfn.TEXTSPLIT($F10, "-"), 3))</f>
        <v>IF</v>
      </c>
      <c r="D10" s="87" t="s">
        <v>144</v>
      </c>
      <c r="E10" s="87" t="s">
        <v>24</v>
      </c>
      <c r="F10" s="87" t="s">
        <v>210</v>
      </c>
      <c r="G10" s="87" t="s">
        <v>206</v>
      </c>
      <c r="H10" s="87" t="s">
        <v>207</v>
      </c>
      <c r="I10" s="87">
        <v>32</v>
      </c>
      <c r="J10" s="87">
        <v>128</v>
      </c>
      <c r="K10" s="87" t="s">
        <v>122</v>
      </c>
      <c r="L10" s="93" t="s">
        <v>120</v>
      </c>
      <c r="M10" s="87" t="s">
        <v>173</v>
      </c>
      <c r="N10" s="94" t="s">
        <v>209</v>
      </c>
      <c r="O10" s="95" t="str">
        <f t="shared" si="4"/>
        <v>l-if-sastsol01-osdisk</v>
      </c>
      <c r="P10" s="96">
        <v>64</v>
      </c>
      <c r="Q10" s="97" t="s">
        <v>121</v>
      </c>
      <c r="R10" s="87"/>
      <c r="S10" s="87"/>
      <c r="T10" s="87"/>
      <c r="U10" s="87" t="str">
        <f t="shared" si="5"/>
        <v>l-if-sastsol01-nic</v>
      </c>
      <c r="V10" s="87" t="b">
        <v>1</v>
      </c>
      <c r="W10" s="87" t="b">
        <v>1</v>
      </c>
      <c r="X10" s="87" t="s">
        <v>144</v>
      </c>
      <c r="Y10" s="87" t="s">
        <v>138</v>
      </c>
      <c r="Z10" s="87" t="s">
        <v>171</v>
      </c>
      <c r="AA10" s="87" t="b">
        <v>1</v>
      </c>
      <c r="AB10" s="87" t="s">
        <v>144</v>
      </c>
      <c r="AC10" s="87" t="s">
        <v>145</v>
      </c>
      <c r="AD10" s="96">
        <v>1</v>
      </c>
      <c r="AE10" s="87"/>
      <c r="AF10" s="87"/>
    </row>
    <row r="11" spans="1:32" x14ac:dyDescent="0.3">
      <c r="A11" s="83"/>
      <c r="B11" s="87" t="s">
        <v>194</v>
      </c>
      <c r="C11" s="87"/>
      <c r="D11" s="87" t="s">
        <v>144</v>
      </c>
      <c r="E11" s="87" t="s">
        <v>24</v>
      </c>
      <c r="F11" s="87" t="s">
        <v>214</v>
      </c>
      <c r="G11" s="87" t="s">
        <v>218</v>
      </c>
      <c r="H11" s="87" t="s">
        <v>202</v>
      </c>
      <c r="I11" s="87">
        <v>2</v>
      </c>
      <c r="J11" s="87">
        <v>8</v>
      </c>
      <c r="K11" s="87" t="s">
        <v>122</v>
      </c>
      <c r="L11" s="93" t="s">
        <v>120</v>
      </c>
      <c r="M11" s="87" t="s">
        <v>173</v>
      </c>
      <c r="N11" s="1" t="s">
        <v>232</v>
      </c>
      <c r="O11" s="95" t="str">
        <f t="shared" si="4"/>
        <v>az-erdirect-host1-osdisk</v>
      </c>
      <c r="P11" s="96">
        <v>64</v>
      </c>
      <c r="Q11" s="97" t="s">
        <v>121</v>
      </c>
      <c r="R11" s="87"/>
      <c r="S11" s="87"/>
      <c r="T11" s="87"/>
      <c r="U11" s="87" t="str">
        <f t="shared" si="5"/>
        <v>az-erdirect-host1-nic</v>
      </c>
      <c r="V11" s="87" t="b">
        <v>1</v>
      </c>
      <c r="W11" s="87" t="b">
        <v>1</v>
      </c>
      <c r="X11" s="87" t="s">
        <v>144</v>
      </c>
      <c r="Y11" s="68" t="s">
        <v>138</v>
      </c>
      <c r="Z11" s="68" t="s">
        <v>222</v>
      </c>
      <c r="AA11" s="87" t="b">
        <v>1</v>
      </c>
      <c r="AB11" s="87" t="s">
        <v>144</v>
      </c>
      <c r="AC11" s="87" t="s">
        <v>145</v>
      </c>
      <c r="AD11" s="96">
        <v>1</v>
      </c>
      <c r="AE11" s="87"/>
      <c r="AF11" s="87"/>
    </row>
    <row r="12" spans="1:32" x14ac:dyDescent="0.3">
      <c r="A12" s="83"/>
      <c r="B12" s="87" t="s">
        <v>194</v>
      </c>
      <c r="C12" s="87" t="s">
        <v>213</v>
      </c>
      <c r="D12" s="87" t="s">
        <v>144</v>
      </c>
      <c r="E12" s="87" t="s">
        <v>24</v>
      </c>
      <c r="F12" s="87" t="s">
        <v>216</v>
      </c>
      <c r="G12" s="87" t="s">
        <v>219</v>
      </c>
      <c r="H12" s="87" t="s">
        <v>202</v>
      </c>
      <c r="I12" s="87">
        <v>2</v>
      </c>
      <c r="J12" s="87">
        <v>8</v>
      </c>
      <c r="K12" s="87" t="s">
        <v>122</v>
      </c>
      <c r="L12" s="93" t="s">
        <v>120</v>
      </c>
      <c r="M12" s="87" t="s">
        <v>173</v>
      </c>
      <c r="N12" s="1" t="s">
        <v>232</v>
      </c>
      <c r="O12" s="95" t="str">
        <f t="shared" si="4"/>
        <v>az-erdirect-host2-osdisk</v>
      </c>
      <c r="P12" s="96">
        <v>64</v>
      </c>
      <c r="Q12" s="97" t="s">
        <v>121</v>
      </c>
      <c r="R12" s="87"/>
      <c r="S12" s="87"/>
      <c r="T12" s="87"/>
      <c r="U12" s="87" t="str">
        <f t="shared" si="5"/>
        <v>az-erdirect-host2-nic</v>
      </c>
      <c r="V12" s="87" t="b">
        <v>1</v>
      </c>
      <c r="W12" s="87" t="b">
        <v>1</v>
      </c>
      <c r="X12" s="87" t="s">
        <v>144</v>
      </c>
      <c r="Y12" s="87" t="s">
        <v>138</v>
      </c>
      <c r="Z12" s="87" t="s">
        <v>222</v>
      </c>
      <c r="AA12" s="87" t="b">
        <v>1</v>
      </c>
      <c r="AB12" s="87" t="s">
        <v>144</v>
      </c>
      <c r="AC12" s="87" t="s">
        <v>145</v>
      </c>
      <c r="AD12" s="96">
        <v>1</v>
      </c>
      <c r="AE12" s="87"/>
      <c r="AF12" s="87"/>
    </row>
    <row r="13" spans="1:32" x14ac:dyDescent="0.3">
      <c r="A13" s="83"/>
      <c r="B13" s="87" t="s">
        <v>194</v>
      </c>
      <c r="C13" s="87" t="s">
        <v>213</v>
      </c>
      <c r="D13" s="87" t="s">
        <v>144</v>
      </c>
      <c r="E13" s="87" t="s">
        <v>24</v>
      </c>
      <c r="F13" s="87" t="s">
        <v>215</v>
      </c>
      <c r="G13" s="87" t="s">
        <v>220</v>
      </c>
      <c r="H13" s="87" t="s">
        <v>202</v>
      </c>
      <c r="I13" s="87">
        <v>2</v>
      </c>
      <c r="J13" s="87">
        <v>8</v>
      </c>
      <c r="K13" s="87" t="s">
        <v>122</v>
      </c>
      <c r="L13" s="93" t="s">
        <v>120</v>
      </c>
      <c r="M13" s="87" t="s">
        <v>173</v>
      </c>
      <c r="N13" s="1" t="s">
        <v>232</v>
      </c>
      <c r="O13" s="95" t="str">
        <f t="shared" si="4"/>
        <v>az-erdirect-host3-osdisk</v>
      </c>
      <c r="P13" s="96">
        <v>64</v>
      </c>
      <c r="Q13" s="97" t="s">
        <v>121</v>
      </c>
      <c r="R13" s="87"/>
      <c r="S13" s="87"/>
      <c r="T13" s="87"/>
      <c r="U13" s="87" t="str">
        <f t="shared" si="5"/>
        <v>az-erdirect-host3-nic</v>
      </c>
      <c r="V13" s="87" t="b">
        <v>1</v>
      </c>
      <c r="W13" s="87" t="b">
        <v>1</v>
      </c>
      <c r="X13" s="87" t="s">
        <v>144</v>
      </c>
      <c r="Y13" s="68" t="s">
        <v>138</v>
      </c>
      <c r="Z13" s="68" t="s">
        <v>222</v>
      </c>
      <c r="AA13" s="87" t="b">
        <v>1</v>
      </c>
      <c r="AB13" s="87" t="s">
        <v>144</v>
      </c>
      <c r="AC13" s="87" t="s">
        <v>145</v>
      </c>
      <c r="AD13" s="96">
        <v>1</v>
      </c>
      <c r="AE13" s="87"/>
      <c r="AF13" s="87"/>
    </row>
    <row r="14" spans="1:32" x14ac:dyDescent="0.3">
      <c r="A14" s="83"/>
      <c r="B14" s="87" t="s">
        <v>194</v>
      </c>
      <c r="C14" s="87" t="s">
        <v>213</v>
      </c>
      <c r="D14" s="87" t="s">
        <v>144</v>
      </c>
      <c r="E14" s="87" t="s">
        <v>24</v>
      </c>
      <c r="F14" s="87" t="s">
        <v>217</v>
      </c>
      <c r="G14" s="87" t="s">
        <v>221</v>
      </c>
      <c r="H14" s="87" t="s">
        <v>202</v>
      </c>
      <c r="I14" s="87">
        <v>2</v>
      </c>
      <c r="J14" s="87">
        <v>8</v>
      </c>
      <c r="K14" s="87" t="s">
        <v>122</v>
      </c>
      <c r="L14" s="93" t="s">
        <v>120</v>
      </c>
      <c r="M14" s="87" t="s">
        <v>173</v>
      </c>
      <c r="N14" s="1" t="s">
        <v>232</v>
      </c>
      <c r="O14" s="95" t="str">
        <f t="shared" si="4"/>
        <v>az-erdirect-host4-osdisk</v>
      </c>
      <c r="P14" s="96">
        <v>64</v>
      </c>
      <c r="Q14" s="97" t="s">
        <v>121</v>
      </c>
      <c r="R14" s="87"/>
      <c r="S14" s="87"/>
      <c r="T14" s="87"/>
      <c r="U14" s="87" t="str">
        <f t="shared" si="5"/>
        <v>az-erdirect-host4-nic</v>
      </c>
      <c r="V14" s="87" t="b">
        <v>1</v>
      </c>
      <c r="W14" s="87" t="b">
        <v>1</v>
      </c>
      <c r="X14" s="87" t="s">
        <v>144</v>
      </c>
      <c r="Y14" s="87" t="s">
        <v>138</v>
      </c>
      <c r="Z14" s="87" t="s">
        <v>222</v>
      </c>
      <c r="AA14" s="87" t="b">
        <v>1</v>
      </c>
      <c r="AB14" s="87" t="s">
        <v>144</v>
      </c>
      <c r="AC14" s="87" t="s">
        <v>145</v>
      </c>
      <c r="AD14" s="96">
        <v>1</v>
      </c>
      <c r="AE14" s="87"/>
      <c r="AF14" s="87"/>
    </row>
    <row r="15" spans="1:32" x14ac:dyDescent="0.3">
      <c r="A15" s="83"/>
      <c r="B15" s="68" t="s">
        <v>194</v>
      </c>
      <c r="C15" s="68" t="s">
        <v>213</v>
      </c>
      <c r="D15" s="87" t="s">
        <v>144</v>
      </c>
      <c r="E15" s="87" t="s">
        <v>24</v>
      </c>
      <c r="F15" s="68" t="s">
        <v>224</v>
      </c>
      <c r="G15" s="68" t="s">
        <v>231</v>
      </c>
      <c r="H15" s="87" t="s">
        <v>202</v>
      </c>
      <c r="I15" s="87">
        <v>2</v>
      </c>
      <c r="J15" s="87">
        <v>8</v>
      </c>
      <c r="K15" s="87" t="s">
        <v>122</v>
      </c>
      <c r="L15" s="93" t="s">
        <v>120</v>
      </c>
      <c r="M15" s="87" t="s">
        <v>173</v>
      </c>
      <c r="N15" s="1" t="s">
        <v>232</v>
      </c>
      <c r="O15" s="103" t="str">
        <f t="shared" ref="O15:O18" si="6">SUBSTITUTE(F15,"hazr-","")&amp;"-osdisk"</f>
        <v>az-grayzone-host1-osdisk</v>
      </c>
      <c r="P15" s="96">
        <v>64</v>
      </c>
      <c r="Q15" s="97" t="s">
        <v>121</v>
      </c>
      <c r="R15" s="68"/>
      <c r="S15" s="68"/>
      <c r="T15" s="68"/>
      <c r="U15" s="68" t="str">
        <f t="shared" ref="U15:U18" si="7">SUBSTITUTE(F15,"hazr-","")&amp;"-nic"</f>
        <v>az-grayzone-host1-nic</v>
      </c>
      <c r="V15" s="87" t="b">
        <v>1</v>
      </c>
      <c r="W15" s="87" t="b">
        <v>1</v>
      </c>
      <c r="X15" s="87" t="s">
        <v>144</v>
      </c>
      <c r="Y15" s="68" t="s">
        <v>138</v>
      </c>
      <c r="Z15" s="68" t="s">
        <v>171</v>
      </c>
      <c r="AA15" s="87" t="b">
        <v>1</v>
      </c>
      <c r="AB15" s="87" t="s">
        <v>144</v>
      </c>
      <c r="AC15" s="87" t="s">
        <v>145</v>
      </c>
      <c r="AD15" s="96">
        <v>1</v>
      </c>
      <c r="AE15" s="68"/>
      <c r="AF15" s="68"/>
    </row>
    <row r="16" spans="1:32" x14ac:dyDescent="0.3">
      <c r="A16" s="83"/>
      <c r="B16" s="68" t="s">
        <v>194</v>
      </c>
      <c r="C16" s="68" t="s">
        <v>213</v>
      </c>
      <c r="D16" s="87" t="s">
        <v>144</v>
      </c>
      <c r="E16" s="87" t="s">
        <v>24</v>
      </c>
      <c r="F16" s="68" t="s">
        <v>225</v>
      </c>
      <c r="G16" s="68" t="s">
        <v>228</v>
      </c>
      <c r="H16" s="87" t="s">
        <v>202</v>
      </c>
      <c r="I16" s="87">
        <v>2</v>
      </c>
      <c r="J16" s="87">
        <v>8</v>
      </c>
      <c r="K16" s="87" t="s">
        <v>122</v>
      </c>
      <c r="L16" s="93" t="s">
        <v>120</v>
      </c>
      <c r="M16" s="87" t="s">
        <v>173</v>
      </c>
      <c r="N16" s="1" t="s">
        <v>232</v>
      </c>
      <c r="O16" s="103" t="str">
        <f t="shared" si="6"/>
        <v>az-grayzone-host2-osdisk</v>
      </c>
      <c r="P16" s="96">
        <v>64</v>
      </c>
      <c r="Q16" s="97" t="s">
        <v>121</v>
      </c>
      <c r="R16" s="68"/>
      <c r="S16" s="68"/>
      <c r="T16" s="68"/>
      <c r="U16" s="68" t="str">
        <f t="shared" si="7"/>
        <v>az-grayzone-host2-nic</v>
      </c>
      <c r="V16" s="87" t="b">
        <v>1</v>
      </c>
      <c r="W16" s="87" t="b">
        <v>1</v>
      </c>
      <c r="X16" s="87" t="s">
        <v>144</v>
      </c>
      <c r="Y16" s="87" t="s">
        <v>138</v>
      </c>
      <c r="Z16" s="87" t="s">
        <v>171</v>
      </c>
      <c r="AA16" s="87" t="b">
        <v>1</v>
      </c>
      <c r="AB16" s="87" t="s">
        <v>144</v>
      </c>
      <c r="AC16" s="87" t="s">
        <v>145</v>
      </c>
      <c r="AD16" s="96">
        <v>1</v>
      </c>
      <c r="AE16" s="68"/>
      <c r="AF16" s="68"/>
    </row>
    <row r="17" spans="1:32" x14ac:dyDescent="0.3">
      <c r="A17" s="83"/>
      <c r="B17" s="68" t="s">
        <v>194</v>
      </c>
      <c r="C17" s="68" t="s">
        <v>213</v>
      </c>
      <c r="D17" s="87" t="s">
        <v>144</v>
      </c>
      <c r="E17" s="87" t="s">
        <v>24</v>
      </c>
      <c r="F17" s="68" t="s">
        <v>226</v>
      </c>
      <c r="G17" s="68" t="s">
        <v>229</v>
      </c>
      <c r="H17" s="87" t="s">
        <v>202</v>
      </c>
      <c r="I17" s="87">
        <v>2</v>
      </c>
      <c r="J17" s="87">
        <v>8</v>
      </c>
      <c r="K17" s="87" t="s">
        <v>122</v>
      </c>
      <c r="L17" s="93" t="s">
        <v>120</v>
      </c>
      <c r="M17" s="87" t="s">
        <v>173</v>
      </c>
      <c r="N17" s="1" t="s">
        <v>232</v>
      </c>
      <c r="O17" s="103" t="str">
        <f t="shared" si="6"/>
        <v>az-grayzone-host3-osdisk</v>
      </c>
      <c r="P17" s="96">
        <v>64</v>
      </c>
      <c r="Q17" s="97" t="s">
        <v>121</v>
      </c>
      <c r="R17" s="68"/>
      <c r="S17" s="68"/>
      <c r="T17" s="68"/>
      <c r="U17" s="68" t="str">
        <f t="shared" si="7"/>
        <v>az-grayzone-host3-nic</v>
      </c>
      <c r="V17" s="87" t="b">
        <v>1</v>
      </c>
      <c r="W17" s="87" t="b">
        <v>1</v>
      </c>
      <c r="X17" s="87" t="s">
        <v>144</v>
      </c>
      <c r="Y17" s="68" t="s">
        <v>138</v>
      </c>
      <c r="Z17" s="68" t="s">
        <v>171</v>
      </c>
      <c r="AA17" s="87" t="b">
        <v>1</v>
      </c>
      <c r="AB17" s="87" t="s">
        <v>144</v>
      </c>
      <c r="AC17" s="87" t="s">
        <v>145</v>
      </c>
      <c r="AD17" s="96">
        <v>1</v>
      </c>
      <c r="AE17" s="68"/>
      <c r="AF17" s="68"/>
    </row>
    <row r="18" spans="1:32" x14ac:dyDescent="0.3">
      <c r="A18" s="83"/>
      <c r="B18" s="87" t="s">
        <v>194</v>
      </c>
      <c r="C18" s="87" t="s">
        <v>213</v>
      </c>
      <c r="D18" s="87" t="s">
        <v>144</v>
      </c>
      <c r="E18" s="87" t="s">
        <v>24</v>
      </c>
      <c r="F18" s="87" t="s">
        <v>227</v>
      </c>
      <c r="G18" s="87" t="s">
        <v>230</v>
      </c>
      <c r="H18" s="87" t="s">
        <v>202</v>
      </c>
      <c r="I18" s="87">
        <v>2</v>
      </c>
      <c r="J18" s="87">
        <v>8</v>
      </c>
      <c r="K18" s="87" t="s">
        <v>122</v>
      </c>
      <c r="L18" s="93" t="s">
        <v>120</v>
      </c>
      <c r="M18" s="87" t="s">
        <v>173</v>
      </c>
      <c r="N18" s="1" t="s">
        <v>232</v>
      </c>
      <c r="O18" s="95" t="str">
        <f t="shared" si="6"/>
        <v>az-grayzone-host4-osdisk</v>
      </c>
      <c r="P18" s="96">
        <v>64</v>
      </c>
      <c r="Q18" s="97" t="s">
        <v>121</v>
      </c>
      <c r="R18" s="87"/>
      <c r="S18" s="87"/>
      <c r="T18" s="87"/>
      <c r="U18" s="87" t="str">
        <f t="shared" si="7"/>
        <v>az-grayzone-host4-nic</v>
      </c>
      <c r="V18" s="87" t="b">
        <v>1</v>
      </c>
      <c r="W18" s="87" t="b">
        <v>1</v>
      </c>
      <c r="X18" s="87" t="s">
        <v>144</v>
      </c>
      <c r="Y18" s="87" t="s">
        <v>138</v>
      </c>
      <c r="Z18" s="87" t="s">
        <v>171</v>
      </c>
      <c r="AA18" s="87" t="b">
        <v>1</v>
      </c>
      <c r="AB18" s="87" t="s">
        <v>144</v>
      </c>
      <c r="AC18" s="87" t="s">
        <v>145</v>
      </c>
      <c r="AD18" s="96">
        <v>1</v>
      </c>
      <c r="AE18" s="87"/>
      <c r="AF18" s="87"/>
    </row>
    <row r="19" spans="1:32" x14ac:dyDescent="0.3">
      <c r="B19" s="87" t="s">
        <v>194</v>
      </c>
      <c r="C19" s="87" t="str" cm="1">
        <f t="array" ref="C19">UPPER(INDEX(_xlfn.TEXTSPLIT($F19, "-"), 3))</f>
        <v>SEC</v>
      </c>
      <c r="D19" s="87" t="s">
        <v>181</v>
      </c>
      <c r="E19" s="87" t="s">
        <v>24</v>
      </c>
      <c r="F19" s="87" t="s">
        <v>233</v>
      </c>
      <c r="G19" s="87" t="s">
        <v>238</v>
      </c>
      <c r="H19" s="87" t="s">
        <v>236</v>
      </c>
      <c r="I19" s="87">
        <v>8</v>
      </c>
      <c r="J19" s="87">
        <v>32</v>
      </c>
      <c r="K19" s="87" t="s">
        <v>122</v>
      </c>
      <c r="L19" s="93" t="s">
        <v>120</v>
      </c>
      <c r="M19" s="87" t="s">
        <v>186</v>
      </c>
      <c r="N19" s="94" t="s">
        <v>174</v>
      </c>
      <c r="O19" s="95" t="str">
        <f>SUBSTITUTE(F19,"hazr-","")&amp;"-osdisk"</f>
        <v>l-sec-docams01-osdisk</v>
      </c>
      <c r="P19" s="96">
        <v>128</v>
      </c>
      <c r="Q19" s="97" t="s">
        <v>121</v>
      </c>
      <c r="R19" s="87"/>
      <c r="S19" s="87"/>
      <c r="T19" s="87"/>
      <c r="U19" s="87" t="str">
        <f>SUBSTITUTE(F19,"hazr-","")&amp;"-nic"</f>
        <v>l-sec-docams01-nic</v>
      </c>
      <c r="V19" s="87" t="b">
        <v>1</v>
      </c>
      <c r="W19" s="87" t="b">
        <v>1</v>
      </c>
      <c r="X19" s="87" t="s">
        <v>181</v>
      </c>
      <c r="Y19" s="87" t="s">
        <v>187</v>
      </c>
      <c r="Z19" s="87" t="s">
        <v>188</v>
      </c>
      <c r="AA19" s="87" t="b">
        <v>1</v>
      </c>
      <c r="AB19" s="87" t="s">
        <v>181</v>
      </c>
      <c r="AC19" s="87" t="s">
        <v>189</v>
      </c>
      <c r="AD19" s="96">
        <v>1</v>
      </c>
      <c r="AE19" s="87"/>
      <c r="AF19" s="87"/>
    </row>
    <row r="20" spans="1:32" x14ac:dyDescent="0.3">
      <c r="B20" s="87" t="s">
        <v>194</v>
      </c>
      <c r="C20" s="87" t="str" cm="1">
        <f t="array" ref="C20">UPPER(INDEX(_xlfn.TEXTSPLIT($F20, "-"), 3))</f>
        <v>SEC</v>
      </c>
      <c r="D20" s="87" t="s">
        <v>181</v>
      </c>
      <c r="E20" s="87" t="s">
        <v>24</v>
      </c>
      <c r="F20" s="68" t="s">
        <v>234</v>
      </c>
      <c r="G20" s="68" t="s">
        <v>239</v>
      </c>
      <c r="H20" s="68" t="s">
        <v>237</v>
      </c>
      <c r="I20" s="68">
        <v>16</v>
      </c>
      <c r="J20" s="68">
        <v>32</v>
      </c>
      <c r="K20" s="68" t="s">
        <v>122</v>
      </c>
      <c r="L20" s="104" t="s">
        <v>120</v>
      </c>
      <c r="M20" s="68" t="s">
        <v>186</v>
      </c>
      <c r="N20" s="105" t="s">
        <v>174</v>
      </c>
      <c r="O20" s="103" t="str">
        <f t="shared" ref="O20:O21" si="8">SUBSTITUTE(F20,"hazr-","")&amp;"-osdisk"</f>
        <v>l-sec-docsol01-osdisk</v>
      </c>
      <c r="P20" s="74">
        <v>128</v>
      </c>
      <c r="Q20" s="80" t="s">
        <v>121</v>
      </c>
      <c r="R20" s="68"/>
      <c r="S20" s="68"/>
      <c r="T20" s="68"/>
      <c r="U20" s="68" t="str">
        <f t="shared" ref="U20:U21" si="9">SUBSTITUTE(F20,"hazr-","")&amp;"-nic"</f>
        <v>l-sec-docsol01-nic</v>
      </c>
      <c r="V20" s="68" t="b">
        <v>1</v>
      </c>
      <c r="W20" s="68"/>
      <c r="X20" s="68" t="s">
        <v>181</v>
      </c>
      <c r="Y20" s="68" t="s">
        <v>187</v>
      </c>
      <c r="Z20" s="68" t="s">
        <v>188</v>
      </c>
      <c r="AA20" s="87" t="b">
        <v>1</v>
      </c>
      <c r="AB20" s="87" t="s">
        <v>181</v>
      </c>
      <c r="AC20" s="87" t="s">
        <v>189</v>
      </c>
      <c r="AD20" s="74">
        <v>1</v>
      </c>
      <c r="AE20" s="68"/>
      <c r="AF20" s="68"/>
    </row>
    <row r="21" spans="1:32" x14ac:dyDescent="0.3">
      <c r="B21" s="87" t="s">
        <v>194</v>
      </c>
      <c r="C21" s="87" t="str" cm="1">
        <f t="array" ref="C21">UPPER(INDEX(_xlfn.TEXTSPLIT($F21, "-"), 3))</f>
        <v>SEC</v>
      </c>
      <c r="D21" s="87" t="s">
        <v>181</v>
      </c>
      <c r="E21" s="87" t="s">
        <v>24</v>
      </c>
      <c r="F21" s="68" t="s">
        <v>235</v>
      </c>
      <c r="G21" s="68" t="s">
        <v>240</v>
      </c>
      <c r="H21" s="68" t="s">
        <v>237</v>
      </c>
      <c r="I21" s="68">
        <v>16</v>
      </c>
      <c r="J21" s="68">
        <v>32</v>
      </c>
      <c r="K21" s="68" t="s">
        <v>122</v>
      </c>
      <c r="L21" s="104" t="s">
        <v>120</v>
      </c>
      <c r="M21" s="68" t="s">
        <v>186</v>
      </c>
      <c r="N21" s="105" t="s">
        <v>174</v>
      </c>
      <c r="O21" s="103" t="str">
        <f t="shared" si="8"/>
        <v>l-sec-docsol02-osdisk</v>
      </c>
      <c r="P21" s="74">
        <v>128</v>
      </c>
      <c r="Q21" s="80" t="s">
        <v>121</v>
      </c>
      <c r="R21" s="68"/>
      <c r="S21" s="68"/>
      <c r="T21" s="68"/>
      <c r="U21" s="68" t="str">
        <f t="shared" si="9"/>
        <v>l-sec-docsol02-nic</v>
      </c>
      <c r="V21" s="68" t="b">
        <v>1</v>
      </c>
      <c r="W21" s="87" t="b">
        <v>1</v>
      </c>
      <c r="X21" s="68" t="s">
        <v>181</v>
      </c>
      <c r="Y21" s="68" t="s">
        <v>187</v>
      </c>
      <c r="Z21" s="68" t="s">
        <v>188</v>
      </c>
      <c r="AA21" s="87" t="b">
        <v>1</v>
      </c>
      <c r="AB21" s="87" t="s">
        <v>181</v>
      </c>
      <c r="AC21" s="87" t="s">
        <v>189</v>
      </c>
      <c r="AD21" s="74">
        <v>2</v>
      </c>
      <c r="AE21" s="68"/>
      <c r="AF21" s="68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4" sqref="A4:XFD4"/>
    </sheetView>
  </sheetViews>
  <sheetFormatPr defaultRowHeight="16.5" x14ac:dyDescent="0.3"/>
  <cols>
    <col min="1" max="1" width="1.25" style="69" customWidth="1"/>
    <col min="2" max="2" width="6.75" style="69" bestFit="1" customWidth="1"/>
    <col min="3" max="3" width="9.375" style="69" bestFit="1" customWidth="1"/>
    <col min="4" max="4" width="17.625" style="69" bestFit="1" customWidth="1"/>
    <col min="5" max="5" width="17.625" style="69" customWidth="1"/>
    <col min="6" max="6" width="19.875" style="69" bestFit="1" customWidth="1"/>
    <col min="7" max="7" width="21.5" style="69" bestFit="1" customWidth="1"/>
    <col min="8" max="8" width="26" style="69" bestFit="1" customWidth="1"/>
    <col min="9" max="9" width="12.5" style="69" bestFit="1" customWidth="1"/>
    <col min="10" max="10" width="21.5" style="69" bestFit="1" customWidth="1"/>
    <col min="11" max="11" width="15" style="69" bestFit="1" customWidth="1"/>
    <col min="12" max="14" width="14.125" style="69" customWidth="1"/>
    <col min="15" max="15" width="15.625" style="69" bestFit="1" customWidth="1"/>
    <col min="16" max="16" width="21.125" style="69" bestFit="1" customWidth="1"/>
    <col min="17" max="17" width="14.125" style="69" customWidth="1"/>
    <col min="18" max="18" width="33.75" bestFit="1" customWidth="1"/>
  </cols>
  <sheetData>
    <row r="1" spans="1:18" x14ac:dyDescent="0.3">
      <c r="A1" s="88"/>
      <c r="B1" s="70" t="s">
        <v>0</v>
      </c>
      <c r="C1" s="70" t="s">
        <v>1</v>
      </c>
      <c r="D1" s="66" t="s">
        <v>2</v>
      </c>
      <c r="E1" s="66" t="s">
        <v>3</v>
      </c>
      <c r="F1" s="66" t="s">
        <v>123</v>
      </c>
      <c r="G1" s="66" t="s">
        <v>125</v>
      </c>
      <c r="H1" s="66" t="s">
        <v>127</v>
      </c>
      <c r="I1" s="66" t="s">
        <v>128</v>
      </c>
      <c r="J1" s="66" t="s">
        <v>126</v>
      </c>
      <c r="K1" s="66" t="s">
        <v>129</v>
      </c>
      <c r="L1" s="66" t="s">
        <v>130</v>
      </c>
      <c r="M1" s="66" t="s">
        <v>124</v>
      </c>
      <c r="N1" s="66" t="s">
        <v>132</v>
      </c>
      <c r="O1" s="66" t="s">
        <v>134</v>
      </c>
      <c r="P1" s="66" t="s">
        <v>119</v>
      </c>
      <c r="Q1" s="66" t="s">
        <v>131</v>
      </c>
      <c r="R1" s="70" t="s">
        <v>78</v>
      </c>
    </row>
    <row r="2" spans="1:18" x14ac:dyDescent="0.3">
      <c r="A2" s="91"/>
      <c r="B2" s="67" t="s">
        <v>194</v>
      </c>
      <c r="C2" s="67" t="str" cm="1">
        <f t="array" ref="C2">UPPER(INDEX(_xlfn.TEXTSPLIT($D2, "-"), 3))</f>
        <v>MON</v>
      </c>
      <c r="D2" s="72" t="s">
        <v>152</v>
      </c>
      <c r="E2" s="79" t="s">
        <v>24</v>
      </c>
      <c r="F2" s="67" t="s">
        <v>143</v>
      </c>
      <c r="G2" s="67" t="s">
        <v>160</v>
      </c>
      <c r="H2" s="67" t="s">
        <v>121</v>
      </c>
      <c r="I2" s="67">
        <v>1024</v>
      </c>
      <c r="J2" s="67" t="s">
        <v>161</v>
      </c>
      <c r="K2" s="67" t="s">
        <v>121</v>
      </c>
      <c r="L2" s="67">
        <v>128</v>
      </c>
      <c r="M2" s="72">
        <v>1</v>
      </c>
      <c r="N2" s="67" t="s">
        <v>133</v>
      </c>
      <c r="O2" s="67" t="s">
        <v>144</v>
      </c>
      <c r="P2" s="67" t="s">
        <v>145</v>
      </c>
      <c r="Q2" s="67" t="b">
        <v>1</v>
      </c>
      <c r="R2" s="67"/>
    </row>
    <row r="3" spans="1:18" x14ac:dyDescent="0.3">
      <c r="A3" s="91"/>
      <c r="B3" s="68" t="s">
        <v>194</v>
      </c>
      <c r="C3" s="68" t="str" cm="1">
        <f t="array" ref="C3">UPPER(INDEX(_xlfn.TEXTSPLIT($D3, "-"), 3))</f>
        <v>MON</v>
      </c>
      <c r="D3" s="74" t="s">
        <v>152</v>
      </c>
      <c r="E3" s="80" t="s">
        <v>24</v>
      </c>
      <c r="F3" s="68" t="s">
        <v>142</v>
      </c>
      <c r="G3" s="68" t="s">
        <v>162</v>
      </c>
      <c r="H3" s="68" t="s">
        <v>121</v>
      </c>
      <c r="I3" s="68">
        <v>1024</v>
      </c>
      <c r="J3" s="68" t="s">
        <v>163</v>
      </c>
      <c r="K3" s="68" t="s">
        <v>121</v>
      </c>
      <c r="L3" s="68">
        <v>128</v>
      </c>
      <c r="M3" s="74">
        <v>2</v>
      </c>
      <c r="N3" s="68" t="s">
        <v>133</v>
      </c>
      <c r="O3" s="68" t="s">
        <v>144</v>
      </c>
      <c r="P3" s="68" t="s">
        <v>145</v>
      </c>
      <c r="Q3" s="68" t="b">
        <v>1</v>
      </c>
      <c r="R3" s="68"/>
    </row>
    <row r="4" spans="1:18" x14ac:dyDescent="0.3">
      <c r="A4" s="91"/>
      <c r="B4" s="68" t="s">
        <v>194</v>
      </c>
      <c r="C4" s="68" t="str" cm="1">
        <f t="array" ref="C4">UPPER(INDEX(_xlfn.TEXTSPLIT($F4, "-"), 3))</f>
        <v>COM</v>
      </c>
      <c r="D4" s="74" t="s">
        <v>144</v>
      </c>
      <c r="E4" s="80" t="s">
        <v>24</v>
      </c>
      <c r="F4" s="68" t="s">
        <v>150</v>
      </c>
      <c r="G4" s="68" t="s">
        <v>164</v>
      </c>
      <c r="H4" s="68" t="s">
        <v>159</v>
      </c>
      <c r="I4" s="68">
        <v>128</v>
      </c>
      <c r="J4" s="68" t="s">
        <v>165</v>
      </c>
      <c r="K4" s="68" t="s">
        <v>121</v>
      </c>
      <c r="L4" s="68">
        <v>128</v>
      </c>
      <c r="M4" s="74">
        <v>1</v>
      </c>
      <c r="N4" s="68" t="s">
        <v>133</v>
      </c>
      <c r="O4" s="68" t="s">
        <v>144</v>
      </c>
      <c r="P4" s="68" t="s">
        <v>145</v>
      </c>
      <c r="Q4" s="68" t="b">
        <v>1</v>
      </c>
      <c r="R4" s="68"/>
    </row>
    <row r="5" spans="1:18" x14ac:dyDescent="0.3">
      <c r="A5" s="91"/>
      <c r="B5" s="67" t="s">
        <v>194</v>
      </c>
      <c r="C5" s="100" t="str" cm="1">
        <f t="array" ref="C5">UPPER(INDEX(_xlfn.TEXTSPLIT($F5, "-"), 3))</f>
        <v>COM</v>
      </c>
      <c r="D5" s="72" t="s">
        <v>144</v>
      </c>
      <c r="E5" s="79" t="s">
        <v>24</v>
      </c>
      <c r="F5" s="67" t="s">
        <v>151</v>
      </c>
      <c r="G5" s="67" t="s">
        <v>166</v>
      </c>
      <c r="H5" s="67" t="s">
        <v>121</v>
      </c>
      <c r="I5" s="67">
        <v>128</v>
      </c>
      <c r="J5" s="67" t="s">
        <v>167</v>
      </c>
      <c r="K5" s="67" t="s">
        <v>121</v>
      </c>
      <c r="L5" s="67">
        <v>128</v>
      </c>
      <c r="M5" s="72">
        <v>1</v>
      </c>
      <c r="N5" s="67" t="s">
        <v>133</v>
      </c>
      <c r="O5" s="67" t="s">
        <v>144</v>
      </c>
      <c r="P5" s="67" t="s">
        <v>145</v>
      </c>
      <c r="Q5" s="67" t="b">
        <v>1</v>
      </c>
      <c r="R5" s="67"/>
    </row>
    <row r="6" spans="1:18" x14ac:dyDescent="0.3">
      <c r="A6" s="91"/>
      <c r="B6" s="68" t="s">
        <v>194</v>
      </c>
      <c r="C6" s="68" t="str" cm="1">
        <f t="array" ref="C6">UPPER(INDEX(_xlfn.TEXTSPLIT($F6, "-"), 3))</f>
        <v>SEC</v>
      </c>
      <c r="D6" s="74" t="s">
        <v>181</v>
      </c>
      <c r="E6" s="80" t="s">
        <v>24</v>
      </c>
      <c r="F6" s="98" t="s">
        <v>182</v>
      </c>
      <c r="G6" s="68" t="s">
        <v>190</v>
      </c>
      <c r="H6" s="68" t="s">
        <v>121</v>
      </c>
      <c r="I6" s="68">
        <v>128</v>
      </c>
      <c r="J6" s="68" t="s">
        <v>191</v>
      </c>
      <c r="K6" s="68" t="s">
        <v>121</v>
      </c>
      <c r="L6" s="68">
        <v>256</v>
      </c>
      <c r="M6" s="74">
        <v>1</v>
      </c>
      <c r="N6" s="68" t="s">
        <v>133</v>
      </c>
      <c r="O6" s="68" t="s">
        <v>181</v>
      </c>
      <c r="P6" s="68" t="s">
        <v>189</v>
      </c>
      <c r="Q6" s="68" t="b">
        <v>1</v>
      </c>
      <c r="R6" s="68"/>
    </row>
    <row r="7" spans="1:18" x14ac:dyDescent="0.3">
      <c r="A7" s="91"/>
      <c r="B7" s="100" t="s">
        <v>194</v>
      </c>
      <c r="C7" s="100" t="str" cm="1">
        <f t="array" ref="C7">UPPER(INDEX(_xlfn.TEXTSPLIT($F7, "-"), 3))</f>
        <v>SEC</v>
      </c>
      <c r="D7" s="101" t="s">
        <v>181</v>
      </c>
      <c r="E7" s="102" t="s">
        <v>24</v>
      </c>
      <c r="F7" s="100" t="s">
        <v>183</v>
      </c>
      <c r="G7" s="100" t="s">
        <v>192</v>
      </c>
      <c r="H7" s="100" t="s">
        <v>121</v>
      </c>
      <c r="I7" s="100">
        <v>128</v>
      </c>
      <c r="J7" s="100" t="s">
        <v>193</v>
      </c>
      <c r="K7" s="100" t="s">
        <v>121</v>
      </c>
      <c r="L7" s="100">
        <v>256</v>
      </c>
      <c r="M7" s="101">
        <v>1</v>
      </c>
      <c r="N7" s="100" t="s">
        <v>133</v>
      </c>
      <c r="O7" s="100" t="s">
        <v>181</v>
      </c>
      <c r="P7" s="100" t="s">
        <v>189</v>
      </c>
      <c r="Q7" s="100" t="b">
        <v>1</v>
      </c>
      <c r="R7" s="100"/>
    </row>
    <row r="8" spans="1:18" x14ac:dyDescent="0.3">
      <c r="A8" s="91"/>
      <c r="B8" s="68" t="s">
        <v>194</v>
      </c>
      <c r="C8" s="68" t="str" cm="1">
        <f t="array" ref="C8">UPPER(INDEX(_xlfn.TEXTSPLIT($F8, "-"), 3))</f>
        <v>COM</v>
      </c>
      <c r="D8" s="74" t="s">
        <v>144</v>
      </c>
      <c r="E8" s="68" t="s">
        <v>24</v>
      </c>
      <c r="F8" s="68" t="s">
        <v>195</v>
      </c>
      <c r="G8" s="74" t="s">
        <v>197</v>
      </c>
      <c r="H8" s="68" t="s">
        <v>121</v>
      </c>
      <c r="I8" s="68">
        <v>1024</v>
      </c>
      <c r="J8" s="74" t="s">
        <v>198</v>
      </c>
      <c r="K8" s="68" t="s">
        <v>121</v>
      </c>
      <c r="L8" s="68">
        <v>128</v>
      </c>
      <c r="M8" s="74">
        <v>1</v>
      </c>
      <c r="N8" s="68" t="s">
        <v>133</v>
      </c>
      <c r="O8" s="68" t="s">
        <v>144</v>
      </c>
      <c r="P8" s="74" t="s">
        <v>145</v>
      </c>
      <c r="Q8" s="68" t="b">
        <v>1</v>
      </c>
      <c r="R8" s="68"/>
    </row>
    <row r="9" spans="1:18" x14ac:dyDescent="0.3">
      <c r="A9" s="91"/>
      <c r="B9" s="100" t="s">
        <v>194</v>
      </c>
      <c r="C9" s="101" t="str" cm="1">
        <f t="array" ref="C9">UPPER(INDEX(_xlfn.TEXTSPLIT($F9, "-"), 3))</f>
        <v>IF</v>
      </c>
      <c r="D9" s="101" t="s">
        <v>144</v>
      </c>
      <c r="E9" s="102" t="s">
        <v>24</v>
      </c>
      <c r="F9" s="100" t="s">
        <v>200</v>
      </c>
      <c r="G9" s="100" t="s">
        <v>204</v>
      </c>
      <c r="H9" s="100" t="s">
        <v>121</v>
      </c>
      <c r="I9" s="100">
        <v>128</v>
      </c>
      <c r="J9" s="100" t="s">
        <v>205</v>
      </c>
      <c r="K9" s="100" t="s">
        <v>121</v>
      </c>
      <c r="L9" s="100">
        <v>128</v>
      </c>
      <c r="M9" s="101">
        <v>1</v>
      </c>
      <c r="N9" s="100" t="s">
        <v>133</v>
      </c>
      <c r="O9" s="100" t="s">
        <v>144</v>
      </c>
      <c r="P9" s="100" t="s">
        <v>145</v>
      </c>
      <c r="Q9" s="100" t="b">
        <v>1</v>
      </c>
      <c r="R9" s="100"/>
    </row>
    <row r="10" spans="1:18" x14ac:dyDescent="0.3">
      <c r="A10" s="91"/>
      <c r="B10" s="68" t="s">
        <v>194</v>
      </c>
      <c r="C10" s="68" t="str" cm="1">
        <f t="array" ref="C10">UPPER(INDEX(_xlfn.TEXTSPLIT($F10, "-"), 3))</f>
        <v>IF</v>
      </c>
      <c r="D10" s="68" t="s">
        <v>208</v>
      </c>
      <c r="E10" s="68" t="s">
        <v>24</v>
      </c>
      <c r="F10" s="68" t="s">
        <v>210</v>
      </c>
      <c r="G10" s="74" t="s">
        <v>211</v>
      </c>
      <c r="H10" s="68" t="s">
        <v>121</v>
      </c>
      <c r="I10" s="68">
        <v>2048</v>
      </c>
      <c r="J10" s="74" t="s">
        <v>212</v>
      </c>
      <c r="K10" s="74" t="s">
        <v>121</v>
      </c>
      <c r="L10" s="68">
        <v>128</v>
      </c>
      <c r="M10" s="68">
        <v>1</v>
      </c>
      <c r="N10" s="68" t="s">
        <v>133</v>
      </c>
      <c r="O10" s="74" t="s">
        <v>144</v>
      </c>
      <c r="P10" s="68" t="s">
        <v>145</v>
      </c>
      <c r="Q10" s="68" t="b">
        <v>1</v>
      </c>
      <c r="R10" s="68"/>
    </row>
    <row r="11" spans="1:18" x14ac:dyDescent="0.3">
      <c r="B11" s="100" t="s">
        <v>194</v>
      </c>
      <c r="C11" s="100" t="str" cm="1">
        <f t="array" ref="C11">UPPER(INDEX(_xlfn.TEXTSPLIT($F11, "-"), 3))</f>
        <v>SEC</v>
      </c>
      <c r="D11" s="100" t="s">
        <v>181</v>
      </c>
      <c r="E11" s="100" t="s">
        <v>24</v>
      </c>
      <c r="F11" s="100" t="s">
        <v>233</v>
      </c>
      <c r="G11" s="100" t="s">
        <v>241</v>
      </c>
      <c r="H11" s="100" t="s">
        <v>121</v>
      </c>
      <c r="I11" s="100">
        <v>2048</v>
      </c>
      <c r="J11" s="100"/>
      <c r="K11" s="100"/>
      <c r="L11" s="100"/>
      <c r="M11" s="100">
        <v>1</v>
      </c>
      <c r="N11" s="100" t="s">
        <v>133</v>
      </c>
      <c r="O11" s="100" t="s">
        <v>181</v>
      </c>
      <c r="P11" s="100" t="s">
        <v>189</v>
      </c>
      <c r="Q11" s="100" t="b">
        <v>1</v>
      </c>
      <c r="R11" s="100"/>
    </row>
    <row r="12" spans="1:18" x14ac:dyDescent="0.3">
      <c r="B12" s="68" t="s">
        <v>194</v>
      </c>
      <c r="C12" s="68" t="str" cm="1">
        <f t="array" ref="C12">UPPER(INDEX(_xlfn.TEXTSPLIT($F12, "-"), 3))</f>
        <v>SEC</v>
      </c>
      <c r="D12" s="68" t="s">
        <v>181</v>
      </c>
      <c r="E12" s="68" t="s">
        <v>24</v>
      </c>
      <c r="F12" s="68" t="s">
        <v>234</v>
      </c>
      <c r="G12" s="68" t="s">
        <v>242</v>
      </c>
      <c r="H12" s="68" t="s">
        <v>121</v>
      </c>
      <c r="I12" s="68">
        <v>2048</v>
      </c>
      <c r="J12" s="68" t="s">
        <v>243</v>
      </c>
      <c r="K12" s="68" t="s">
        <v>121</v>
      </c>
      <c r="L12" s="68">
        <v>1024</v>
      </c>
      <c r="M12" s="68">
        <v>1</v>
      </c>
      <c r="N12" s="68" t="s">
        <v>133</v>
      </c>
      <c r="O12" s="68" t="s">
        <v>181</v>
      </c>
      <c r="P12" s="68" t="s">
        <v>189</v>
      </c>
      <c r="Q12" s="68" t="b">
        <v>1</v>
      </c>
      <c r="R12" s="68"/>
    </row>
    <row r="13" spans="1:18" x14ac:dyDescent="0.3">
      <c r="B13" s="100" t="s">
        <v>194</v>
      </c>
      <c r="C13" s="100" t="str" cm="1">
        <f t="array" ref="C13">UPPER(INDEX(_xlfn.TEXTSPLIT($F13, "-"), 3))</f>
        <v>SEC</v>
      </c>
      <c r="D13" s="100" t="s">
        <v>181</v>
      </c>
      <c r="E13" s="100" t="s">
        <v>24</v>
      </c>
      <c r="F13" s="100" t="s">
        <v>235</v>
      </c>
      <c r="G13" s="100" t="s">
        <v>244</v>
      </c>
      <c r="H13" s="100" t="s">
        <v>121</v>
      </c>
      <c r="I13" s="100">
        <v>2048</v>
      </c>
      <c r="J13" s="100" t="s">
        <v>245</v>
      </c>
      <c r="K13" s="100" t="s">
        <v>121</v>
      </c>
      <c r="L13" s="100">
        <v>1024</v>
      </c>
      <c r="M13" s="100">
        <v>2</v>
      </c>
      <c r="N13" s="100" t="s">
        <v>133</v>
      </c>
      <c r="O13" s="100" t="s">
        <v>181</v>
      </c>
      <c r="P13" s="100" t="s">
        <v>189</v>
      </c>
      <c r="Q13" s="100" t="b">
        <v>1</v>
      </c>
      <c r="R13" s="100"/>
    </row>
  </sheetData>
  <autoFilter ref="B1:R8" xr:uid="{52F281E7-0665-4BB7-80DB-4208A01A998B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84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84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84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84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84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84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84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84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86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86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86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86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49" t="s">
        <v>23</v>
      </c>
      <c r="B15" s="49" t="s">
        <v>29</v>
      </c>
      <c r="C15" s="49" t="s">
        <v>86</v>
      </c>
      <c r="D15" s="49"/>
      <c r="E15" s="49"/>
      <c r="F15" s="49" t="s">
        <v>42</v>
      </c>
      <c r="G15" s="49"/>
      <c r="H15" s="50"/>
      <c r="I15" s="51"/>
      <c r="J15" s="51"/>
      <c r="K15" s="51"/>
      <c r="L15" s="51"/>
      <c r="M15" s="50"/>
    </row>
    <row r="16" spans="1:16" x14ac:dyDescent="0.3">
      <c r="A16" s="49" t="s">
        <v>23</v>
      </c>
      <c r="B16" s="49" t="s">
        <v>29</v>
      </c>
      <c r="C16" s="49" t="s">
        <v>86</v>
      </c>
      <c r="D16" s="49"/>
      <c r="E16" s="49"/>
      <c r="F16" s="49" t="s">
        <v>42</v>
      </c>
      <c r="G16" s="49"/>
      <c r="H16" s="49"/>
      <c r="I16" s="52"/>
      <c r="J16" s="52"/>
      <c r="K16" s="52"/>
      <c r="L16" s="52"/>
      <c r="M16" s="49"/>
    </row>
    <row r="17" spans="1:13" x14ac:dyDescent="0.3">
      <c r="A17" s="49" t="s">
        <v>23</v>
      </c>
      <c r="B17" s="49" t="s">
        <v>29</v>
      </c>
      <c r="C17" s="49" t="s">
        <v>85</v>
      </c>
      <c r="D17" s="49"/>
      <c r="E17" s="49"/>
      <c r="F17" s="49" t="s">
        <v>42</v>
      </c>
      <c r="G17" s="49"/>
      <c r="H17" s="49"/>
      <c r="I17" s="52"/>
      <c r="J17" s="52"/>
      <c r="K17" s="52"/>
      <c r="L17" s="52"/>
      <c r="M17" s="49"/>
    </row>
    <row r="18" spans="1:13" x14ac:dyDescent="0.3">
      <c r="A18" s="53" t="s">
        <v>23</v>
      </c>
      <c r="B18" s="53" t="s">
        <v>29</v>
      </c>
      <c r="C18" s="49" t="s">
        <v>85</v>
      </c>
      <c r="D18" s="54">
        <v>4096</v>
      </c>
      <c r="E18" s="54" t="s">
        <v>72</v>
      </c>
      <c r="F18" s="53" t="s">
        <v>42</v>
      </c>
      <c r="G18" s="54" t="s">
        <v>43</v>
      </c>
      <c r="H18" s="55" t="s">
        <v>59</v>
      </c>
      <c r="I18" s="56" t="s">
        <v>58</v>
      </c>
      <c r="J18" s="56" t="s">
        <v>58</v>
      </c>
      <c r="K18" s="56" t="s">
        <v>68</v>
      </c>
      <c r="L18" s="56" t="s">
        <v>58</v>
      </c>
      <c r="M18" s="54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87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87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87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87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57" t="s">
        <v>23</v>
      </c>
      <c r="B24" s="49" t="s">
        <v>30</v>
      </c>
      <c r="C24" s="49" t="s">
        <v>87</v>
      </c>
      <c r="D24" s="49"/>
      <c r="E24" s="49"/>
      <c r="F24" s="49" t="s">
        <v>42</v>
      </c>
      <c r="G24" s="49"/>
      <c r="H24" s="50"/>
      <c r="I24" s="51"/>
      <c r="J24" s="51"/>
      <c r="K24" s="51"/>
      <c r="L24" s="51"/>
      <c r="M24" s="58"/>
    </row>
    <row r="25" spans="1:13" x14ac:dyDescent="0.3">
      <c r="A25" s="57" t="s">
        <v>23</v>
      </c>
      <c r="B25" s="49" t="s">
        <v>30</v>
      </c>
      <c r="C25" s="49" t="s">
        <v>87</v>
      </c>
      <c r="D25" s="49"/>
      <c r="E25" s="49"/>
      <c r="F25" s="49" t="s">
        <v>42</v>
      </c>
      <c r="G25" s="49"/>
      <c r="H25" s="49"/>
      <c r="I25" s="52"/>
      <c r="J25" s="52"/>
      <c r="K25" s="52"/>
      <c r="L25" s="52"/>
      <c r="M25" s="59"/>
    </row>
    <row r="26" spans="1:13" x14ac:dyDescent="0.3">
      <c r="A26" s="57" t="s">
        <v>23</v>
      </c>
      <c r="B26" s="49" t="s">
        <v>30</v>
      </c>
      <c r="C26" s="49" t="s">
        <v>87</v>
      </c>
      <c r="D26" s="49"/>
      <c r="E26" s="49"/>
      <c r="F26" s="49" t="s">
        <v>42</v>
      </c>
      <c r="G26" s="49"/>
      <c r="H26" s="49"/>
      <c r="I26" s="52"/>
      <c r="J26" s="52"/>
      <c r="K26" s="52"/>
      <c r="L26" s="52"/>
      <c r="M26" s="59"/>
    </row>
    <row r="27" spans="1:13" ht="17.25" thickBot="1" x14ac:dyDescent="0.35">
      <c r="A27" s="60" t="s">
        <v>23</v>
      </c>
      <c r="B27" s="61" t="s">
        <v>30</v>
      </c>
      <c r="C27" s="61" t="s">
        <v>87</v>
      </c>
      <c r="D27" s="62">
        <v>4096</v>
      </c>
      <c r="E27" s="62" t="s">
        <v>72</v>
      </c>
      <c r="F27" s="61" t="s">
        <v>42</v>
      </c>
      <c r="G27" s="62" t="s">
        <v>43</v>
      </c>
      <c r="H27" s="63" t="s">
        <v>59</v>
      </c>
      <c r="I27" s="64" t="s">
        <v>58</v>
      </c>
      <c r="J27" s="64" t="s">
        <v>58</v>
      </c>
      <c r="K27" s="64" t="s">
        <v>68</v>
      </c>
      <c r="L27" s="64" t="s">
        <v>58</v>
      </c>
      <c r="M27" s="65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88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88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88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88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88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88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88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88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21"/>
  <sheetViews>
    <sheetView workbookViewId="0">
      <selection activeCell="G10" sqref="G10"/>
    </sheetView>
  </sheetViews>
  <sheetFormatPr defaultRowHeight="16.5" x14ac:dyDescent="0.3"/>
  <cols>
    <col min="1" max="1" width="1.5" customWidth="1"/>
    <col min="2" max="3" width="9" style="69"/>
    <col min="4" max="4" width="17.25" style="69" bestFit="1" customWidth="1"/>
    <col min="5" max="5" width="20.5" style="69" customWidth="1"/>
    <col min="6" max="6" width="13.5" style="69" bestFit="1" customWidth="1"/>
    <col min="7" max="7" width="16.875" style="69" bestFit="1" customWidth="1"/>
    <col min="8" max="8" width="18.5" style="69" bestFit="1" customWidth="1"/>
    <col min="9" max="10" width="18.5" style="69" customWidth="1"/>
    <col min="11" max="11" width="18" style="69" customWidth="1"/>
    <col min="12" max="12" width="9" style="69"/>
  </cols>
  <sheetData>
    <row r="1" spans="1:13" x14ac:dyDescent="0.3">
      <c r="B1" s="82" t="s">
        <v>0</v>
      </c>
      <c r="C1" s="82" t="s">
        <v>1</v>
      </c>
      <c r="D1" s="66" t="s">
        <v>33</v>
      </c>
      <c r="E1" s="66" t="s">
        <v>34</v>
      </c>
      <c r="F1" s="66" t="s">
        <v>81</v>
      </c>
      <c r="G1" s="66" t="s">
        <v>82</v>
      </c>
      <c r="H1" s="66" t="s">
        <v>83</v>
      </c>
      <c r="I1" s="66" t="s">
        <v>123</v>
      </c>
      <c r="J1" s="66" t="s">
        <v>141</v>
      </c>
      <c r="K1" s="66" t="s">
        <v>31</v>
      </c>
      <c r="L1" s="66" t="s">
        <v>36</v>
      </c>
      <c r="M1" s="66" t="s">
        <v>168</v>
      </c>
    </row>
    <row r="2" spans="1:13" x14ac:dyDescent="0.3">
      <c r="A2" s="83"/>
      <c r="B2" s="67" t="s">
        <v>194</v>
      </c>
      <c r="C2" s="72" t="str" cm="1">
        <f t="array" ref="C2">UPPER(INDEX(_xlfn.TEXTSPLIT($E2, "-"), 2))</f>
        <v>MON</v>
      </c>
      <c r="D2" s="72" t="s">
        <v>149</v>
      </c>
      <c r="E2" s="72" t="str">
        <f t="shared" ref="E2:E5" si="0">SUBSTITUTE(I2,"hazr-","")&amp;"-nsg"</f>
        <v>l-mon-whtap01-nsg</v>
      </c>
      <c r="F2" s="67" t="s">
        <v>149</v>
      </c>
      <c r="G2" s="72" t="s">
        <v>148</v>
      </c>
      <c r="H2" s="67" t="s">
        <v>172</v>
      </c>
      <c r="I2" s="67" t="s">
        <v>143</v>
      </c>
      <c r="J2" s="72" t="s">
        <v>152</v>
      </c>
      <c r="K2" s="67" t="str">
        <f t="shared" ref="K2:K3" si="1">SUBSTITUTE(I2,"hazr-","")&amp;"-nic"</f>
        <v>l-mon-whtap01-nic</v>
      </c>
      <c r="L2" s="73" t="s">
        <v>140</v>
      </c>
      <c r="M2" s="67"/>
    </row>
    <row r="3" spans="1:13" x14ac:dyDescent="0.3">
      <c r="A3" s="83"/>
      <c r="B3" s="68" t="s">
        <v>194</v>
      </c>
      <c r="C3" s="74" t="str" cm="1">
        <f t="array" ref="C3">UPPER(INDEX(_xlfn.TEXTSPLIT($E3, "-"), 2))</f>
        <v>MON</v>
      </c>
      <c r="D3" s="74" t="s">
        <v>149</v>
      </c>
      <c r="E3" s="74" t="str">
        <f t="shared" si="0"/>
        <v>l-mon-whtap02-nsg</v>
      </c>
      <c r="F3" s="68" t="s">
        <v>149</v>
      </c>
      <c r="G3" s="74" t="s">
        <v>148</v>
      </c>
      <c r="H3" s="68" t="s">
        <v>172</v>
      </c>
      <c r="I3" s="68" t="s">
        <v>142</v>
      </c>
      <c r="J3" s="74" t="s">
        <v>152</v>
      </c>
      <c r="K3" s="68" t="str">
        <f t="shared" si="1"/>
        <v>l-mon-whtap02-nic</v>
      </c>
      <c r="L3" s="75" t="s">
        <v>140</v>
      </c>
      <c r="M3" s="68"/>
    </row>
    <row r="4" spans="1:13" x14ac:dyDescent="0.3">
      <c r="A4" s="83"/>
      <c r="B4" s="74" t="s">
        <v>194</v>
      </c>
      <c r="C4" s="74" t="str" cm="1">
        <f t="array" ref="C4">UPPER(INDEX(_xlfn.TEXTSPLIT($E4, "-"), 2))</f>
        <v>COM</v>
      </c>
      <c r="D4" s="74" t="s">
        <v>144</v>
      </c>
      <c r="E4" s="74" t="str">
        <f t="shared" si="0"/>
        <v>l-com-build01-nsg</v>
      </c>
      <c r="F4" s="68" t="s">
        <v>144</v>
      </c>
      <c r="G4" s="74" t="s">
        <v>138</v>
      </c>
      <c r="H4" s="68" t="s">
        <v>171</v>
      </c>
      <c r="I4" s="68" t="s">
        <v>150</v>
      </c>
      <c r="J4" s="68" t="s">
        <v>144</v>
      </c>
      <c r="K4" s="68" t="str">
        <f t="shared" ref="K4:K5" si="2">SUBSTITUTE(I4,"hazr-","")&amp;"-nic"</f>
        <v>l-com-build01-nic</v>
      </c>
      <c r="L4" s="75" t="s">
        <v>140</v>
      </c>
      <c r="M4" s="68"/>
    </row>
    <row r="5" spans="1:13" x14ac:dyDescent="0.3">
      <c r="A5" s="83"/>
      <c r="B5" s="72" t="s">
        <v>194</v>
      </c>
      <c r="C5" s="72" t="str" cm="1">
        <f t="array" ref="C5">UPPER(INDEX(_xlfn.TEXTSPLIT($E5, "-"), 2))</f>
        <v>COM</v>
      </c>
      <c r="D5" s="72" t="s">
        <v>144</v>
      </c>
      <c r="E5" s="72" t="str">
        <f t="shared" si="0"/>
        <v>l-com-repoweb01-nsg</v>
      </c>
      <c r="F5" s="67" t="s">
        <v>144</v>
      </c>
      <c r="G5" s="72" t="s">
        <v>138</v>
      </c>
      <c r="H5" s="67" t="s">
        <v>171</v>
      </c>
      <c r="I5" s="67" t="s">
        <v>151</v>
      </c>
      <c r="J5" s="67" t="s">
        <v>144</v>
      </c>
      <c r="K5" s="67" t="str">
        <f t="shared" si="2"/>
        <v>l-com-repoweb01-nic</v>
      </c>
      <c r="L5" s="73" t="s">
        <v>140</v>
      </c>
      <c r="M5" s="67"/>
    </row>
    <row r="6" spans="1:13" x14ac:dyDescent="0.3">
      <c r="A6" s="83"/>
      <c r="B6" s="74" t="s">
        <v>194</v>
      </c>
      <c r="C6" s="74" t="str" cm="1">
        <f t="array" ref="C6">UPPER(INDEX(_xlfn.TEXTSPLIT($E6, "-"), 2))</f>
        <v>SEC</v>
      </c>
      <c r="D6" s="74" t="s">
        <v>181</v>
      </c>
      <c r="E6" s="74" t="str">
        <f t="shared" ref="E6:E7" si="3">SUBSTITUTE(I6,"hazr-","")&amp;"-nsg"</f>
        <v>l-sec-virsol01-nsg</v>
      </c>
      <c r="F6" s="68" t="s">
        <v>181</v>
      </c>
      <c r="G6" s="68" t="s">
        <v>187</v>
      </c>
      <c r="H6" s="68" t="s">
        <v>188</v>
      </c>
      <c r="I6" s="98" t="s">
        <v>182</v>
      </c>
      <c r="J6" s="68" t="s">
        <v>181</v>
      </c>
      <c r="K6" s="68" t="str">
        <f t="shared" ref="K6:K7" si="4">SUBSTITUTE(I6,"hazr-","")&amp;"-nic"</f>
        <v>l-sec-virsol01-nic</v>
      </c>
      <c r="L6" s="75" t="s">
        <v>140</v>
      </c>
      <c r="M6" s="68"/>
    </row>
    <row r="7" spans="1:13" x14ac:dyDescent="0.3">
      <c r="A7" s="83"/>
      <c r="B7" s="72" t="s">
        <v>194</v>
      </c>
      <c r="C7" s="72" t="str" cm="1">
        <f t="array" ref="C7">UPPER(INDEX(_xlfn.TEXTSPLIT($E7, "-"), 2))</f>
        <v>SEC</v>
      </c>
      <c r="D7" s="72" t="s">
        <v>181</v>
      </c>
      <c r="E7" s="72" t="str">
        <f t="shared" si="3"/>
        <v>l-sec-wbdsol01-nsg</v>
      </c>
      <c r="F7" s="67" t="s">
        <v>181</v>
      </c>
      <c r="G7" s="67" t="s">
        <v>187</v>
      </c>
      <c r="H7" s="67" t="s">
        <v>188</v>
      </c>
      <c r="I7" s="99" t="s">
        <v>183</v>
      </c>
      <c r="J7" s="67" t="s">
        <v>181</v>
      </c>
      <c r="K7" s="67" t="str">
        <f t="shared" si="4"/>
        <v>l-sec-wbdsol01-nic</v>
      </c>
      <c r="L7" s="73" t="s">
        <v>140</v>
      </c>
      <c r="M7" s="67"/>
    </row>
    <row r="8" spans="1:13" x14ac:dyDescent="0.3">
      <c r="A8" s="83"/>
      <c r="B8" s="74" t="s">
        <v>194</v>
      </c>
      <c r="C8" s="74" t="str" cm="1">
        <f t="array" ref="C8">UPPER(INDEX(_xlfn.TEXTSPLIT($E8, "-"), 2))</f>
        <v>COM</v>
      </c>
      <c r="D8" s="74" t="s">
        <v>144</v>
      </c>
      <c r="E8" s="74" t="str">
        <f t="shared" ref="E8:E9" si="5">SUBSTITUTE(I8,"hazr-","")&amp;"-nsg"</f>
        <v>l-com-scmsol01-nsg</v>
      </c>
      <c r="F8" s="74" t="s">
        <v>144</v>
      </c>
      <c r="G8" s="74" t="s">
        <v>138</v>
      </c>
      <c r="H8" s="74" t="s">
        <v>171</v>
      </c>
      <c r="I8" s="74" t="s">
        <v>195</v>
      </c>
      <c r="J8" s="74" t="s">
        <v>144</v>
      </c>
      <c r="K8" s="74" t="str">
        <f t="shared" ref="K8:K9" si="6">SUBSTITUTE(I8,"hazr-","")&amp;"-nic"</f>
        <v>l-com-scmsol01-nic</v>
      </c>
      <c r="L8" s="74" t="s">
        <v>140</v>
      </c>
      <c r="M8" s="74"/>
    </row>
    <row r="9" spans="1:13" x14ac:dyDescent="0.3">
      <c r="A9" s="83"/>
      <c r="B9" s="72" t="s">
        <v>194</v>
      </c>
      <c r="C9" s="72" t="str" cm="1">
        <f t="array" ref="C9">UPPER(INDEX(_xlfn.TEXTSPLIT($E9, "-"), 2))</f>
        <v>IF</v>
      </c>
      <c r="D9" s="72" t="s">
        <v>144</v>
      </c>
      <c r="E9" s="72" t="str">
        <f t="shared" si="5"/>
        <v>l-if-hipsproxy01-nsg</v>
      </c>
      <c r="F9" s="72" t="s">
        <v>144</v>
      </c>
      <c r="G9" s="72" t="s">
        <v>138</v>
      </c>
      <c r="H9" s="72" t="s">
        <v>171</v>
      </c>
      <c r="I9" s="72" t="s">
        <v>200</v>
      </c>
      <c r="J9" s="72" t="s">
        <v>144</v>
      </c>
      <c r="K9" s="72" t="str">
        <f t="shared" si="6"/>
        <v>l-if-hipsproxy01-nic</v>
      </c>
      <c r="L9" s="72" t="s">
        <v>140</v>
      </c>
      <c r="M9" s="72"/>
    </row>
    <row r="10" spans="1:13" x14ac:dyDescent="0.3">
      <c r="A10" s="83"/>
      <c r="B10" s="74" t="s">
        <v>194</v>
      </c>
      <c r="C10" s="74" t="str" cm="1">
        <f t="array" ref="C10">UPPER(INDEX(_xlfn.TEXTSPLIT($E10, "-"), 2))</f>
        <v>IF</v>
      </c>
      <c r="D10" s="74" t="s">
        <v>144</v>
      </c>
      <c r="E10" s="74" t="str">
        <f>SUBSTITUTE(I10,"hazr-","")&amp;"-nsg"</f>
        <v>l-if-sastsol01-nsg</v>
      </c>
      <c r="F10" s="74" t="s">
        <v>144</v>
      </c>
      <c r="G10" s="74" t="s">
        <v>138</v>
      </c>
      <c r="H10" s="74" t="s">
        <v>171</v>
      </c>
      <c r="I10" s="74" t="s">
        <v>210</v>
      </c>
      <c r="J10" s="74" t="s">
        <v>144</v>
      </c>
      <c r="K10" s="74" t="str">
        <f t="shared" ref="K10:K11" si="7">SUBSTITUTE(I10,"hazr-","")&amp;"-nic"</f>
        <v>l-if-sastsol01-nic</v>
      </c>
      <c r="L10" s="74" t="s">
        <v>140</v>
      </c>
      <c r="M10" s="74"/>
    </row>
    <row r="11" spans="1:13" x14ac:dyDescent="0.3">
      <c r="B11" s="72" t="s">
        <v>194</v>
      </c>
      <c r="C11" s="72" t="s">
        <v>223</v>
      </c>
      <c r="D11" s="72" t="s">
        <v>144</v>
      </c>
      <c r="E11" s="72" t="str">
        <f t="shared" ref="E11:E21" si="8">SUBSTITUTE(I11,"hazr-","")&amp;"-nsg"</f>
        <v>az-erdirect-host1-nsg</v>
      </c>
      <c r="F11" s="72" t="s">
        <v>144</v>
      </c>
      <c r="G11" s="72" t="s">
        <v>138</v>
      </c>
      <c r="H11" s="72" t="s">
        <v>222</v>
      </c>
      <c r="I11" s="99" t="s">
        <v>214</v>
      </c>
      <c r="J11" s="72" t="s">
        <v>144</v>
      </c>
      <c r="K11" s="72" t="str">
        <f t="shared" si="7"/>
        <v>az-erdirect-host1-nic</v>
      </c>
      <c r="L11" s="72" t="s">
        <v>140</v>
      </c>
      <c r="M11" s="72"/>
    </row>
    <row r="12" spans="1:13" x14ac:dyDescent="0.3">
      <c r="B12" s="74" t="s">
        <v>194</v>
      </c>
      <c r="C12" s="74" t="s">
        <v>223</v>
      </c>
      <c r="D12" s="74" t="s">
        <v>144</v>
      </c>
      <c r="E12" s="74" t="str">
        <f t="shared" si="8"/>
        <v>az-erdirect-host2-nsg</v>
      </c>
      <c r="F12" s="74" t="s">
        <v>144</v>
      </c>
      <c r="G12" s="74" t="s">
        <v>138</v>
      </c>
      <c r="H12" s="74" t="s">
        <v>222</v>
      </c>
      <c r="I12" s="98" t="s">
        <v>216</v>
      </c>
      <c r="J12" s="74" t="s">
        <v>144</v>
      </c>
      <c r="K12" s="74" t="str">
        <f t="shared" ref="K12:K15" si="9">SUBSTITUTE(I12,"hazr-","")&amp;"-nic"</f>
        <v>az-erdirect-host2-nic</v>
      </c>
      <c r="L12" s="74" t="s">
        <v>140</v>
      </c>
      <c r="M12" s="74"/>
    </row>
    <row r="13" spans="1:13" x14ac:dyDescent="0.3">
      <c r="B13" s="72" t="s">
        <v>194</v>
      </c>
      <c r="C13" s="72" t="s">
        <v>223</v>
      </c>
      <c r="D13" s="72" t="s">
        <v>144</v>
      </c>
      <c r="E13" s="72" t="str">
        <f t="shared" si="8"/>
        <v>az-erdirect-host3-nsg</v>
      </c>
      <c r="F13" s="72" t="s">
        <v>144</v>
      </c>
      <c r="G13" s="72" t="s">
        <v>138</v>
      </c>
      <c r="H13" s="72" t="s">
        <v>222</v>
      </c>
      <c r="I13" s="99" t="s">
        <v>215</v>
      </c>
      <c r="J13" s="72" t="s">
        <v>144</v>
      </c>
      <c r="K13" s="72" t="str">
        <f t="shared" si="9"/>
        <v>az-erdirect-host3-nic</v>
      </c>
      <c r="L13" s="72" t="s">
        <v>140</v>
      </c>
      <c r="M13" s="72"/>
    </row>
    <row r="14" spans="1:13" x14ac:dyDescent="0.3">
      <c r="B14" s="74" t="s">
        <v>194</v>
      </c>
      <c r="C14" s="74" t="s">
        <v>223</v>
      </c>
      <c r="D14" s="74" t="s">
        <v>144</v>
      </c>
      <c r="E14" s="74" t="str">
        <f t="shared" si="8"/>
        <v>az-erdirect-host4-nsg</v>
      </c>
      <c r="F14" s="74" t="s">
        <v>144</v>
      </c>
      <c r="G14" s="74" t="s">
        <v>138</v>
      </c>
      <c r="H14" s="74" t="s">
        <v>222</v>
      </c>
      <c r="I14" s="98" t="s">
        <v>217</v>
      </c>
      <c r="J14" s="74" t="s">
        <v>144</v>
      </c>
      <c r="K14" s="74" t="str">
        <f t="shared" si="9"/>
        <v>az-erdirect-host4-nic</v>
      </c>
      <c r="L14" s="74" t="s">
        <v>140</v>
      </c>
      <c r="M14" s="74"/>
    </row>
    <row r="15" spans="1:13" x14ac:dyDescent="0.3">
      <c r="B15" s="72" t="s">
        <v>194</v>
      </c>
      <c r="C15" s="72" t="s">
        <v>213</v>
      </c>
      <c r="D15" s="72" t="s">
        <v>144</v>
      </c>
      <c r="E15" s="72" t="str">
        <f t="shared" si="8"/>
        <v>az-grayzone-host1-nsg</v>
      </c>
      <c r="F15" s="72" t="s">
        <v>144</v>
      </c>
      <c r="G15" s="72" t="s">
        <v>138</v>
      </c>
      <c r="H15" s="72" t="s">
        <v>171</v>
      </c>
      <c r="I15" s="67" t="s">
        <v>224</v>
      </c>
      <c r="J15" s="72" t="s">
        <v>144</v>
      </c>
      <c r="K15" s="72" t="str">
        <f t="shared" si="9"/>
        <v>az-grayzone-host1-nic</v>
      </c>
      <c r="L15" s="72" t="s">
        <v>140</v>
      </c>
      <c r="M15" s="72"/>
    </row>
    <row r="16" spans="1:13" x14ac:dyDescent="0.3">
      <c r="B16" s="74" t="s">
        <v>194</v>
      </c>
      <c r="C16" s="74" t="s">
        <v>213</v>
      </c>
      <c r="D16" s="74" t="s">
        <v>144</v>
      </c>
      <c r="E16" s="74" t="str">
        <f t="shared" si="8"/>
        <v>az-grayzone-host2-nsg</v>
      </c>
      <c r="F16" s="74" t="s">
        <v>144</v>
      </c>
      <c r="G16" s="74" t="s">
        <v>138</v>
      </c>
      <c r="H16" s="74" t="s">
        <v>171</v>
      </c>
      <c r="I16" s="68" t="s">
        <v>225</v>
      </c>
      <c r="J16" s="74" t="s">
        <v>144</v>
      </c>
      <c r="K16" s="74" t="str">
        <f t="shared" ref="K16:K21" si="10">SUBSTITUTE(I16,"hazr-","")&amp;"-nic"</f>
        <v>az-grayzone-host2-nic</v>
      </c>
      <c r="L16" s="74" t="s">
        <v>140</v>
      </c>
      <c r="M16" s="74"/>
    </row>
    <row r="17" spans="2:13" x14ac:dyDescent="0.3">
      <c r="B17" s="72" t="s">
        <v>194</v>
      </c>
      <c r="C17" s="72" t="s">
        <v>213</v>
      </c>
      <c r="D17" s="72" t="s">
        <v>144</v>
      </c>
      <c r="E17" s="72" t="str">
        <f t="shared" si="8"/>
        <v>az-grayzone-host3-nsg</v>
      </c>
      <c r="F17" s="72" t="s">
        <v>144</v>
      </c>
      <c r="G17" s="72" t="s">
        <v>138</v>
      </c>
      <c r="H17" s="72" t="s">
        <v>171</v>
      </c>
      <c r="I17" s="67" t="s">
        <v>226</v>
      </c>
      <c r="J17" s="72" t="s">
        <v>144</v>
      </c>
      <c r="K17" s="72" t="str">
        <f t="shared" si="10"/>
        <v>az-grayzone-host3-nic</v>
      </c>
      <c r="L17" s="72" t="s">
        <v>140</v>
      </c>
      <c r="M17" s="72"/>
    </row>
    <row r="18" spans="2:13" x14ac:dyDescent="0.3">
      <c r="B18" s="74" t="s">
        <v>194</v>
      </c>
      <c r="C18" s="74" t="s">
        <v>213</v>
      </c>
      <c r="D18" s="74" t="s">
        <v>144</v>
      </c>
      <c r="E18" s="74" t="str">
        <f t="shared" si="8"/>
        <v>az-grayzone-host4-nsg</v>
      </c>
      <c r="F18" s="74" t="s">
        <v>144</v>
      </c>
      <c r="G18" s="74" t="s">
        <v>138</v>
      </c>
      <c r="H18" s="74" t="s">
        <v>171</v>
      </c>
      <c r="I18" s="98" t="s">
        <v>227</v>
      </c>
      <c r="J18" s="74" t="s">
        <v>144</v>
      </c>
      <c r="K18" s="74" t="str">
        <f t="shared" si="10"/>
        <v>az-grayzone-host4-nic</v>
      </c>
      <c r="L18" s="74" t="s">
        <v>140</v>
      </c>
      <c r="M18" s="74"/>
    </row>
    <row r="19" spans="2:13" x14ac:dyDescent="0.3">
      <c r="B19" s="72" t="s">
        <v>194</v>
      </c>
      <c r="C19" s="72" t="str" cm="1">
        <f t="array" ref="C19">UPPER(INDEX(_xlfn.TEXTSPLIT($E19, "-"), 2))</f>
        <v>SEC</v>
      </c>
      <c r="D19" s="72" t="s">
        <v>181</v>
      </c>
      <c r="E19" s="72" t="str">
        <f t="shared" si="8"/>
        <v>l-sec-docams01-nsg</v>
      </c>
      <c r="F19" s="72" t="s">
        <v>181</v>
      </c>
      <c r="G19" s="72" t="s">
        <v>187</v>
      </c>
      <c r="H19" s="72" t="s">
        <v>188</v>
      </c>
      <c r="I19" s="72" t="s">
        <v>233</v>
      </c>
      <c r="J19" s="72" t="s">
        <v>181</v>
      </c>
      <c r="K19" s="72" t="str">
        <f t="shared" si="10"/>
        <v>l-sec-docams01-nic</v>
      </c>
      <c r="L19" s="72" t="s">
        <v>140</v>
      </c>
      <c r="M19" s="72"/>
    </row>
    <row r="20" spans="2:13" x14ac:dyDescent="0.3">
      <c r="B20" s="74" t="s">
        <v>194</v>
      </c>
      <c r="C20" s="74" t="str" cm="1">
        <f t="array" ref="C20">UPPER(INDEX(_xlfn.TEXTSPLIT($E20, "-"), 2))</f>
        <v>SEC</v>
      </c>
      <c r="D20" s="74" t="s">
        <v>181</v>
      </c>
      <c r="E20" s="74" t="str">
        <f t="shared" si="8"/>
        <v>l-sec-docsol01-nsg</v>
      </c>
      <c r="F20" s="74" t="s">
        <v>181</v>
      </c>
      <c r="G20" s="74" t="s">
        <v>187</v>
      </c>
      <c r="H20" s="74" t="s">
        <v>188</v>
      </c>
      <c r="I20" s="74" t="s">
        <v>234</v>
      </c>
      <c r="J20" s="74" t="s">
        <v>181</v>
      </c>
      <c r="K20" s="74" t="str">
        <f t="shared" si="10"/>
        <v>l-sec-docsol01-nic</v>
      </c>
      <c r="L20" s="74" t="s">
        <v>140</v>
      </c>
      <c r="M20" s="74"/>
    </row>
    <row r="21" spans="2:13" x14ac:dyDescent="0.3">
      <c r="B21" s="72" t="s">
        <v>194</v>
      </c>
      <c r="C21" s="72" t="str" cm="1">
        <f t="array" ref="C21">UPPER(INDEX(_xlfn.TEXTSPLIT($E21, "-"), 2))</f>
        <v>SEC</v>
      </c>
      <c r="D21" s="72" t="s">
        <v>181</v>
      </c>
      <c r="E21" s="72" t="str">
        <f t="shared" si="8"/>
        <v>l-sec-docsol02-nsg</v>
      </c>
      <c r="F21" s="72" t="s">
        <v>181</v>
      </c>
      <c r="G21" s="72" t="s">
        <v>187</v>
      </c>
      <c r="H21" s="72" t="s">
        <v>188</v>
      </c>
      <c r="I21" s="72" t="s">
        <v>235</v>
      </c>
      <c r="J21" s="72" t="s">
        <v>181</v>
      </c>
      <c r="K21" s="72" t="str">
        <f t="shared" si="10"/>
        <v>l-sec-docsol02-nic</v>
      </c>
      <c r="L21" s="72" t="s">
        <v>140</v>
      </c>
      <c r="M21" s="72"/>
    </row>
  </sheetData>
  <autoFilter ref="B1:M8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FFFF00"/>
  </sheetPr>
  <dimension ref="A1:Q43"/>
  <sheetViews>
    <sheetView tabSelected="1" workbookViewId="0">
      <pane xSplit="6" ySplit="1" topLeftCell="J2" activePane="bottomRight" state="frozen"/>
      <selection activeCell="C3" sqref="C3"/>
      <selection pane="topRight" activeCell="C3" sqref="C3"/>
      <selection pane="bottomLeft" activeCell="C3" sqref="C3"/>
      <selection pane="bottomRight" activeCell="F2" sqref="F2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0" t="s">
        <v>0</v>
      </c>
      <c r="C1" s="70" t="s">
        <v>1</v>
      </c>
      <c r="D1" s="66" t="s">
        <v>90</v>
      </c>
      <c r="E1" s="66" t="s">
        <v>3</v>
      </c>
      <c r="F1" s="66" t="s">
        <v>89</v>
      </c>
      <c r="G1" s="66" t="s">
        <v>91</v>
      </c>
      <c r="H1" s="66" t="s">
        <v>115</v>
      </c>
      <c r="I1" s="66" t="s">
        <v>114</v>
      </c>
      <c r="J1" s="66" t="s">
        <v>93</v>
      </c>
      <c r="K1" s="66" t="s">
        <v>94</v>
      </c>
      <c r="L1" s="66" t="s">
        <v>118</v>
      </c>
      <c r="M1" s="71" t="s">
        <v>95</v>
      </c>
      <c r="N1" s="71" t="s">
        <v>96</v>
      </c>
      <c r="O1" s="71" t="s">
        <v>97</v>
      </c>
      <c r="P1" s="71" t="s">
        <v>99</v>
      </c>
      <c r="Q1" s="66" t="s">
        <v>100</v>
      </c>
    </row>
    <row r="2" spans="1:17" x14ac:dyDescent="0.3">
      <c r="A2" s="83"/>
      <c r="B2" s="76" t="s">
        <v>194</v>
      </c>
      <c r="C2" s="76" t="str" cm="1">
        <f t="array" ref="C2">UPPER(INDEX(_xlfn.TEXTSPLIT($F2, "-"), 3))</f>
        <v>MON</v>
      </c>
      <c r="D2" s="76" t="s">
        <v>246</v>
      </c>
      <c r="E2" s="76" t="s">
        <v>24</v>
      </c>
      <c r="F2" s="76" t="s">
        <v>248</v>
      </c>
      <c r="G2" s="76" t="s">
        <v>101</v>
      </c>
      <c r="H2" s="76" t="s">
        <v>180</v>
      </c>
      <c r="I2" s="76" t="s">
        <v>179</v>
      </c>
      <c r="J2" s="76" t="s">
        <v>92</v>
      </c>
      <c r="K2" s="76" t="str">
        <f t="shared" ref="K2:K31" si="0">SUBSTITUTE(F2, "hazr-", "")&amp;"-fe"</f>
        <v>l-mon-whtap-lb-fe</v>
      </c>
      <c r="L2" s="76" t="s">
        <v>144</v>
      </c>
      <c r="M2" s="76" t="s">
        <v>138</v>
      </c>
      <c r="N2" s="76" t="s">
        <v>172</v>
      </c>
      <c r="O2" s="76" t="s">
        <v>98</v>
      </c>
      <c r="P2" s="76" t="s">
        <v>249</v>
      </c>
      <c r="Q2" s="77" t="str">
        <f>SUBSTITUTE(F2, "hazr-", "")&amp;"-bp"</f>
        <v>l-mon-whtap-lb-bp</v>
      </c>
    </row>
    <row r="3" spans="1:17" x14ac:dyDescent="0.3">
      <c r="A3" s="83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78"/>
    </row>
    <row r="4" spans="1:17" x14ac:dyDescent="0.3">
      <c r="A4" s="83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7"/>
    </row>
    <row r="5" spans="1:17" x14ac:dyDescent="0.3">
      <c r="A5" s="83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78"/>
    </row>
    <row r="6" spans="1:17" x14ac:dyDescent="0.3">
      <c r="A6" s="83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7"/>
    </row>
    <row r="7" spans="1:17" x14ac:dyDescent="0.3">
      <c r="A7" s="83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</row>
    <row r="8" spans="1:17" x14ac:dyDescent="0.3">
      <c r="A8" s="83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7"/>
    </row>
    <row r="9" spans="1:17" x14ac:dyDescent="0.3">
      <c r="A9" s="83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78"/>
    </row>
    <row r="10" spans="1:17" x14ac:dyDescent="0.3">
      <c r="A10" s="83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7"/>
    </row>
    <row r="11" spans="1:17" x14ac:dyDescent="0.3">
      <c r="A11" s="83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78"/>
    </row>
    <row r="12" spans="1:17" x14ac:dyDescent="0.3">
      <c r="A12" s="83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</row>
    <row r="13" spans="1:17" x14ac:dyDescent="0.3">
      <c r="A13" s="83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78"/>
    </row>
    <row r="14" spans="1:17" x14ac:dyDescent="0.3">
      <c r="A14" s="83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7"/>
    </row>
    <row r="15" spans="1:17" x14ac:dyDescent="0.3">
      <c r="A15" s="83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78"/>
    </row>
    <row r="16" spans="1:17" x14ac:dyDescent="0.3">
      <c r="A16" s="8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7"/>
    </row>
    <row r="17" spans="1:17" x14ac:dyDescent="0.3">
      <c r="A17" s="83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78"/>
    </row>
    <row r="18" spans="1:17" x14ac:dyDescent="0.3">
      <c r="A18" s="83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7"/>
    </row>
    <row r="19" spans="1:17" x14ac:dyDescent="0.3">
      <c r="A19" s="83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78"/>
    </row>
    <row r="20" spans="1:17" x14ac:dyDescent="0.3">
      <c r="A20" s="83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7"/>
    </row>
    <row r="21" spans="1:17" x14ac:dyDescent="0.3">
      <c r="A21" s="83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78"/>
    </row>
    <row r="22" spans="1:17" x14ac:dyDescent="0.3">
      <c r="A22" s="83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7"/>
    </row>
    <row r="23" spans="1:17" x14ac:dyDescent="0.3">
      <c r="A23" s="83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78"/>
    </row>
    <row r="24" spans="1:17" x14ac:dyDescent="0.3">
      <c r="A24" s="83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7"/>
    </row>
    <row r="25" spans="1:17" x14ac:dyDescent="0.3">
      <c r="A25" s="83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78"/>
    </row>
    <row r="26" spans="1:17" x14ac:dyDescent="0.3">
      <c r="A26" s="83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7"/>
    </row>
    <row r="27" spans="1:17" x14ac:dyDescent="0.3">
      <c r="A27" s="83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78"/>
    </row>
    <row r="28" spans="1:17" x14ac:dyDescent="0.3">
      <c r="A28" s="83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7"/>
    </row>
    <row r="29" spans="1:17" x14ac:dyDescent="0.3">
      <c r="A29" s="83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78"/>
    </row>
    <row r="30" spans="1:17" x14ac:dyDescent="0.3">
      <c r="A30" s="83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7"/>
    </row>
    <row r="31" spans="1:17" x14ac:dyDescent="0.3">
      <c r="A31" s="83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78"/>
    </row>
    <row r="32" spans="1:17" x14ac:dyDescent="0.3">
      <c r="A32" s="83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7"/>
    </row>
    <row r="33" spans="1:17" x14ac:dyDescent="0.3">
      <c r="A33" s="83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78"/>
    </row>
    <row r="34" spans="1:17" x14ac:dyDescent="0.3">
      <c r="A34" s="83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78"/>
    </row>
    <row r="35" spans="1:17" x14ac:dyDescent="0.3">
      <c r="A35" s="83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</row>
    <row r="36" spans="1:17" x14ac:dyDescent="0.3">
      <c r="A36" s="83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78"/>
    </row>
    <row r="37" spans="1:17" x14ac:dyDescent="0.3">
      <c r="A37" s="83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</row>
    <row r="38" spans="1:17" x14ac:dyDescent="0.3">
      <c r="A38" s="83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78"/>
    </row>
    <row r="39" spans="1:17" x14ac:dyDescent="0.3">
      <c r="A39" s="83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</row>
    <row r="40" spans="1:17" x14ac:dyDescent="0.3">
      <c r="A40" s="8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78"/>
    </row>
    <row r="41" spans="1:17" x14ac:dyDescent="0.3">
      <c r="A41" s="83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7"/>
    </row>
    <row r="42" spans="1:17" x14ac:dyDescent="0.3">
      <c r="A42" s="83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78"/>
    </row>
    <row r="43" spans="1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FFFF00"/>
  </sheetPr>
  <dimension ref="A1:K2"/>
  <sheetViews>
    <sheetView workbookViewId="0">
      <selection activeCell="E2" sqref="E2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92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0" t="s">
        <v>0</v>
      </c>
      <c r="C1" s="70" t="s">
        <v>1</v>
      </c>
      <c r="D1" s="70" t="s">
        <v>90</v>
      </c>
      <c r="E1" s="70" t="s">
        <v>89</v>
      </c>
      <c r="F1" s="70" t="s">
        <v>102</v>
      </c>
      <c r="G1" s="66" t="s">
        <v>52</v>
      </c>
      <c r="H1" s="66" t="s">
        <v>103</v>
      </c>
      <c r="I1" s="71" t="s">
        <v>104</v>
      </c>
      <c r="J1" s="84" t="s">
        <v>105</v>
      </c>
      <c r="K1" s="84" t="s">
        <v>106</v>
      </c>
    </row>
    <row r="2" spans="1:11" x14ac:dyDescent="0.3">
      <c r="A2" s="83"/>
      <c r="B2" s="76" t="s">
        <v>194</v>
      </c>
      <c r="C2" s="76" t="str" cm="1">
        <f t="array" ref="C2">UPPER(INDEX(_xlfn.TEXTSPLIT($D2, "-"), 3))</f>
        <v>MON</v>
      </c>
      <c r="D2" s="76" t="s">
        <v>246</v>
      </c>
      <c r="E2" s="76" t="s">
        <v>248</v>
      </c>
      <c r="F2" s="48" t="str">
        <f t="shared" ref="F2" si="0">SUBSTITUTE(E2, "hazr-", "")&amp;"-pb"&amp;H2</f>
        <v>l-mon-whtap-lb-pb8080</v>
      </c>
      <c r="G2" s="76" t="s">
        <v>57</v>
      </c>
      <c r="H2" s="76">
        <v>8080</v>
      </c>
      <c r="I2" s="76"/>
      <c r="J2" s="76">
        <v>5</v>
      </c>
      <c r="K2" s="76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FFFF00"/>
  </sheetPr>
  <dimension ref="A1:S2"/>
  <sheetViews>
    <sheetView workbookViewId="0"/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0" t="s">
        <v>0</v>
      </c>
      <c r="C1" s="70" t="s">
        <v>1</v>
      </c>
      <c r="D1" s="70" t="s">
        <v>90</v>
      </c>
      <c r="E1" s="70" t="s">
        <v>89</v>
      </c>
      <c r="F1" s="70" t="s">
        <v>107</v>
      </c>
      <c r="G1" s="70" t="s">
        <v>94</v>
      </c>
      <c r="H1" s="71" t="s">
        <v>52</v>
      </c>
      <c r="I1" s="71" t="s">
        <v>108</v>
      </c>
      <c r="J1" s="84" t="s">
        <v>117</v>
      </c>
      <c r="K1" s="70" t="s">
        <v>100</v>
      </c>
      <c r="L1" s="71" t="s">
        <v>109</v>
      </c>
      <c r="M1" s="84" t="s">
        <v>102</v>
      </c>
      <c r="N1" s="71" t="s">
        <v>147</v>
      </c>
      <c r="O1" s="66" t="s">
        <v>146</v>
      </c>
      <c r="P1" s="84" t="s">
        <v>111</v>
      </c>
      <c r="Q1" s="71" t="s">
        <v>112</v>
      </c>
      <c r="R1" s="84" t="s">
        <v>116</v>
      </c>
      <c r="S1" s="84" t="s">
        <v>110</v>
      </c>
    </row>
    <row r="2" spans="1:19" x14ac:dyDescent="0.3">
      <c r="A2" s="83"/>
      <c r="B2" s="76" t="s">
        <v>194</v>
      </c>
      <c r="C2" s="76" t="str" cm="1">
        <f t="array" ref="C2">UPPER(INDEX(_xlfn.TEXTSPLIT($D2, "-"), 3))</f>
        <v>MON</v>
      </c>
      <c r="D2" s="76" t="s">
        <v>246</v>
      </c>
      <c r="E2" s="76" t="s">
        <v>247</v>
      </c>
      <c r="F2" s="76" t="str">
        <f t="shared" ref="F2" si="0">SUBSTITUTE(E2, "hazr-", "")&amp;"-rule"&amp;O2</f>
        <v>l-mon-whtap-lb-rule8080</v>
      </c>
      <c r="G2" s="76" t="str">
        <f t="shared" ref="G2" si="1">SUBSTITUTE(E2, "hazr-", "")&amp;"-fe"</f>
        <v>l-mon-whtap-lb-fe</v>
      </c>
      <c r="H2" s="76" t="s">
        <v>57</v>
      </c>
      <c r="I2" s="76">
        <v>8080</v>
      </c>
      <c r="J2" s="76" t="b">
        <v>0</v>
      </c>
      <c r="K2" s="76" t="str">
        <f t="shared" ref="K2" si="2">SUBSTITUTE(E2, "hazr-", "")&amp;"-bp"</f>
        <v>l-mon-whtap-lb-bp</v>
      </c>
      <c r="L2" s="76">
        <v>8080</v>
      </c>
      <c r="M2" s="76" t="str">
        <f t="shared" ref="M2" si="3">SUBSTITUTE(E2, "hazr-", "")&amp;"-pb"&amp;IF(O2="", "", O2)</f>
        <v>l-mon-whtap-lb-pb8080</v>
      </c>
      <c r="N2" s="76" t="s">
        <v>57</v>
      </c>
      <c r="O2" s="76">
        <v>8080</v>
      </c>
      <c r="P2" s="76">
        <v>4</v>
      </c>
      <c r="Q2" s="76" t="s">
        <v>113</v>
      </c>
      <c r="R2" s="76" t="b">
        <v>1</v>
      </c>
      <c r="S2" s="76" t="b">
        <v>0</v>
      </c>
    </row>
  </sheetData>
  <autoFilter ref="B1:S2" xr:uid="{A4BC862D-08E7-4593-9A34-4D2B508CF25B}">
    <sortState xmlns:xlrd2="http://schemas.microsoft.com/office/spreadsheetml/2017/richdata2" ref="B2:S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VM</vt:lpstr>
      <vt:lpstr>VM_Datadisk</vt:lpstr>
      <vt:lpstr>NSG_Rule</vt:lpstr>
      <vt:lpstr>NSG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2026-10-15T06:06:03Z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