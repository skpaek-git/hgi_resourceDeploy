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52BD2F66-24C0-476E-B0E7-CC2BDC39BE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M" sheetId="1" r:id="rId1"/>
    <sheet name="NSG" sheetId="2" r:id="rId2"/>
    <sheet name="NSG_Detai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3" i="2"/>
  <c r="D2" i="2"/>
  <c r="AE3" i="1"/>
  <c r="AE4" i="1"/>
  <c r="AE5" i="1"/>
  <c r="AE2" i="1"/>
  <c r="S2" i="1"/>
  <c r="S3" i="1"/>
  <c r="S4" i="1"/>
  <c r="S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H1" authorId="0" shapeId="0" xr:uid="{1EADDE28-D63D-4750-9EA8-6A9FA4068504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비어둠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4A30FEF3-BCAC-459E-A02B-14F176737823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Any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sharedStrings.xml><?xml version="1.0" encoding="utf-8"?>
<sst xmlns="http://schemas.openxmlformats.org/spreadsheetml/2006/main" count="427" uniqueCount="136">
  <si>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</si>
  <si>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</si>
  <si>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</si>
  <si>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</si>
  <si>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OsDiskCopyFrom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</si>
  <si>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</si>
  <si>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</si>
  <si>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</si>
  <si>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</si>
  <si>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</si>
  <si>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</si>
  <si>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</si>
  <si>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OsType</t>
  </si>
  <si>
    <t>Publisher</t>
    <phoneticPr fontId="1" type="noConversion"/>
  </si>
  <si>
    <t>Offer</t>
    <phoneticPr fontId="1" type="noConversion"/>
  </si>
  <si>
    <t>Sku</t>
    <phoneticPr fontId="1" type="noConversion"/>
  </si>
  <si>
    <t>Version</t>
    <phoneticPr fontId="1" type="noConversion"/>
  </si>
  <si>
    <t>DBVersion</t>
    <phoneticPr fontId="1" type="noConversion"/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</si>
  <si>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</si>
  <si>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</si>
  <si>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</si>
  <si>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</si>
  <si>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</si>
  <si>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DataDiskName2</t>
  </si>
  <si>
    <t>DataDiskSize2</t>
  </si>
  <si>
    <t>DataDiskStorageType2</t>
    <phoneticPr fontId="1" type="noConversion"/>
  </si>
  <si>
    <t>DataDiskName3</t>
    <phoneticPr fontId="1" type="noConversion"/>
  </si>
  <si>
    <t>DataDiskSize3</t>
    <phoneticPr fontId="1" type="noConversion"/>
  </si>
  <si>
    <t>DataDiskStorageType3</t>
    <phoneticPr fontId="1" type="noConversion"/>
  </si>
  <si>
    <t>NicName</t>
  </si>
  <si>
    <t>IsStatic</t>
  </si>
  <si>
    <t>VnetName</t>
  </si>
  <si>
    <t>SubnetName</t>
  </si>
  <si>
    <t>LB</t>
    <phoneticPr fontId="1" type="noConversion"/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</si>
  <si>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</si>
  <si>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</si>
  <si>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</si>
  <si>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</si>
  <si>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D2ds_v5</t>
    <phoneticPr fontId="1" type="noConversion"/>
  </si>
  <si>
    <t>Linux</t>
    <phoneticPr fontId="1" type="noConversion"/>
  </si>
  <si>
    <t>Canonical</t>
    <phoneticPr fontId="1" type="noConversion"/>
  </si>
  <si>
    <t>UbuntuServer</t>
    <phoneticPr fontId="1" type="noConversion"/>
  </si>
  <si>
    <t>18.04-LTS</t>
    <phoneticPr fontId="1" type="noConversion"/>
  </si>
  <si>
    <t>latest</t>
    <phoneticPr fontId="1" type="noConversion"/>
  </si>
  <si>
    <t>PremiumSSD</t>
    <phoneticPr fontId="1" type="noConversion"/>
  </si>
  <si>
    <t>Canonical</t>
  </si>
  <si>
    <t>UbuntuServer</t>
  </si>
  <si>
    <t>E2ds_v5</t>
    <phoneticPr fontId="1" type="noConversion"/>
  </si>
  <si>
    <t>Windows</t>
    <phoneticPr fontId="1" type="noConversion"/>
  </si>
  <si>
    <t>MicrosoftWindowsServer</t>
  </si>
  <si>
    <t>WindowsServer</t>
  </si>
  <si>
    <t>2019-Datacenter</t>
  </si>
  <si>
    <t>StandardSSD</t>
    <phoneticPr fontId="1" type="noConversion"/>
  </si>
  <si>
    <t>DEV</t>
    <phoneticPr fontId="1" type="noConversion"/>
  </si>
  <si>
    <t>TEST-Linux-RG</t>
    <phoneticPr fontId="1" type="noConversion"/>
  </si>
  <si>
    <t>TEST-WINDOW-RG</t>
    <phoneticPr fontId="1" type="noConversion"/>
  </si>
  <si>
    <t>Linux-01</t>
    <phoneticPr fontId="1" type="noConversion"/>
  </si>
  <si>
    <t>Linux-02</t>
    <phoneticPr fontId="1" type="noConversion"/>
  </si>
  <si>
    <t>Window-01</t>
    <phoneticPr fontId="1" type="noConversion"/>
  </si>
  <si>
    <t>Window-02</t>
    <phoneticPr fontId="1" type="noConversion"/>
  </si>
  <si>
    <t>azureadmin</t>
    <phoneticPr fontId="1" type="noConversion"/>
  </si>
  <si>
    <t>rkskkfk1234!@</t>
    <phoneticPr fontId="1" type="noConversion"/>
  </si>
  <si>
    <t>Zones</t>
    <phoneticPr fontId="1" type="noConversion"/>
  </si>
  <si>
    <t>260303TEST-vNET</t>
    <phoneticPr fontId="1" type="noConversion"/>
  </si>
  <si>
    <t>WEB2-Subnet</t>
    <phoneticPr fontId="1" type="noConversion"/>
  </si>
  <si>
    <t>WEB1-Subnet</t>
    <phoneticPr fontId="1" type="noConversion"/>
  </si>
  <si>
    <t>10.10.10.82</t>
    <phoneticPr fontId="1" type="noConversion"/>
  </si>
  <si>
    <t>10.10.10.83</t>
    <phoneticPr fontId="1" type="noConversion"/>
  </si>
  <si>
    <t>10.10.10.84</t>
    <phoneticPr fontId="1" type="noConversion"/>
  </si>
  <si>
    <t>WIN</t>
    <phoneticPr fontId="1" type="noConversion"/>
  </si>
  <si>
    <t>LIN</t>
    <phoneticPr fontId="1" type="noConversion"/>
  </si>
  <si>
    <t>web</t>
    <phoneticPr fontId="1" type="noConversion"/>
  </si>
  <si>
    <t>OsDiskName</t>
    <phoneticPr fontId="1" type="noConversion"/>
  </si>
  <si>
    <t>10.10.70.81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</si>
  <si>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</si>
  <si>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</si>
  <si>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</si>
  <si>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Subnet</t>
    <phoneticPr fontId="1" type="noConversion"/>
  </si>
  <si>
    <t>NIC</t>
    <phoneticPr fontId="1" type="noConversion"/>
  </si>
  <si>
    <t>UseNIC</t>
    <phoneticPr fontId="1" type="noConversion"/>
  </si>
  <si>
    <t>WEB1</t>
    <phoneticPr fontId="1" type="noConversion"/>
  </si>
  <si>
    <t>Linux-001-nic</t>
    <phoneticPr fontId="1" type="noConversion"/>
  </si>
  <si>
    <t>O</t>
    <phoneticPr fontId="1" type="noConversion"/>
  </si>
  <si>
    <t>Linux-002-nic</t>
    <phoneticPr fontId="1" type="noConversion"/>
  </si>
  <si>
    <t>WEB2</t>
    <phoneticPr fontId="1" type="noConversion"/>
  </si>
  <si>
    <t>TEST-Window-RG</t>
    <phoneticPr fontId="1" type="noConversion"/>
  </si>
  <si>
    <t>X</t>
    <phoneticPr fontId="1" type="noConversion"/>
  </si>
  <si>
    <t>WEB3</t>
    <phoneticPr fontId="1" type="noConversion"/>
  </si>
  <si>
    <t>TEST-Network-RG</t>
    <phoneticPr fontId="1" type="noConversion"/>
  </si>
  <si>
    <t>WEB3-Subnet</t>
    <phoneticPr fontId="1" type="noConversion"/>
  </si>
  <si>
    <t>Priority</t>
    <phoneticPr fontId="1" type="noConversion"/>
  </si>
  <si>
    <t>Name</t>
    <phoneticPr fontId="1" type="noConversion"/>
  </si>
  <si>
    <t>Direction</t>
    <phoneticPr fontId="1" type="noConversion"/>
  </si>
  <si>
    <t>Action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</si>
  <si>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</si>
  <si>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</si>
  <si>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</si>
  <si>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</si>
  <si>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</si>
  <si>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Linux-001-nic-NSG</t>
    <phoneticPr fontId="1" type="noConversion"/>
  </si>
  <si>
    <t>Allow_SSH_from_Zenith_to_Linux-001</t>
    <phoneticPr fontId="1" type="noConversion"/>
  </si>
  <si>
    <t>Inbound</t>
    <phoneticPr fontId="1" type="noConversion"/>
  </si>
  <si>
    <t>Allow</t>
    <phoneticPr fontId="1" type="noConversion"/>
  </si>
  <si>
    <t>TCP</t>
    <phoneticPr fontId="1" type="noConversion"/>
  </si>
  <si>
    <t>123.141.145.22,123.141.145.23</t>
    <phoneticPr fontId="1" type="noConversion"/>
  </si>
  <si>
    <t>*</t>
    <phoneticPr fontId="1" type="noConversion"/>
  </si>
  <si>
    <t>10.10.10.81</t>
    <phoneticPr fontId="1" type="noConversion"/>
  </si>
  <si>
    <t>SSH 접속용</t>
    <phoneticPr fontId="1" type="noConversion"/>
  </si>
  <si>
    <t>Allow_HTTP_from_Any</t>
    <phoneticPr fontId="1" type="noConversion"/>
  </si>
  <si>
    <t>123,245</t>
    <phoneticPr fontId="1" type="noConversion"/>
  </si>
  <si>
    <t>10.10.10.81,10.10.10.82</t>
    <phoneticPr fontId="1" type="noConversion"/>
  </si>
  <si>
    <t>대외 서비스용</t>
    <phoneticPr fontId="1" type="noConversion"/>
  </si>
  <si>
    <t>AllowAzureLoadBalancerInBound</t>
    <phoneticPr fontId="1" type="noConversion"/>
  </si>
  <si>
    <t>Any</t>
    <phoneticPr fontId="1" type="noConversion"/>
  </si>
  <si>
    <t>AzureLoadBalancer</t>
    <phoneticPr fontId="1" type="noConversion"/>
  </si>
  <si>
    <t>Azure Load Balancer 통신</t>
    <phoneticPr fontId="1" type="noConversion"/>
  </si>
  <si>
    <t>DenyVNetInbound</t>
    <phoneticPr fontId="1" type="noConversion"/>
  </si>
  <si>
    <t>Deny</t>
    <phoneticPr fontId="1" type="noConversion"/>
  </si>
  <si>
    <t>VNet 내 인바운드 통신 차단</t>
    <phoneticPr fontId="1" type="noConversion"/>
  </si>
  <si>
    <t>Allow_Google</t>
    <phoneticPr fontId="1" type="noConversion"/>
  </si>
  <si>
    <t>Outbound</t>
    <phoneticPr fontId="1" type="noConversion"/>
  </si>
  <si>
    <t>8.8.8.8</t>
    <phoneticPr fontId="1" type="noConversion"/>
  </si>
  <si>
    <t>80,443</t>
    <phoneticPr fontId="1" type="noConversion"/>
  </si>
  <si>
    <t>Google과의 아웃바운드 통신</t>
    <phoneticPr fontId="1" type="noConversion"/>
  </si>
  <si>
    <t>DenyInternetOutbound</t>
    <phoneticPr fontId="1" type="noConversion"/>
  </si>
  <si>
    <t>Internet</t>
    <phoneticPr fontId="1" type="noConversion"/>
  </si>
  <si>
    <t>외부 인터넷 통신 차단</t>
    <phoneticPr fontId="1" type="noConversion"/>
  </si>
  <si>
    <t>Linux-002-nic-NSG</t>
    <phoneticPr fontId="1" type="noConversion"/>
  </si>
  <si>
    <t>Allow_from_Zenith_to_Linux-002_for_SSH</t>
    <phoneticPr fontId="1" type="noConversion"/>
  </si>
  <si>
    <t>123.141.145.0/24</t>
    <phoneticPr fontId="1" type="noConversion"/>
  </si>
  <si>
    <t>Allow_from_Any_for_HTTP</t>
    <phoneticPr fontId="1" type="noConversion"/>
  </si>
  <si>
    <t>80,8080</t>
    <phoneticPr fontId="1" type="noConversion"/>
  </si>
  <si>
    <t>WEB2-Subnet-NSG</t>
    <phoneticPr fontId="1" type="noConversion"/>
  </si>
  <si>
    <t>WEB3-Subnet-NSG</t>
    <phoneticPr fontId="1" type="noConversion"/>
  </si>
  <si>
    <t>10.10.10.40</t>
    <phoneticPr fontId="1" type="noConversion"/>
  </si>
  <si>
    <t>80,443,8080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</si>
</sst>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1" applyNumberFormat="1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2" fillId="3" borderId="3" xfId="0" applyFont="1" applyFill="1" applyBorder="1">
      <alignment vertical="center"/>
    </xf>
    <xf numFmtId="0" fontId="10" fillId="3" borderId="3" xfId="0" applyFont="1" applyFill="1" applyBorder="1">
      <alignment vertical="center"/>
    </xf>
    <xf numFmtId="0" fontId="2" fillId="0" borderId="3" xfId="0" applyFont="1" applyBorder="1">
      <alignment vertical="center"/>
    </xf>
    <xf numFmtId="0" fontId="10" fillId="0" borderId="3" xfId="0" applyFont="1" applyBorder="1">
      <alignment vertical="center"/>
    </xf>
    <xf numFmtId="0" fontId="8" fillId="2" borderId="0" xfId="0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49" fontId="2" fillId="3" borderId="5" xfId="0" applyNumberFormat="1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49" fontId="2" fillId="3" borderId="3" xfId="0" applyNumberFormat="1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6" fillId="3" borderId="3" xfId="0" applyFont="1" applyFill="1" applyBorder="1">
      <alignment vertical="center"/>
    </xf>
    <xf numFmtId="49" fontId="6" fillId="3" borderId="3" xfId="0" applyNumberFormat="1" applyFont="1" applyFill="1" applyBorder="1">
      <alignment vertical="center"/>
    </xf>
    <xf numFmtId="0" fontId="6" fillId="3" borderId="8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49" fontId="2" fillId="0" borderId="10" xfId="0" applyNumberFormat="1" applyFont="1" applyBorder="1">
      <alignment vertical="center"/>
    </xf>
    <xf numFmtId="0" fontId="2" fillId="0" borderId="11" xfId="0" applyFont="1" applyBorder="1">
      <alignment vertical="center"/>
    </xf>
    <xf numFmtId="0" fontId="2" fillId="0" borderId="7" xfId="0" applyFont="1" applyBorder="1">
      <alignment vertical="center"/>
    </xf>
    <xf numFmtId="49" fontId="2" fillId="0" borderId="3" xfId="0" applyNumberFormat="1" applyFont="1" applyBorder="1">
      <alignment vertical="center"/>
    </xf>
    <xf numFmtId="0" fontId="2" fillId="0" borderId="8" xfId="0" applyFont="1" applyBorder="1">
      <alignment vertical="center"/>
    </xf>
    <xf numFmtId="0" fontId="5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5" fillId="0" borderId="13" xfId="0" applyFont="1" applyBorder="1">
      <alignment vertical="center"/>
    </xf>
    <xf numFmtId="49" fontId="6" fillId="0" borderId="13" xfId="0" applyNumberFormat="1" applyFont="1" applyBorder="1">
      <alignment vertical="center"/>
    </xf>
    <xf numFmtId="0" fontId="6" fillId="0" borderId="14" xfId="0" applyFont="1" applyBorder="1">
      <alignment vertical="center"/>
    </xf>
    <xf numFmtId="0" fontId="5" fillId="4" borderId="15" xfId="0" applyFont="1" applyFill="1" applyBorder="1">
      <alignment vertical="center"/>
    </xf>
    <xf numFmtId="0" fontId="6" fillId="4" borderId="16" xfId="0" applyFont="1" applyFill="1" applyBorder="1">
      <alignment vertical="center"/>
    </xf>
    <xf numFmtId="0" fontId="5" fillId="4" borderId="16" xfId="0" applyFont="1" applyFill="1" applyBorder="1">
      <alignment vertical="center"/>
    </xf>
    <xf numFmtId="49" fontId="6" fillId="4" borderId="16" xfId="0" applyNumberFormat="1" applyFont="1" applyFill="1" applyBorder="1">
      <alignment vertical="center"/>
    </xf>
    <xf numFmtId="0" fontId="6" fillId="4" borderId="17" xfId="0" applyFont="1" applyFill="1" applyBorder="1">
      <alignment vertical="center"/>
    </xf>
    <xf numFmtId="0" fontId="2" fillId="3" borderId="10" xfId="0" applyFont="1" applyFill="1" applyBorder="1">
      <alignment vertical="center"/>
    </xf>
    <xf numFmtId="49" fontId="2" fillId="3" borderId="10" xfId="0" applyNumberFormat="1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2" fillId="0" borderId="18" xfId="0" applyFont="1" applyBorder="1">
      <alignment vertical="center"/>
    </xf>
    <xf numFmtId="0" fontId="6" fillId="0" borderId="18" xfId="0" applyFont="1" applyBorder="1">
      <alignment vertical="center"/>
    </xf>
    <xf numFmtId="0" fontId="5" fillId="0" borderId="18" xfId="0" applyFont="1" applyBorder="1">
      <alignment vertical="center"/>
    </xf>
    <xf numFmtId="49" fontId="6" fillId="0" borderId="18" xfId="0" applyNumberFormat="1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6" fillId="0" borderId="3" xfId="0" applyFont="1" applyBorder="1">
      <alignment vertical="center"/>
    </xf>
    <xf numFmtId="0" fontId="5" fillId="0" borderId="3" xfId="0" applyFont="1" applyBorder="1">
      <alignment vertical="center"/>
    </xf>
    <xf numFmtId="49" fontId="6" fillId="0" borderId="3" xfId="0" applyNumberFormat="1" applyFont="1" applyBorder="1">
      <alignment vertical="center"/>
    </xf>
  </cellXfs>
  <cellStyles count="2">
    <cellStyle name="표준" xfId="0" builtinId="0"/>
    <cellStyle name="하이퍼링크" xfId="1" builtinId="8"/>
  </cellStyles>
  <dxfs count="40"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L7" totalsRowShown="0" headerRowDxfId="39" dataDxfId="38">
  <autoFilter ref="A1:AL7" xr:uid="{00000000-0009-0000-0100-000001000000}"/>
  <tableColumns count="38">
    <tableColumn id="1" xr3:uid="{00000000-0010-0000-0000-000001000000}" name="Stage" dataDxfId="37"/>
    <tableColumn id="2" xr3:uid="{00000000-0010-0000-0000-000002000000}" name="Role" dataDxfId="36"/>
    <tableColumn id="3" xr3:uid="{00000000-0010-0000-0000-000003000000}" name="RGname" dataDxfId="35">
      <calculatedColumnFormula>표1[[#This Row],[SubnetName]]</calculatedColumnFormula>
    </tableColumn>
    <tableColumn id="4" xr3:uid="{00000000-0010-0000-0000-000004000000}" name="Location" dataDxfId="34"/>
    <tableColumn id="28" xr3:uid="{00000000-0010-0000-0000-00001C000000}" name="OsDiskCopyFrom" dataDxfId="33"/>
    <tableColumn id="5" xr3:uid="{00000000-0010-0000-0000-000005000000}" name="Name" dataDxfId="32"/>
    <tableColumn id="6" xr3:uid="{00000000-0010-0000-0000-000006000000}" name="PrivateIP" dataDxfId="31"/>
    <tableColumn id="22" xr3:uid="{00000000-0010-0000-0000-000016000000}" name="VmSize" dataDxfId="30"/>
    <tableColumn id="23" xr3:uid="{00000000-0010-0000-0000-000017000000}" name="CPU" dataDxfId="29"/>
    <tableColumn id="34" xr3:uid="{00000000-0010-0000-0000-000022000000}" name="RAM" dataDxfId="28"/>
    <tableColumn id="7" xr3:uid="{00000000-0010-0000-0000-000007000000}" name="AdminUsername" dataDxfId="27"/>
    <tableColumn id="8" xr3:uid="{00000000-0010-0000-0000-000008000000}" name="AdminPassword" dataDxfId="26"/>
    <tableColumn id="9" xr3:uid="{00000000-0010-0000-0000-000009000000}" name="OsType" dataDxfId="25"/>
    <tableColumn id="10" xr3:uid="{00000000-0010-0000-0000-00000A000000}" name="Publisher" dataDxfId="24"/>
    <tableColumn id="32" xr3:uid="{00000000-0010-0000-0000-000020000000}" name="Offer" dataDxfId="23"/>
    <tableColumn id="33" xr3:uid="{00000000-0010-0000-0000-000021000000}" name="Sku" dataDxfId="22"/>
    <tableColumn id="11" xr3:uid="{00000000-0010-0000-0000-00000B000000}" name="Version" dataDxfId="21"/>
    <tableColumn id="27" xr3:uid="{00000000-0010-0000-0000-00001B000000}" name="DBVersion" dataDxfId="20"/>
    <tableColumn id="12" xr3:uid="{00000000-0010-0000-0000-00000C000000}" name="OsDiskName" dataDxfId="19">
      <calculatedColumnFormula>표1[[#This Row],[Name]]&amp;"-OSDisk"</calculatedColumnFormula>
    </tableColumn>
    <tableColumn id="13" xr3:uid="{00000000-0010-0000-0000-00000D000000}" name="OsDiskSize" dataDxfId="18"/>
    <tableColumn id="14" xr3:uid="{00000000-0010-0000-0000-00000E000000}" name="OsDiskStorageType" dataDxfId="17"/>
    <tableColumn id="24" xr3:uid="{00000000-0010-0000-0000-000018000000}" name="DataDiskName" dataDxfId="16"/>
    <tableColumn id="25" xr3:uid="{00000000-0010-0000-0000-000019000000}" name="DataDiskSize" dataDxfId="15"/>
    <tableColumn id="26" xr3:uid="{00000000-0010-0000-0000-00001A000000}" name="DataDiskStorageType" dataDxfId="14"/>
    <tableColumn id="37" xr3:uid="{8656DC8B-F0DA-4B7E-B69C-D41655D15401}" name="DataDiskName2" dataDxfId="13"/>
    <tableColumn id="38" xr3:uid="{DDAB2376-514B-4B24-8118-2C4DD8A91C6A}" name="DataDiskSize2" dataDxfId="12"/>
    <tableColumn id="39" xr3:uid="{78FEDF19-D06C-4B36-B292-2496EB533924}" name="DataDiskStorageType2" dataDxfId="11"/>
    <tableColumn id="29" xr3:uid="{00000000-0010-0000-0000-00001D000000}" name="DataDiskName3" dataDxfId="10"/>
    <tableColumn id="30" xr3:uid="{00000000-0010-0000-0000-00001E000000}" name="DataDiskSize3" dataDxfId="9"/>
    <tableColumn id="31" xr3:uid="{00000000-0010-0000-0000-00001F000000}" name="DataDiskStorageType3" dataDxfId="8"/>
    <tableColumn id="15" xr3:uid="{00000000-0010-0000-0000-00000F000000}" name="NicName" dataDxfId="7">
      <calculatedColumnFormula>표1[[#This Row],[Name]]&amp;"-Nic"</calculatedColumnFormula>
    </tableColumn>
    <tableColumn id="17" xr3:uid="{00000000-0010-0000-0000-000011000000}" name="IsStatic" dataDxfId="6"/>
    <tableColumn id="18" xr3:uid="{00000000-0010-0000-0000-000012000000}" name="VnetName" dataDxfId="5"/>
    <tableColumn id="19" xr3:uid="{00000000-0010-0000-0000-000013000000}" name="SubnetName" dataDxfId="4"/>
    <tableColumn id="21" xr3:uid="{00000000-0010-0000-0000-000015000000}" name="LB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zoomScaleNormal="100" zoomScaleSheetLayoutView="100" workbookViewId="0"/>
  </sheetViews>
  <sheetFormatPr defaultRowHeight="16.5" x14ac:dyDescent="0.3"/>
  <cols>
    <col min="1" max="1" width="7.75" bestFit="1" customWidth="1"/>
    <col min="2" max="2" width="6.875" bestFit="1" customWidth="1"/>
    <col min="3" max="3" width="16.125" bestFit="1" customWidth="1"/>
    <col min="4" max="4" width="12.25" bestFit="1" customWidth="1"/>
    <col min="5" max="5" width="17.25" bestFit="1" customWidth="1"/>
    <col min="6" max="6" width="10" bestFit="1" customWidth="1"/>
    <col min="7" max="7" width="11.75" bestFit="1" customWidth="1"/>
    <col min="8" max="8" width="9.125" bestFit="1" customWidth="1"/>
    <col min="9" max="9" width="6.75" bestFit="1" customWidth="1"/>
    <col min="10" max="10" width="7.25" bestFit="1" customWidth="1"/>
    <col min="11" max="11" width="15.875" customWidth="1"/>
    <col min="12" max="12" width="16.25" style="4" bestFit="1" customWidth="1"/>
    <col min="13" max="13" width="9" customWidth="1"/>
    <col min="14" max="14" width="21.125" customWidth="1"/>
    <col min="15" max="15" width="11.5" customWidth="1"/>
    <col min="16" max="16" width="12.625" customWidth="1"/>
    <col min="17" max="17" width="14.25" customWidth="1"/>
    <col min="18" max="18" width="11.625" bestFit="1" customWidth="1"/>
    <col min="19" max="19" width="21.75" bestFit="1" customWidth="1"/>
    <col min="20" max="20" width="11.125" customWidth="1"/>
    <col min="21" max="21" width="19.25" bestFit="1" customWidth="1"/>
    <col min="22" max="22" width="15.375" bestFit="1" customWidth="1"/>
    <col min="23" max="23" width="17.375" customWidth="1"/>
    <col min="24" max="24" width="21" bestFit="1" customWidth="1"/>
    <col min="25" max="25" width="16.375" bestFit="1" customWidth="1"/>
    <col min="26" max="26" width="14.75" bestFit="1" customWidth="1"/>
    <col min="27" max="27" width="21" customWidth="1"/>
    <col min="28" max="28" width="16.375" bestFit="1" customWidth="1"/>
    <col min="29" max="30" width="21" customWidth="1"/>
    <col min="31" max="31" width="18" customWidth="1"/>
    <col min="33" max="33" width="15.125" customWidth="1"/>
    <col min="34" max="34" width="18.5" customWidth="1"/>
    <col min="35" max="35" width="18.125" bestFit="1" customWidth="1"/>
    <col min="36" max="36" width="18.125" customWidth="1"/>
    <col min="37" max="37" width="17" customWidth="1"/>
    <col min="38" max="38" width="58.5" bestFit="1" customWidth="1"/>
  </cols>
  <sheetData>
    <row r="1" spans="1:38" x14ac:dyDescent="0.3">
      <c r="A1" s="1" t="s">
        <v>0</v>
      </c>
      <c r="B1" s="6" t="s">
        <v>1</v>
      </c>
      <c r="C1" s="6" t="s">
        <v>2</v>
      </c>
      <c r="D1" s="7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6" t="s">
        <v>72</v>
      </c>
      <c r="T1" s="6" t="s">
        <v>18</v>
      </c>
      <c r="U1" s="6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6" t="s">
        <v>62</v>
      </c>
      <c r="AK1" s="1" t="s">
        <v>34</v>
      </c>
      <c r="AL1" s="2" t="s">
        <v>35</v>
      </c>
    </row>
    <row r="2" spans="1:38" x14ac:dyDescent="0.3">
      <c r="A2" s="1" t="s">
        <v>36</v>
      </c>
      <c r="B2" s="1" t="s">
        <v>71</v>
      </c>
      <c r="C2" s="1" t="s">
        <v>54</v>
      </c>
      <c r="D2" s="1" t="s">
        <v>37</v>
      </c>
      <c r="E2" s="1"/>
      <c r="F2" s="1" t="s">
        <v>56</v>
      </c>
      <c r="G2" s="1" t="s">
        <v>73</v>
      </c>
      <c r="H2" s="1" t="s">
        <v>38</v>
      </c>
      <c r="I2" s="1">
        <v>2</v>
      </c>
      <c r="J2" s="1">
        <v>8</v>
      </c>
      <c r="K2" s="1" t="s">
        <v>60</v>
      </c>
      <c r="L2" s="3" t="s">
        <v>61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/>
      <c r="S2" s="1" t="str">
        <f>표1[[#This Row],[Name]]&amp;"-OSDisk"</f>
        <v>Linux-01-OSDisk</v>
      </c>
      <c r="T2" s="1">
        <v>200</v>
      </c>
      <c r="U2" s="1" t="s">
        <v>44</v>
      </c>
      <c r="V2" s="1"/>
      <c r="W2" s="1"/>
      <c r="X2" s="1"/>
      <c r="Y2" s="1"/>
      <c r="Z2" s="1"/>
      <c r="AA2" s="1"/>
      <c r="AB2" s="1"/>
      <c r="AC2" s="1"/>
      <c r="AD2" s="1"/>
      <c r="AE2" s="1" t="str">
        <f>표1[[#This Row],[Name]]&amp;"-Nic"</f>
        <v>Linux-01-Nic</v>
      </c>
      <c r="AF2" s="1" t="b">
        <v>1</v>
      </c>
      <c r="AG2" s="1" t="s">
        <v>63</v>
      </c>
      <c r="AH2" s="1" t="s">
        <v>65</v>
      </c>
      <c r="AI2" s="1"/>
      <c r="AJ2" s="1">
        <v>1</v>
      </c>
      <c r="AK2" s="1"/>
      <c r="AL2" s="2"/>
    </row>
    <row r="3" spans="1:38" x14ac:dyDescent="0.3">
      <c r="A3" s="1" t="s">
        <v>36</v>
      </c>
      <c r="B3" s="1" t="s">
        <v>70</v>
      </c>
      <c r="C3" s="1" t="s">
        <v>54</v>
      </c>
      <c r="D3" s="1" t="s">
        <v>37</v>
      </c>
      <c r="E3" s="1"/>
      <c r="F3" s="1" t="s">
        <v>57</v>
      </c>
      <c r="G3" s="1" t="s">
        <v>66</v>
      </c>
      <c r="H3" s="1" t="s">
        <v>38</v>
      </c>
      <c r="I3" s="1">
        <v>2</v>
      </c>
      <c r="J3" s="1">
        <v>8</v>
      </c>
      <c r="K3" s="1" t="s">
        <v>60</v>
      </c>
      <c r="L3" s="3" t="s">
        <v>61</v>
      </c>
      <c r="M3" s="1" t="s">
        <v>39</v>
      </c>
      <c r="N3" s="1" t="s">
        <v>45</v>
      </c>
      <c r="O3" s="1" t="s">
        <v>46</v>
      </c>
      <c r="P3" s="1" t="s">
        <v>42</v>
      </c>
      <c r="Q3" s="1" t="s">
        <v>43</v>
      </c>
      <c r="R3" s="1"/>
      <c r="S3" s="1" t="str">
        <f>표1[[#This Row],[Name]]&amp;"-OSDisk"</f>
        <v>Linux-02-OSDisk</v>
      </c>
      <c r="T3" s="1">
        <v>200</v>
      </c>
      <c r="U3" s="1" t="s">
        <v>44</v>
      </c>
      <c r="V3" s="1"/>
      <c r="W3" s="1"/>
      <c r="X3" s="1"/>
      <c r="Y3" s="1"/>
      <c r="Z3" s="1"/>
      <c r="AA3" s="1"/>
      <c r="AB3" s="1"/>
      <c r="AC3" s="1"/>
      <c r="AD3" s="1"/>
      <c r="AE3" s="1" t="str">
        <f>표1[[#This Row],[Name]]&amp;"-Nic"</f>
        <v>Linux-02-Nic</v>
      </c>
      <c r="AF3" s="1" t="b">
        <v>1</v>
      </c>
      <c r="AG3" s="1" t="s">
        <v>63</v>
      </c>
      <c r="AH3" s="1" t="s">
        <v>65</v>
      </c>
      <c r="AI3" s="1"/>
      <c r="AJ3" s="1">
        <v>2</v>
      </c>
      <c r="AK3" s="1"/>
      <c r="AL3" s="2"/>
    </row>
    <row r="4" spans="1:38" x14ac:dyDescent="0.3">
      <c r="A4" s="1" t="s">
        <v>53</v>
      </c>
      <c r="B4" s="1" t="s">
        <v>71</v>
      </c>
      <c r="C4" s="1" t="s">
        <v>55</v>
      </c>
      <c r="D4" s="1" t="s">
        <v>37</v>
      </c>
      <c r="E4" s="1"/>
      <c r="F4" s="1" t="s">
        <v>58</v>
      </c>
      <c r="G4" s="1" t="s">
        <v>67</v>
      </c>
      <c r="H4" s="1" t="s">
        <v>47</v>
      </c>
      <c r="I4" s="1">
        <v>2</v>
      </c>
      <c r="J4" s="1">
        <v>16</v>
      </c>
      <c r="K4" s="1" t="s">
        <v>60</v>
      </c>
      <c r="L4" s="3" t="s">
        <v>61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43</v>
      </c>
      <c r="R4" s="1"/>
      <c r="S4" s="1" t="str">
        <f>표1[[#This Row],[Name]]&amp;"-OSDisk"</f>
        <v>Window-01-OSDisk</v>
      </c>
      <c r="T4" s="1">
        <v>127</v>
      </c>
      <c r="U4" s="1" t="s">
        <v>52</v>
      </c>
      <c r="V4" s="1"/>
      <c r="W4" s="1"/>
      <c r="X4" s="1"/>
      <c r="Y4" s="1"/>
      <c r="Z4" s="1"/>
      <c r="AA4" s="1"/>
      <c r="AB4" s="1"/>
      <c r="AC4" s="1"/>
      <c r="AD4" s="1"/>
      <c r="AE4" s="1" t="str">
        <f>표1[[#This Row],[Name]]&amp;"-Nic"</f>
        <v>Window-01-Nic</v>
      </c>
      <c r="AF4" s="1" t="b">
        <v>1</v>
      </c>
      <c r="AG4" s="1" t="s">
        <v>63</v>
      </c>
      <c r="AH4" s="1" t="s">
        <v>64</v>
      </c>
      <c r="AI4" s="2"/>
      <c r="AJ4" s="2">
        <v>1</v>
      </c>
      <c r="AK4" s="1"/>
      <c r="AL4" s="2"/>
    </row>
    <row r="5" spans="1:38" ht="17.25" customHeight="1" x14ac:dyDescent="0.3">
      <c r="A5" s="1" t="s">
        <v>53</v>
      </c>
      <c r="B5" s="1" t="s">
        <v>69</v>
      </c>
      <c r="C5" s="1" t="s">
        <v>55</v>
      </c>
      <c r="D5" s="1" t="s">
        <v>37</v>
      </c>
      <c r="E5" s="1"/>
      <c r="F5" s="1" t="s">
        <v>59</v>
      </c>
      <c r="G5" s="1" t="s">
        <v>68</v>
      </c>
      <c r="H5" s="1" t="s">
        <v>47</v>
      </c>
      <c r="I5" s="1">
        <v>2</v>
      </c>
      <c r="J5" s="1">
        <v>16</v>
      </c>
      <c r="K5" s="1" t="s">
        <v>60</v>
      </c>
      <c r="L5" s="3" t="s">
        <v>61</v>
      </c>
      <c r="M5" s="1" t="s">
        <v>48</v>
      </c>
      <c r="N5" s="1" t="s">
        <v>49</v>
      </c>
      <c r="O5" s="1" t="s">
        <v>50</v>
      </c>
      <c r="P5" s="1" t="s">
        <v>51</v>
      </c>
      <c r="Q5" s="1" t="s">
        <v>43</v>
      </c>
      <c r="R5" s="1"/>
      <c r="S5" s="1" t="str">
        <f>표1[[#This Row],[Name]]&amp;"-OSDisk"</f>
        <v>Window-02-OSDisk</v>
      </c>
      <c r="T5" s="1">
        <v>127</v>
      </c>
      <c r="U5" s="1" t="s">
        <v>52</v>
      </c>
      <c r="V5" s="1"/>
      <c r="W5" s="1"/>
      <c r="X5" s="1"/>
      <c r="Y5" s="1"/>
      <c r="Z5" s="1"/>
      <c r="AA5" s="1"/>
      <c r="AB5" s="1"/>
      <c r="AC5" s="1"/>
      <c r="AD5" s="1"/>
      <c r="AE5" s="1" t="str">
        <f>표1[[#This Row],[Name]]&amp;"-Nic"</f>
        <v>Window-02-Nic</v>
      </c>
      <c r="AF5" s="1" t="b">
        <v>1</v>
      </c>
      <c r="AG5" s="1" t="s">
        <v>63</v>
      </c>
      <c r="AH5" s="1" t="s">
        <v>64</v>
      </c>
      <c r="AI5" s="2"/>
      <c r="AJ5" s="2">
        <v>2</v>
      </c>
      <c r="AK5" s="1"/>
      <c r="AL5" s="2"/>
    </row>
    <row r="6" spans="1:3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</sheetData>
  <phoneticPr fontId="1" type="noConversion"/>
  <pageMargins left="0.7" right="0.7" top="0.75" bottom="0.75" header="0.3" footer="0.3"/>
  <pageSetup paperSize="9" scale="63" orientation="landscape" r:id="rId1"/>
  <colBreaks count="1" manualBreakCount="1">
    <brk id="17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54FF-3803-4009-A0AB-7C1C54863816}">
  <dimension ref="A1:H5"/>
  <sheetViews>
    <sheetView workbookViewId="0"/>
  </sheetViews>
  <sheetFormatPr defaultRowHeight="16.5" x14ac:dyDescent="0.3"/>
  <cols>
    <col min="3" max="3" width="17.25" bestFit="1" customWidth="1"/>
    <col min="4" max="4" width="15.875" bestFit="1" customWidth="1"/>
    <col min="5" max="5" width="20" bestFit="1" customWidth="1"/>
    <col min="6" max="6" width="18.5" bestFit="1" customWidth="1"/>
    <col min="7" max="7" width="18" customWidth="1"/>
  </cols>
  <sheetData>
    <row r="1" spans="1:8" x14ac:dyDescent="0.3">
      <c r="A1" s="9" t="s">
        <v>0</v>
      </c>
      <c r="B1" s="10" t="s">
        <v>1</v>
      </c>
      <c r="C1" s="11" t="s">
        <v>74</v>
      </c>
      <c r="D1" s="12" t="s">
        <v>75</v>
      </c>
      <c r="E1" s="12" t="s">
        <v>76</v>
      </c>
      <c r="F1" s="11" t="s">
        <v>77</v>
      </c>
      <c r="G1" s="10" t="s">
        <v>78</v>
      </c>
      <c r="H1" s="11" t="s">
        <v>79</v>
      </c>
    </row>
    <row r="2" spans="1:8" x14ac:dyDescent="0.3">
      <c r="A2" s="13" t="s">
        <v>36</v>
      </c>
      <c r="B2" s="13" t="s">
        <v>80</v>
      </c>
      <c r="C2" s="13" t="s">
        <v>54</v>
      </c>
      <c r="D2" s="13" t="str">
        <f>IF(H2="O",G2&amp;"-NSG",F2&amp;"-NSG")</f>
        <v>Linux-001-nic-NSG</v>
      </c>
      <c r="E2" s="13" t="s">
        <v>63</v>
      </c>
      <c r="F2" s="13"/>
      <c r="G2" s="13" t="s">
        <v>81</v>
      </c>
      <c r="H2" s="14" t="s">
        <v>82</v>
      </c>
    </row>
    <row r="3" spans="1:8" x14ac:dyDescent="0.3">
      <c r="A3" s="15" t="s">
        <v>36</v>
      </c>
      <c r="B3" s="15" t="s">
        <v>80</v>
      </c>
      <c r="C3" s="15" t="s">
        <v>54</v>
      </c>
      <c r="D3" s="15" t="str">
        <f t="shared" ref="D3:D5" si="0">IF(H3="O",G3&amp;"-NSG",F3&amp;"-NSG")</f>
        <v>Linux-002-nic-NSG</v>
      </c>
      <c r="E3" s="15" t="s">
        <v>63</v>
      </c>
      <c r="F3" s="15"/>
      <c r="G3" s="15" t="s">
        <v>83</v>
      </c>
      <c r="H3" s="16" t="s">
        <v>82</v>
      </c>
    </row>
    <row r="4" spans="1:8" x14ac:dyDescent="0.3">
      <c r="A4" s="13" t="s">
        <v>36</v>
      </c>
      <c r="B4" s="13" t="s">
        <v>84</v>
      </c>
      <c r="C4" s="13" t="s">
        <v>85</v>
      </c>
      <c r="D4" s="13" t="str">
        <f t="shared" si="0"/>
        <v>WEB2-Subnet-NSG</v>
      </c>
      <c r="E4" s="13" t="s">
        <v>63</v>
      </c>
      <c r="F4" s="13" t="s">
        <v>64</v>
      </c>
      <c r="G4" s="13"/>
      <c r="H4" s="14" t="s">
        <v>86</v>
      </c>
    </row>
    <row r="5" spans="1:8" x14ac:dyDescent="0.3">
      <c r="A5" s="15" t="s">
        <v>36</v>
      </c>
      <c r="B5" s="15" t="s">
        <v>87</v>
      </c>
      <c r="C5" s="15" t="s">
        <v>88</v>
      </c>
      <c r="D5" s="15" t="str">
        <f t="shared" si="0"/>
        <v>WEB3-Subnet-NSG</v>
      </c>
      <c r="E5" s="15" t="s">
        <v>63</v>
      </c>
      <c r="F5" s="15" t="s">
        <v>89</v>
      </c>
      <c r="G5" s="15"/>
      <c r="H5" s="16" t="s">
        <v>86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81DA-098A-42A9-9701-97BFF3E9CA94}">
  <dimension ref="A1:P36"/>
  <sheetViews>
    <sheetView workbookViewId="0">
      <selection activeCell="C11" sqref="C11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4" bestFit="1" customWidth="1"/>
    <col min="10" max="10" width="9" style="4"/>
    <col min="11" max="11" width="19" style="4" bestFit="1" customWidth="1"/>
    <col min="12" max="12" width="13.625" style="4" bestFit="1" customWidth="1"/>
    <col min="13" max="13" width="23.625" bestFit="1" customWidth="1"/>
  </cols>
  <sheetData>
    <row r="1" spans="1:16" ht="17.25" thickBot="1" x14ac:dyDescent="0.35">
      <c r="A1" s="9" t="s">
        <v>0</v>
      </c>
      <c r="B1" s="10" t="s">
        <v>1</v>
      </c>
      <c r="C1" s="12" t="s">
        <v>75</v>
      </c>
      <c r="D1" s="12" t="s">
        <v>90</v>
      </c>
      <c r="E1" s="11" t="s">
        <v>91</v>
      </c>
      <c r="F1" s="12" t="s">
        <v>92</v>
      </c>
      <c r="G1" s="10" t="s">
        <v>93</v>
      </c>
      <c r="H1" s="17" t="s">
        <v>94</v>
      </c>
      <c r="I1" s="18" t="s">
        <v>95</v>
      </c>
      <c r="J1" s="18" t="s">
        <v>96</v>
      </c>
      <c r="K1" s="18" t="s">
        <v>97</v>
      </c>
      <c r="L1" s="18" t="s">
        <v>98</v>
      </c>
      <c r="M1" s="17" t="s">
        <v>35</v>
      </c>
    </row>
    <row r="2" spans="1:16" x14ac:dyDescent="0.3">
      <c r="A2" s="19" t="s">
        <v>36</v>
      </c>
      <c r="B2" s="20" t="s">
        <v>80</v>
      </c>
      <c r="C2" s="20" t="s">
        <v>99</v>
      </c>
      <c r="D2" s="20">
        <v>100</v>
      </c>
      <c r="E2" s="20" t="s">
        <v>100</v>
      </c>
      <c r="F2" s="20" t="s">
        <v>101</v>
      </c>
      <c r="G2" s="20" t="s">
        <v>102</v>
      </c>
      <c r="H2" s="20" t="s">
        <v>103</v>
      </c>
      <c r="I2" s="21" t="s">
        <v>104</v>
      </c>
      <c r="J2" s="21" t="s">
        <v>105</v>
      </c>
      <c r="K2" s="21" t="s">
        <v>106</v>
      </c>
      <c r="L2" s="21">
        <v>22</v>
      </c>
      <c r="M2" s="22" t="s">
        <v>107</v>
      </c>
    </row>
    <row r="3" spans="1:16" x14ac:dyDescent="0.3">
      <c r="A3" s="23" t="s">
        <v>36</v>
      </c>
      <c r="B3" s="13" t="s">
        <v>80</v>
      </c>
      <c r="C3" s="13" t="s">
        <v>99</v>
      </c>
      <c r="D3" s="13">
        <v>110</v>
      </c>
      <c r="E3" s="13" t="s">
        <v>108</v>
      </c>
      <c r="F3" s="13" t="s">
        <v>101</v>
      </c>
      <c r="G3" s="13" t="s">
        <v>102</v>
      </c>
      <c r="H3" s="13" t="s">
        <v>103</v>
      </c>
      <c r="I3" s="24" t="s">
        <v>105</v>
      </c>
      <c r="J3" s="24" t="s">
        <v>109</v>
      </c>
      <c r="K3" s="24" t="s">
        <v>110</v>
      </c>
      <c r="L3" s="24">
        <v>80</v>
      </c>
      <c r="M3" s="25" t="s">
        <v>111</v>
      </c>
    </row>
    <row r="4" spans="1:16" x14ac:dyDescent="0.3">
      <c r="A4" s="26" t="s">
        <v>36</v>
      </c>
      <c r="B4" s="27" t="s">
        <v>80</v>
      </c>
      <c r="C4" s="27" t="s">
        <v>99</v>
      </c>
      <c r="D4" s="27">
        <v>4095</v>
      </c>
      <c r="E4" s="27" t="s">
        <v>112</v>
      </c>
      <c r="F4" s="27" t="s">
        <v>101</v>
      </c>
      <c r="G4" s="27" t="s">
        <v>102</v>
      </c>
      <c r="H4" s="27" t="s">
        <v>113</v>
      </c>
      <c r="I4" s="28" t="s">
        <v>114</v>
      </c>
      <c r="J4" s="28" t="s">
        <v>105</v>
      </c>
      <c r="K4" s="28" t="s">
        <v>105</v>
      </c>
      <c r="L4" s="28" t="s">
        <v>105</v>
      </c>
      <c r="M4" s="29" t="s">
        <v>115</v>
      </c>
    </row>
    <row r="5" spans="1:16" x14ac:dyDescent="0.3">
      <c r="A5" s="30" t="s">
        <v>36</v>
      </c>
      <c r="B5" s="27" t="s">
        <v>80</v>
      </c>
      <c r="C5" s="27" t="s">
        <v>99</v>
      </c>
      <c r="D5" s="27">
        <v>4096</v>
      </c>
      <c r="E5" s="27" t="s">
        <v>116</v>
      </c>
      <c r="F5" s="27" t="s">
        <v>101</v>
      </c>
      <c r="G5" s="27" t="s">
        <v>117</v>
      </c>
      <c r="H5" s="27" t="s">
        <v>113</v>
      </c>
      <c r="I5" s="28" t="s">
        <v>76</v>
      </c>
      <c r="J5" s="28" t="s">
        <v>105</v>
      </c>
      <c r="K5" s="28" t="s">
        <v>76</v>
      </c>
      <c r="L5" s="28" t="s">
        <v>105</v>
      </c>
      <c r="M5" s="29" t="s">
        <v>118</v>
      </c>
    </row>
    <row r="6" spans="1:16" x14ac:dyDescent="0.3">
      <c r="A6" s="31" t="s">
        <v>36</v>
      </c>
      <c r="B6" s="32" t="s">
        <v>80</v>
      </c>
      <c r="C6" s="32" t="s">
        <v>99</v>
      </c>
      <c r="D6" s="32">
        <v>100</v>
      </c>
      <c r="E6" s="32" t="s">
        <v>119</v>
      </c>
      <c r="F6" s="32" t="s">
        <v>120</v>
      </c>
      <c r="G6" s="32" t="s">
        <v>102</v>
      </c>
      <c r="H6" s="32" t="s">
        <v>103</v>
      </c>
      <c r="I6" s="33" t="s">
        <v>106</v>
      </c>
      <c r="J6" s="33" t="s">
        <v>105</v>
      </c>
      <c r="K6" s="33" t="s">
        <v>121</v>
      </c>
      <c r="L6" s="33" t="s">
        <v>122</v>
      </c>
      <c r="M6" s="34" t="s">
        <v>123</v>
      </c>
    </row>
    <row r="7" spans="1:16" x14ac:dyDescent="0.3">
      <c r="A7" s="35" t="s">
        <v>36</v>
      </c>
      <c r="B7" s="15" t="s">
        <v>80</v>
      </c>
      <c r="C7" s="15" t="s">
        <v>99</v>
      </c>
      <c r="D7" s="15"/>
      <c r="E7" s="15"/>
      <c r="F7" s="15"/>
      <c r="G7" s="15"/>
      <c r="H7" s="15"/>
      <c r="I7" s="36"/>
      <c r="J7" s="36"/>
      <c r="K7" s="36"/>
      <c r="L7" s="36"/>
      <c r="M7" s="37"/>
    </row>
    <row r="8" spans="1:16" x14ac:dyDescent="0.3">
      <c r="A8" s="35" t="s">
        <v>36</v>
      </c>
      <c r="B8" s="15" t="s">
        <v>80</v>
      </c>
      <c r="C8" s="15" t="s">
        <v>99</v>
      </c>
      <c r="D8" s="15"/>
      <c r="E8" s="15"/>
      <c r="F8" s="15" t="s">
        <v>120</v>
      </c>
      <c r="G8" s="15"/>
      <c r="H8" s="15"/>
      <c r="I8" s="36"/>
      <c r="J8" s="36"/>
      <c r="K8" s="36"/>
      <c r="L8" s="36"/>
      <c r="M8" s="37"/>
    </row>
    <row r="9" spans="1:16" ht="17.25" thickBot="1" x14ac:dyDescent="0.35">
      <c r="A9" s="38" t="s">
        <v>36</v>
      </c>
      <c r="B9" s="39" t="s">
        <v>80</v>
      </c>
      <c r="C9" s="39" t="s">
        <v>99</v>
      </c>
      <c r="D9" s="39">
        <v>4096</v>
      </c>
      <c r="E9" s="39" t="s">
        <v>124</v>
      </c>
      <c r="F9" s="39" t="s">
        <v>120</v>
      </c>
      <c r="G9" s="39" t="s">
        <v>117</v>
      </c>
      <c r="H9" s="40" t="s">
        <v>113</v>
      </c>
      <c r="I9" s="41" t="s">
        <v>105</v>
      </c>
      <c r="J9" s="41" t="s">
        <v>105</v>
      </c>
      <c r="K9" s="41" t="s">
        <v>125</v>
      </c>
      <c r="L9" s="41" t="s">
        <v>105</v>
      </c>
      <c r="M9" s="42" t="s">
        <v>126</v>
      </c>
    </row>
    <row r="10" spans="1:16" ht="6.75" customHeight="1" x14ac:dyDescent="0.3">
      <c r="A10" s="43"/>
      <c r="B10" s="44"/>
      <c r="C10" s="44"/>
      <c r="D10" s="44"/>
      <c r="E10" s="44"/>
      <c r="F10" s="44"/>
      <c r="G10" s="44"/>
      <c r="H10" s="45"/>
      <c r="I10" s="46"/>
      <c r="J10" s="46"/>
      <c r="K10" s="46"/>
      <c r="L10" s="46"/>
      <c r="M10" s="47"/>
    </row>
    <row r="11" spans="1:16" x14ac:dyDescent="0.3">
      <c r="A11" s="48" t="s">
        <v>36</v>
      </c>
      <c r="B11" s="48" t="s">
        <v>80</v>
      </c>
      <c r="C11" s="48" t="s">
        <v>127</v>
      </c>
      <c r="D11" s="48">
        <v>100</v>
      </c>
      <c r="E11" s="48" t="s">
        <v>128</v>
      </c>
      <c r="F11" s="48" t="s">
        <v>101</v>
      </c>
      <c r="G11" s="48" t="s">
        <v>102</v>
      </c>
      <c r="H11" s="48" t="s">
        <v>103</v>
      </c>
      <c r="I11" s="49" t="s">
        <v>129</v>
      </c>
      <c r="J11" s="49" t="s">
        <v>105</v>
      </c>
      <c r="K11" s="49" t="s">
        <v>66</v>
      </c>
      <c r="L11" s="49">
        <v>22</v>
      </c>
      <c r="M11" s="48"/>
      <c r="P11" s="4"/>
    </row>
    <row r="12" spans="1:16" x14ac:dyDescent="0.3">
      <c r="A12" s="13" t="s">
        <v>36</v>
      </c>
      <c r="B12" s="13" t="s">
        <v>80</v>
      </c>
      <c r="C12" s="13" t="s">
        <v>127</v>
      </c>
      <c r="D12" s="13">
        <v>110</v>
      </c>
      <c r="E12" s="13" t="s">
        <v>130</v>
      </c>
      <c r="F12" s="13" t="s">
        <v>101</v>
      </c>
      <c r="G12" s="13" t="s">
        <v>102</v>
      </c>
      <c r="H12" s="13" t="s">
        <v>103</v>
      </c>
      <c r="I12" s="24" t="s">
        <v>105</v>
      </c>
      <c r="J12" s="24" t="s">
        <v>105</v>
      </c>
      <c r="K12" s="24" t="s">
        <v>66</v>
      </c>
      <c r="L12" s="24" t="s">
        <v>131</v>
      </c>
      <c r="M12" s="13"/>
    </row>
    <row r="13" spans="1:16" x14ac:dyDescent="0.3">
      <c r="A13" s="50" t="s">
        <v>36</v>
      </c>
      <c r="B13" s="27" t="s">
        <v>80</v>
      </c>
      <c r="C13" s="27" t="s">
        <v>127</v>
      </c>
      <c r="D13" s="27">
        <v>4095</v>
      </c>
      <c r="E13" s="27" t="s">
        <v>112</v>
      </c>
      <c r="F13" s="27" t="s">
        <v>101</v>
      </c>
      <c r="G13" s="27" t="s">
        <v>102</v>
      </c>
      <c r="H13" s="27" t="s">
        <v>113</v>
      </c>
      <c r="I13" s="28" t="s">
        <v>114</v>
      </c>
      <c r="J13" s="28" t="s">
        <v>105</v>
      </c>
      <c r="K13" s="28" t="s">
        <v>105</v>
      </c>
      <c r="L13" s="28" t="s">
        <v>105</v>
      </c>
      <c r="M13" s="29" t="s">
        <v>115</v>
      </c>
    </row>
    <row r="14" spans="1:16" x14ac:dyDescent="0.3">
      <c r="A14" s="27" t="s">
        <v>36</v>
      </c>
      <c r="B14" s="27" t="s">
        <v>80</v>
      </c>
      <c r="C14" s="27" t="s">
        <v>127</v>
      </c>
      <c r="D14" s="27">
        <v>4096</v>
      </c>
      <c r="E14" s="27" t="s">
        <v>116</v>
      </c>
      <c r="F14" s="27" t="s">
        <v>101</v>
      </c>
      <c r="G14" s="27" t="s">
        <v>117</v>
      </c>
      <c r="H14" s="27" t="s">
        <v>113</v>
      </c>
      <c r="I14" s="28" t="s">
        <v>76</v>
      </c>
      <c r="J14" s="28" t="s">
        <v>105</v>
      </c>
      <c r="K14" s="28" t="s">
        <v>76</v>
      </c>
      <c r="L14" s="28" t="s">
        <v>105</v>
      </c>
      <c r="M14" s="27" t="s">
        <v>118</v>
      </c>
    </row>
    <row r="15" spans="1:16" x14ac:dyDescent="0.3">
      <c r="A15" s="15" t="s">
        <v>36</v>
      </c>
      <c r="B15" s="15" t="s">
        <v>80</v>
      </c>
      <c r="C15" s="15" t="s">
        <v>127</v>
      </c>
      <c r="D15" s="15"/>
      <c r="E15" s="15"/>
      <c r="F15" s="15" t="s">
        <v>120</v>
      </c>
      <c r="G15" s="15"/>
      <c r="H15" s="32"/>
      <c r="I15" s="33"/>
      <c r="J15" s="33"/>
      <c r="K15" s="33"/>
      <c r="L15" s="33"/>
      <c r="M15" s="32"/>
    </row>
    <row r="16" spans="1:16" x14ac:dyDescent="0.3">
      <c r="A16" s="15" t="s">
        <v>36</v>
      </c>
      <c r="B16" s="15" t="s">
        <v>80</v>
      </c>
      <c r="C16" s="15" t="s">
        <v>127</v>
      </c>
      <c r="D16" s="15"/>
      <c r="E16" s="15"/>
      <c r="F16" s="15" t="s">
        <v>120</v>
      </c>
      <c r="G16" s="15"/>
      <c r="H16" s="15"/>
      <c r="I16" s="36"/>
      <c r="J16" s="36"/>
      <c r="K16" s="36"/>
      <c r="L16" s="36"/>
      <c r="M16" s="15"/>
    </row>
    <row r="17" spans="1:13" x14ac:dyDescent="0.3">
      <c r="A17" s="15" t="s">
        <v>36</v>
      </c>
      <c r="B17" s="15" t="s">
        <v>80</v>
      </c>
      <c r="C17" s="15" t="s">
        <v>127</v>
      </c>
      <c r="D17" s="15"/>
      <c r="E17" s="15"/>
      <c r="F17" s="15" t="s">
        <v>120</v>
      </c>
      <c r="G17" s="15"/>
      <c r="H17" s="15"/>
      <c r="I17" s="36"/>
      <c r="J17" s="36"/>
      <c r="K17" s="36"/>
      <c r="L17" s="36"/>
      <c r="M17" s="15"/>
    </row>
    <row r="18" spans="1:13" x14ac:dyDescent="0.3">
      <c r="A18" s="51" t="s">
        <v>36</v>
      </c>
      <c r="B18" s="51" t="s">
        <v>80</v>
      </c>
      <c r="C18" s="51" t="s">
        <v>127</v>
      </c>
      <c r="D18" s="52">
        <v>4096</v>
      </c>
      <c r="E18" s="52" t="s">
        <v>124</v>
      </c>
      <c r="F18" s="51" t="s">
        <v>120</v>
      </c>
      <c r="G18" s="52" t="s">
        <v>117</v>
      </c>
      <c r="H18" s="53" t="s">
        <v>113</v>
      </c>
      <c r="I18" s="54" t="s">
        <v>105</v>
      </c>
      <c r="J18" s="54" t="s">
        <v>105</v>
      </c>
      <c r="K18" s="54" t="s">
        <v>125</v>
      </c>
      <c r="L18" s="54" t="s">
        <v>105</v>
      </c>
      <c r="M18" s="52" t="s">
        <v>126</v>
      </c>
    </row>
    <row r="19" spans="1:13" ht="6.75" customHeight="1" thickBot="1" x14ac:dyDescent="0.35">
      <c r="A19" s="43"/>
      <c r="B19" s="44"/>
      <c r="C19" s="44"/>
      <c r="D19" s="44"/>
      <c r="E19" s="44"/>
      <c r="F19" s="44"/>
      <c r="G19" s="44"/>
      <c r="H19" s="45"/>
      <c r="I19" s="46"/>
      <c r="J19" s="46"/>
      <c r="K19" s="46"/>
      <c r="L19" s="46"/>
      <c r="M19" s="47"/>
    </row>
    <row r="20" spans="1:13" x14ac:dyDescent="0.3">
      <c r="A20" s="19" t="s">
        <v>36</v>
      </c>
      <c r="B20" s="20" t="s">
        <v>84</v>
      </c>
      <c r="C20" s="20" t="s">
        <v>132</v>
      </c>
      <c r="D20" s="20">
        <v>150</v>
      </c>
      <c r="E20" s="20" t="s">
        <v>100</v>
      </c>
      <c r="F20" s="20" t="s">
        <v>101</v>
      </c>
      <c r="G20" s="20" t="s">
        <v>102</v>
      </c>
      <c r="H20" s="20" t="s">
        <v>103</v>
      </c>
      <c r="I20" s="21" t="s">
        <v>104</v>
      </c>
      <c r="J20" s="21" t="s">
        <v>105</v>
      </c>
      <c r="K20" s="21" t="s">
        <v>106</v>
      </c>
      <c r="L20" s="21">
        <v>22</v>
      </c>
      <c r="M20" s="22" t="s">
        <v>107</v>
      </c>
    </row>
    <row r="21" spans="1:13" x14ac:dyDescent="0.3">
      <c r="A21" s="23" t="s">
        <v>36</v>
      </c>
      <c r="B21" s="13" t="s">
        <v>84</v>
      </c>
      <c r="C21" s="13" t="s">
        <v>132</v>
      </c>
      <c r="D21" s="13"/>
      <c r="E21" s="13"/>
      <c r="F21" s="13" t="s">
        <v>101</v>
      </c>
      <c r="G21" s="13" t="s">
        <v>102</v>
      </c>
      <c r="H21" s="13"/>
      <c r="I21" s="24"/>
      <c r="J21" s="24"/>
      <c r="K21" s="24"/>
      <c r="L21" s="24"/>
      <c r="M21" s="25"/>
    </row>
    <row r="22" spans="1:13" x14ac:dyDescent="0.3">
      <c r="A22" s="26" t="s">
        <v>36</v>
      </c>
      <c r="B22" s="27" t="s">
        <v>80</v>
      </c>
      <c r="C22" s="27" t="s">
        <v>132</v>
      </c>
      <c r="D22" s="27">
        <v>4095</v>
      </c>
      <c r="E22" s="27" t="s">
        <v>112</v>
      </c>
      <c r="F22" s="27" t="s">
        <v>101</v>
      </c>
      <c r="G22" s="27" t="s">
        <v>102</v>
      </c>
      <c r="H22" s="27" t="s">
        <v>113</v>
      </c>
      <c r="I22" s="28" t="s">
        <v>114</v>
      </c>
      <c r="J22" s="28" t="s">
        <v>105</v>
      </c>
      <c r="K22" s="28" t="s">
        <v>105</v>
      </c>
      <c r="L22" s="28" t="s">
        <v>105</v>
      </c>
      <c r="M22" s="29" t="s">
        <v>115</v>
      </c>
    </row>
    <row r="23" spans="1:13" x14ac:dyDescent="0.3">
      <c r="A23" s="30" t="s">
        <v>36</v>
      </c>
      <c r="B23" s="27" t="s">
        <v>80</v>
      </c>
      <c r="C23" s="27" t="s">
        <v>132</v>
      </c>
      <c r="D23" s="27">
        <v>4096</v>
      </c>
      <c r="E23" s="27" t="s">
        <v>116</v>
      </c>
      <c r="F23" s="27" t="s">
        <v>101</v>
      </c>
      <c r="G23" s="27" t="s">
        <v>117</v>
      </c>
      <c r="H23" s="27" t="s">
        <v>113</v>
      </c>
      <c r="I23" s="28" t="s">
        <v>76</v>
      </c>
      <c r="J23" s="28" t="s">
        <v>105</v>
      </c>
      <c r="K23" s="28" t="s">
        <v>76</v>
      </c>
      <c r="L23" s="28" t="s">
        <v>105</v>
      </c>
      <c r="M23" s="29" t="s">
        <v>118</v>
      </c>
    </row>
    <row r="24" spans="1:13" x14ac:dyDescent="0.3">
      <c r="A24" s="35" t="s">
        <v>36</v>
      </c>
      <c r="B24" s="15" t="s">
        <v>84</v>
      </c>
      <c r="C24" s="15" t="s">
        <v>132</v>
      </c>
      <c r="D24" s="15"/>
      <c r="E24" s="15"/>
      <c r="F24" s="15" t="s">
        <v>120</v>
      </c>
      <c r="G24" s="15"/>
      <c r="H24" s="32"/>
      <c r="I24" s="33"/>
      <c r="J24" s="33"/>
      <c r="K24" s="33"/>
      <c r="L24" s="33"/>
      <c r="M24" s="34"/>
    </row>
    <row r="25" spans="1:13" x14ac:dyDescent="0.3">
      <c r="A25" s="35" t="s">
        <v>36</v>
      </c>
      <c r="B25" s="15" t="s">
        <v>84</v>
      </c>
      <c r="C25" s="15" t="s">
        <v>132</v>
      </c>
      <c r="D25" s="15"/>
      <c r="E25" s="15"/>
      <c r="F25" s="15" t="s">
        <v>120</v>
      </c>
      <c r="G25" s="15"/>
      <c r="H25" s="15"/>
      <c r="I25" s="36"/>
      <c r="J25" s="36"/>
      <c r="K25" s="36"/>
      <c r="L25" s="36"/>
      <c r="M25" s="37"/>
    </row>
    <row r="26" spans="1:13" x14ac:dyDescent="0.3">
      <c r="A26" s="35" t="s">
        <v>36</v>
      </c>
      <c r="B26" s="15" t="s">
        <v>84</v>
      </c>
      <c r="C26" s="15" t="s">
        <v>132</v>
      </c>
      <c r="D26" s="15"/>
      <c r="E26" s="15"/>
      <c r="F26" s="15" t="s">
        <v>120</v>
      </c>
      <c r="G26" s="15"/>
      <c r="H26" s="15"/>
      <c r="I26" s="36"/>
      <c r="J26" s="36"/>
      <c r="K26" s="36"/>
      <c r="L26" s="36"/>
      <c r="M26" s="37"/>
    </row>
    <row r="27" spans="1:13" ht="17.25" thickBot="1" x14ac:dyDescent="0.35">
      <c r="A27" s="55" t="s">
        <v>36</v>
      </c>
      <c r="B27" s="56" t="s">
        <v>84</v>
      </c>
      <c r="C27" s="56" t="s">
        <v>132</v>
      </c>
      <c r="D27" s="39">
        <v>4096</v>
      </c>
      <c r="E27" s="39" t="s">
        <v>124</v>
      </c>
      <c r="F27" s="56" t="s">
        <v>120</v>
      </c>
      <c r="G27" s="39" t="s">
        <v>117</v>
      </c>
      <c r="H27" s="40" t="s">
        <v>113</v>
      </c>
      <c r="I27" s="41" t="s">
        <v>105</v>
      </c>
      <c r="J27" s="41" t="s">
        <v>105</v>
      </c>
      <c r="K27" s="41" t="s">
        <v>125</v>
      </c>
      <c r="L27" s="41" t="s">
        <v>105</v>
      </c>
      <c r="M27" s="42" t="s">
        <v>126</v>
      </c>
    </row>
    <row r="28" spans="1:13" ht="6.75" customHeight="1" x14ac:dyDescent="0.3">
      <c r="A28" s="43"/>
      <c r="B28" s="44"/>
      <c r="C28" s="44"/>
      <c r="D28" s="44"/>
      <c r="E28" s="44"/>
      <c r="F28" s="44"/>
      <c r="G28" s="44"/>
      <c r="H28" s="45"/>
      <c r="I28" s="46"/>
      <c r="J28" s="46"/>
      <c r="K28" s="46"/>
      <c r="L28" s="46"/>
      <c r="M28" s="47"/>
    </row>
    <row r="29" spans="1:13" x14ac:dyDescent="0.3">
      <c r="A29" s="48" t="s">
        <v>36</v>
      </c>
      <c r="B29" s="48" t="s">
        <v>87</v>
      </c>
      <c r="C29" s="48" t="s">
        <v>133</v>
      </c>
      <c r="D29" s="48"/>
      <c r="E29" s="48"/>
      <c r="F29" s="48" t="s">
        <v>101</v>
      </c>
      <c r="G29" s="48" t="s">
        <v>102</v>
      </c>
      <c r="H29" s="48"/>
      <c r="I29" s="49"/>
      <c r="J29" s="49"/>
      <c r="K29" s="49"/>
      <c r="L29" s="49"/>
      <c r="M29" s="48"/>
    </row>
    <row r="30" spans="1:13" x14ac:dyDescent="0.3">
      <c r="A30" s="13" t="s">
        <v>36</v>
      </c>
      <c r="B30" s="13" t="s">
        <v>87</v>
      </c>
      <c r="C30" s="13" t="s">
        <v>133</v>
      </c>
      <c r="D30" s="13"/>
      <c r="E30" s="13"/>
      <c r="F30" s="13" t="s">
        <v>101</v>
      </c>
      <c r="G30" s="13" t="s">
        <v>102</v>
      </c>
      <c r="H30" s="13"/>
      <c r="I30" s="24"/>
      <c r="J30" s="24"/>
      <c r="K30" s="24"/>
      <c r="L30" s="24"/>
      <c r="M30" s="13"/>
    </row>
    <row r="31" spans="1:13" x14ac:dyDescent="0.3">
      <c r="A31" s="50" t="s">
        <v>36</v>
      </c>
      <c r="B31" s="27" t="s">
        <v>80</v>
      </c>
      <c r="C31" s="27" t="s">
        <v>133</v>
      </c>
      <c r="D31" s="27">
        <v>4095</v>
      </c>
      <c r="E31" s="27" t="s">
        <v>112</v>
      </c>
      <c r="F31" s="27" t="s">
        <v>101</v>
      </c>
      <c r="G31" s="27" t="s">
        <v>102</v>
      </c>
      <c r="H31" s="27" t="s">
        <v>113</v>
      </c>
      <c r="I31" s="28" t="s">
        <v>114</v>
      </c>
      <c r="J31" s="28" t="s">
        <v>105</v>
      </c>
      <c r="K31" s="28" t="s">
        <v>105</v>
      </c>
      <c r="L31" s="28" t="s">
        <v>105</v>
      </c>
      <c r="M31" s="29" t="s">
        <v>115</v>
      </c>
    </row>
    <row r="32" spans="1:13" x14ac:dyDescent="0.3">
      <c r="A32" s="27" t="s">
        <v>36</v>
      </c>
      <c r="B32" s="27" t="s">
        <v>80</v>
      </c>
      <c r="C32" s="27" t="s">
        <v>133</v>
      </c>
      <c r="D32" s="27">
        <v>4096</v>
      </c>
      <c r="E32" s="27" t="s">
        <v>116</v>
      </c>
      <c r="F32" s="27" t="s">
        <v>101</v>
      </c>
      <c r="G32" s="27" t="s">
        <v>117</v>
      </c>
      <c r="H32" s="27" t="s">
        <v>113</v>
      </c>
      <c r="I32" s="28" t="s">
        <v>76</v>
      </c>
      <c r="J32" s="28" t="s">
        <v>105</v>
      </c>
      <c r="K32" s="28" t="s">
        <v>76</v>
      </c>
      <c r="L32" s="28" t="s">
        <v>105</v>
      </c>
      <c r="M32" s="27" t="s">
        <v>118</v>
      </c>
    </row>
    <row r="33" spans="1:13" x14ac:dyDescent="0.3">
      <c r="A33" s="15" t="s">
        <v>36</v>
      </c>
      <c r="B33" s="15" t="s">
        <v>87</v>
      </c>
      <c r="C33" s="15" t="s">
        <v>133</v>
      </c>
      <c r="D33" s="32">
        <v>200</v>
      </c>
      <c r="E33" s="32" t="s">
        <v>119</v>
      </c>
      <c r="F33" s="32" t="s">
        <v>120</v>
      </c>
      <c r="G33" s="32" t="s">
        <v>102</v>
      </c>
      <c r="H33" s="32" t="s">
        <v>103</v>
      </c>
      <c r="I33" s="33" t="s">
        <v>134</v>
      </c>
      <c r="J33" s="33" t="s">
        <v>105</v>
      </c>
      <c r="K33" s="33" t="s">
        <v>121</v>
      </c>
      <c r="L33" s="33" t="s">
        <v>135</v>
      </c>
      <c r="M33" s="34" t="s">
        <v>123</v>
      </c>
    </row>
    <row r="34" spans="1:13" x14ac:dyDescent="0.3">
      <c r="A34" s="15" t="s">
        <v>36</v>
      </c>
      <c r="B34" s="15" t="s">
        <v>87</v>
      </c>
      <c r="C34" s="15" t="s">
        <v>133</v>
      </c>
      <c r="D34" s="15"/>
      <c r="E34" s="15"/>
      <c r="F34" s="15" t="s">
        <v>120</v>
      </c>
      <c r="G34" s="15"/>
      <c r="H34" s="15"/>
      <c r="I34" s="36"/>
      <c r="J34" s="36"/>
      <c r="K34" s="36"/>
      <c r="L34" s="36"/>
      <c r="M34" s="15"/>
    </row>
    <row r="35" spans="1:13" x14ac:dyDescent="0.3">
      <c r="A35" s="15" t="s">
        <v>36</v>
      </c>
      <c r="B35" s="15" t="s">
        <v>87</v>
      </c>
      <c r="C35" s="15" t="s">
        <v>133</v>
      </c>
      <c r="D35" s="15"/>
      <c r="E35" s="15"/>
      <c r="F35" s="15" t="s">
        <v>120</v>
      </c>
      <c r="G35" s="15"/>
      <c r="H35" s="15"/>
      <c r="I35" s="36"/>
      <c r="J35" s="36"/>
      <c r="K35" s="36"/>
      <c r="L35" s="36"/>
      <c r="M35" s="15"/>
    </row>
    <row r="36" spans="1:13" x14ac:dyDescent="0.3">
      <c r="A36" s="15" t="s">
        <v>36</v>
      </c>
      <c r="B36" s="15" t="s">
        <v>87</v>
      </c>
      <c r="C36" s="15" t="s">
        <v>133</v>
      </c>
      <c r="D36" s="57">
        <v>4096</v>
      </c>
      <c r="E36" s="57" t="s">
        <v>124</v>
      </c>
      <c r="F36" s="15" t="s">
        <v>120</v>
      </c>
      <c r="G36" s="57" t="s">
        <v>117</v>
      </c>
      <c r="H36" s="58" t="s">
        <v>113</v>
      </c>
      <c r="I36" s="59" t="s">
        <v>105</v>
      </c>
      <c r="J36" s="59" t="s">
        <v>105</v>
      </c>
      <c r="K36" s="59" t="s">
        <v>125</v>
      </c>
      <c r="L36" s="59" t="s">
        <v>105</v>
      </c>
      <c r="M36" s="57" t="s">
        <v>126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VM</vt:lpstr>
      <vt:lpstr>NSG</vt:lpstr>
      <vt:lpstr>NSG_Detail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2026-03-17T07:32:51Z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