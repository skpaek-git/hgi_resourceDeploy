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0955E6FD-80BA-4906-A7DC-E02F6D42BE1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" l="1"/>
  <c r="E13" i="2"/>
  <c r="E14" i="2"/>
  <c r="E15" i="2"/>
  <c r="K12" i="2"/>
  <c r="K13" i="2"/>
  <c r="K14" i="2"/>
  <c r="K15" i="2"/>
  <c r="O15" i="1"/>
  <c r="U15" i="1"/>
  <c r="O14" i="1"/>
  <c r="U14" i="1"/>
  <c r="O13" i="1"/>
  <c r="U13" i="1"/>
  <c r="O12" i="1"/>
  <c r="U12" i="1"/>
  <c r="E11" i="2"/>
  <c r="C11" i="2" s="1" a="1"/>
  <c r="C11" i="2" s="1"/>
  <c r="U11" i="1"/>
  <c r="K11" i="2"/>
  <c r="C10" i="1" a="1"/>
  <c r="C10" i="1" s="1"/>
  <c r="C11" i="14" a="1"/>
  <c r="C11" i="14" s="1"/>
  <c r="C10" i="14" a="1"/>
  <c r="C10" i="14" s="1"/>
  <c r="C11" i="1" a="1"/>
  <c r="C11" i="1" s="1"/>
  <c r="O11" i="1"/>
  <c r="E10" i="2"/>
  <c r="C10" i="2" s="1" a="1"/>
  <c r="C10" i="2" s="1"/>
  <c r="K10" i="2"/>
  <c r="O10" i="1"/>
  <c r="U10" i="1"/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<sst xmlns="http://schemas.openxmlformats.org/spreadsheetml/2006/main" count="2014" uniqueCount="352">
  <si>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</si>
  <si>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</si>
  <si>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</si>
  <si>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</si>
  <si>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</si>
  <si>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</si>
  <si>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</si>
  <si>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</si>
  <si>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</si>
  <si>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</si>
  <si>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</si>
  <si>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</si>
  <si>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</si>
  <si>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</si>
  <si>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</si>
  <si>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</si>
  <si>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</si>
  <si>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</si>
  <si>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</si>
  <si>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</si>
  <si>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</si>
  <si>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</si>
  <si>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</si>
  <si>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</si>
  <si>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</si>
  <si>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</si>
  <si>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</si>
  <si>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</si>
  <si>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</si>
  <si>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</si>
  <si>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</si>
  <si>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</si>
  <si>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</si>
  <si>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</si>
  <si>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</si>
  <si>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</si>
  <si>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</si>
  <si>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</si>
  <si>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</si>
  <si>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</si>
  <si>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</si>
  <si>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</si>
  <si>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</si>
  <si>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</si>
  <si>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</si>
  <si>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</si>
  <si>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</si>
  <si>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</si>
  <si>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</si>
  <si>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</si>
  <si>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</si>
  <si>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</si>
  <si>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</si>
  <si>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</si>
  <si>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</si>
  <si>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</si>
  <si>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</si>
  <si>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</si>
  <si>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</si>
  <si>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</si>
  <si>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</si>
  <si>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</si>
  <si>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</si>
  <si>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</si>
  <si>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</si>
  <si>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</si>
  <si>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</si>
  <si>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</si>
  <si>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</si>
  <si>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</si>
  <si>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</si>
  <si>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</si>
  <si>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</si>
  <si>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</si>
  <si>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</si>
  <si>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</si>
  <si>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</si>
  <si>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</si>
  <si>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</si>
  <si>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</si>
  <si>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</si>
  <si>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</si>
  <si>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</si>
  <si>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</si>
  <si>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</si>
  <si>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</si>
  <si>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</si>
  <si>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</si>
  <si>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</si>
  <si>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</si>
  <si>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</si>
  <si>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</si>
  <si>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</si>
  <si>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</si>
  <si>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</si>
  <si>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</si>
  <si>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</si>
  <si>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</si>
  <si>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</si>
  <si>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</si>
  <si>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</si>
  <si>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</si>
  <si>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</si>
  <si>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</si>
  <si>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</si>
  <si>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</si>
  <si>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</si>
  <si>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</si>
  <si>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</si>
  <si>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</si>
  <si>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</si>
  <si>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</si>
  <si>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</si>
  <si>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</si>
  <si>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</si>
  <si>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</si>
  <si>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</si>
  <si>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</si>
  <si>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</si>
  <si>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</si>
  <si>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</si>
  <si>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</si>
  <si>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</si>
  <si>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</si>
  <si>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</si>
  <si>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</si>
  <si>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</si>
  <si>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</si>
  <si>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</si>
  <si>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</si>
  <si>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</si>
  <si>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</si>
  <si>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</si>
  <si>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</si>
  <si>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</si>
  <si>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</si>
  <si>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</si>
  <si>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</si>
  <si>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</si>
  <si>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</si>
  <si>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</si>
  <si>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</si>
  <si>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</si>
  <si>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</si>
  <si>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</si>
  <si>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</si>
  <si>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</si>
  <si>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</si>
  <si>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</si>
  <si>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</si>
  <si>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</si>
  <si>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</si>
  <si>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</si>
  <si>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</si>
  <si>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</si>
  <si>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</si>
  <si>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</si>
  <si>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</si>
  <si>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</si>
  <si>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</si>
  <si>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</si>
  <si>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</si>
  <si>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</si>
  <si>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</si>
  <si>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</si>
  <si>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</si>
  <si>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</si>
  <si>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</si>
  <si>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</si>
  <si>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</si>
  <si>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</si>
  <si>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</si>
  <si>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</si>
  <si>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</si>
  <si>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</si>
  <si>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</si>
  <si>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</si>
  <si>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</si>
  <si>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</si>
  <si>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</si>
  <si>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</si>
  <si>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</si>
  <si>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</si>
  <si>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</si>
  <si>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</si>
  <si>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</si>
  <si>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</si>
  <si>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</si>
  <si>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</si>
  <si>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</si>
  <si>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</si>
  <si>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</si>
  <si>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</si>
  <si>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</si>
  <si>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</si>
  <si>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</si>
  <si>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</si>
  <si>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</si>
  <si>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</si>
  <si>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</si>
  <si>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</si>
  <si>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</si>
  <si>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</si>
  <si>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</si>
  <si>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</si>
  <si>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</si>
  <si>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</si>
  <si>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</si>
  <si>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</si>
  <si>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</si>
  <si>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</si>
  <si>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</si>
  <si>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</si>
  <si>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</si>
  <si>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</si>
  <si>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</si>
  <si>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</si>
  <si>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</si>
  <si>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</si>
  <si>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</si>
  <si>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</si>
  <si>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</si>
  <si>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</si>
  <si>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</si>
  <si>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</si>
  <si>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</si>
  <si>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</si>
  <si>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</si>
  <si>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</si>
  <si>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</si>
  <si>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</si>
  <si>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</si>
  <si>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</si>
  <si>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</si>
  <si>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</si>
  <si>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</si>
  <si>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</si>
  <si>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</si>
  <si>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</si>
  <si>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</si>
  <si>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</si>
  <si>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</si>
  <si>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</si>
  <si>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</si>
  <si>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</si>
  <si>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</si>
  <si>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</si>
  <si>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</si>
  <si>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</si>
  <si>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</si>
  <si>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</si>
  <si>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</si>
  <si>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</si>
  <si>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</si>
  <si>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</si>
  <si>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</si>
  <si>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</si>
  <si>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</si>
  <si>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</si>
  <si>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</si>
  <si>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</si>
  <si>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</si>
  <si>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</si>
  <si>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</si>
  <si>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</si>
  <si>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</si>
  <si>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</si>
  <si>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</si>
  <si>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</si>
  <si>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</si>
  <si>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</si>
  <si>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</si>
  <si>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</si>
  <si>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</si>
  <si>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</si>
  <si>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</si>
  <si>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</si>
  <si>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</si>
  <si>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</si>
  <si>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</si>
  <si>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</si>
  <si>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</si>
  <si>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</si>
  <si>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</si>
  <si>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</si>
  <si>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</si>
  <si>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</si>
  <si>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</si>
  <si>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</si>
  <si>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</si>
  <si>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</si>
  <si>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</si>
  <si>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</si>
  <si>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</si>
  <si>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</si>
  <si>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</si>
  <si>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</si>
  <si>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</si>
  <si>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</si>
  <si>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</si>
  <si>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</si>
  <si>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</si>
  <si>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</si>
  <si>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</si>
  <si>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</si>
  <si>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</si>
  <si>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</si>
  <si>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</si>
  <si>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</si>
  <si>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</si>
  <si>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</si>
  <si>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</si>
  <si>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</si>
  <si>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</si>
  <si>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</si>
  <si>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</si>
  <si>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</si>
  <si>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</si>
  <si>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</si>
  <si>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</si>
  <si>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</si>
  <si>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</si>
  <si>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</si>
  <si>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</si>
  <si>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</si>
  <si>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</si>
  <si>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</si>
  <si>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</si>
  <si>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</si>
  <si>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</si>
  <si>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</si>
  <si>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</si>
  <si>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</si>
  <si>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</si>
  <si>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</si>
  <si>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</si>
  <si>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</si>
  <si>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hazr-l-if-sastsol01</t>
    <phoneticPr fontId="1" type="noConversion"/>
  </si>
  <si>
    <t>l-if-sastsol01-disk01</t>
    <phoneticPr fontId="1" type="noConversion"/>
  </si>
  <si>
    <t>l-if-sastsol01-disk02</t>
    <phoneticPr fontId="1" type="noConversion"/>
  </si>
  <si>
    <t>TEMP</t>
    <phoneticPr fontId="1" type="noConversion"/>
  </si>
  <si>
    <t>az-erdirect-host1</t>
    <phoneticPr fontId="1" type="noConversion"/>
  </si>
  <si>
    <t>az-erdirect-host3</t>
  </si>
  <si>
    <t>az-erdirect-host2</t>
    <phoneticPr fontId="1" type="noConversion"/>
  </si>
  <si>
    <t>az-erdirect-host4</t>
  </si>
  <si>
    <t>10.155.161.196</t>
    <phoneticPr fontId="1" type="noConversion"/>
  </si>
  <si>
    <t>10.155.161.197</t>
    <phoneticPr fontId="1" type="noConversion"/>
  </si>
  <si>
    <t>10.155.161.198</t>
  </si>
  <si>
    <t>10.155.161.199</t>
  </si>
  <si>
    <t>/subscriptions/b73b1d70-b43f-41b5-bb3f-34b9236d2ed9/resourceGroups/hazr-l-mgmt-rg/providers/Microsoft.Compute/galleries/hazrlmgmtgal/images/RHEL_9.8_Base_Image/versions/0.0.4</t>
    <phoneticPr fontId="1" type="noConversion"/>
  </si>
  <si>
    <t>l-ertest-sbn</t>
    <phoneticPr fontId="1" type="noConversion"/>
  </si>
  <si>
    <t>TEMP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</si>
</sst>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22" xfId="0" applyNumberFormat="1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5" totalsRowShown="0" headerRowDxfId="32" dataDxfId="31">
  <autoFilter ref="B1:AF15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5"/>
  <sheetViews>
    <sheetView zoomScaleNormal="100" zoomScaleSheetLayoutView="100" workbookViewId="0">
      <pane xSplit="6" ySplit="1" topLeftCell="X2" activePane="bottomRight" state="frozen"/>
      <selection pane="topRight"/>
      <selection pane="bottomLeft"/>
      <selection pane="bottomRight" activeCell="F12" sqref="F12:F15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>SUBSTITUTE(F8,"hazr-","")&amp;"-osdisk"</f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>SUBSTITUTE(F8,"hazr-","")&amp;"-nic"</f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>SUBSTITUTE(F9,"hazr-","")&amp;"-osdisk"</f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>SUBSTITUTE(F9,"hazr-","")&amp;"-nic"</f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  <row r="10" spans="1:32" x14ac:dyDescent="0.3">
      <c r="A10" s="84"/>
      <c r="B10" s="88" t="s">
        <v>321</v>
      </c>
      <c r="C10" s="88" t="str" cm="1">
        <f t="array" ref="C10">UPPER(INDEX(_xlfn.TEXTSPLIT($F10, "-"), 3))</f>
        <v>IF</v>
      </c>
      <c r="D10" s="88" t="s">
        <v>145</v>
      </c>
      <c r="E10" s="88" t="s">
        <v>24</v>
      </c>
      <c r="F10" s="88" t="s">
        <v>327</v>
      </c>
      <c r="G10" s="88" t="s">
        <v>328</v>
      </c>
      <c r="H10" s="88" t="s">
        <v>329</v>
      </c>
      <c r="I10" s="88">
        <v>2</v>
      </c>
      <c r="J10" s="88">
        <v>8</v>
      </c>
      <c r="K10" s="88" t="s">
        <v>122</v>
      </c>
      <c r="L10" s="96" t="s">
        <v>120</v>
      </c>
      <c r="M10" s="88" t="s">
        <v>292</v>
      </c>
      <c r="N10" s="97" t="s">
        <v>330</v>
      </c>
      <c r="O10" s="98" t="str">
        <f>SUBSTITUTE(F10,"hazr-","")&amp;"-osdisk"</f>
        <v>l-if-hipsproxy01-osdisk</v>
      </c>
      <c r="P10" s="99">
        <v>64</v>
      </c>
      <c r="Q10" s="100" t="s">
        <v>121</v>
      </c>
      <c r="R10" s="88"/>
      <c r="S10" s="88"/>
      <c r="T10" s="88"/>
      <c r="U10" s="88" t="str">
        <f>SUBSTITUTE(F10,"hazr-","")&amp;"-nic"</f>
        <v>l-if-hipsproxy01-nic</v>
      </c>
      <c r="V10" s="88" t="b">
        <v>1</v>
      </c>
      <c r="W10" s="88" t="b">
        <v>1</v>
      </c>
      <c r="X10" s="88" t="s">
        <v>145</v>
      </c>
      <c r="Y10" s="69" t="s">
        <v>138</v>
      </c>
      <c r="Z10" s="69" t="s">
        <v>290</v>
      </c>
      <c r="AA10" s="88" t="b">
        <v>1</v>
      </c>
      <c r="AB10" s="88" t="s">
        <v>145</v>
      </c>
      <c r="AC10" s="88" t="s">
        <v>146</v>
      </c>
      <c r="AD10" s="99">
        <v>1</v>
      </c>
      <c r="AE10" s="88"/>
      <c r="AF10" s="88"/>
    </row>
    <row r="11" spans="1:32" x14ac:dyDescent="0.3">
      <c r="A11" s="84"/>
      <c r="B11" s="88" t="s">
        <v>321</v>
      </c>
      <c r="C11" s="88" t="str" cm="1">
        <f t="array" ref="C11">UPPER(INDEX(_xlfn.TEXTSPLIT($F11, "-"), 3))</f>
        <v>IF</v>
      </c>
      <c r="D11" s="88" t="s">
        <v>145</v>
      </c>
      <c r="E11" s="88" t="s">
        <v>24</v>
      </c>
      <c r="F11" s="88" t="s">
        <v>337</v>
      </c>
      <c r="G11" s="88" t="s">
        <v>333</v>
      </c>
      <c r="H11" s="88" t="s">
        <v>334</v>
      </c>
      <c r="I11" s="88">
        <v>32</v>
      </c>
      <c r="J11" s="88">
        <v>128</v>
      </c>
      <c r="K11" s="88" t="s">
        <v>122</v>
      </c>
      <c r="L11" s="96" t="s">
        <v>120</v>
      </c>
      <c r="M11" s="88" t="s">
        <v>292</v>
      </c>
      <c r="N11" s="97" t="s">
        <v>336</v>
      </c>
      <c r="O11" s="98" t="str">
        <f>SUBSTITUTE(F11,"hazr-","")&amp;"-osdisk"</f>
        <v>l-if-sastsol01-osdisk</v>
      </c>
      <c r="P11" s="99">
        <v>64</v>
      </c>
      <c r="Q11" s="100" t="s">
        <v>121</v>
      </c>
      <c r="R11" s="88"/>
      <c r="S11" s="88"/>
      <c r="T11" s="88"/>
      <c r="U11" s="88" t="str">
        <f>SUBSTITUTE(F11,"hazr-","")&amp;"-nic"</f>
        <v>l-if-sastsol01-nic</v>
      </c>
      <c r="V11" s="88" t="b">
        <v>1</v>
      </c>
      <c r="W11" s="88" t="b">
        <v>1</v>
      </c>
      <c r="X11" s="88" t="s">
        <v>145</v>
      </c>
      <c r="Y11" s="88" t="s">
        <v>138</v>
      </c>
      <c r="Z11" s="88" t="s">
        <v>290</v>
      </c>
      <c r="AA11" s="88" t="b">
        <v>1</v>
      </c>
      <c r="AB11" s="88" t="s">
        <v>145</v>
      </c>
      <c r="AC11" s="88" t="s">
        <v>146</v>
      </c>
      <c r="AD11" s="99">
        <v>1</v>
      </c>
      <c r="AE11" s="88"/>
      <c r="AF11" s="88"/>
    </row>
    <row r="12" spans="1:32" x14ac:dyDescent="0.3">
      <c r="B12" s="88" t="s">
        <v>321</v>
      </c>
      <c r="C12" s="106" t="s">
        <v>340</v>
      </c>
      <c r="D12" s="88" t="s">
        <v>145</v>
      </c>
      <c r="E12" s="88" t="s">
        <v>24</v>
      </c>
      <c r="F12" s="88" t="s">
        <v>341</v>
      </c>
      <c r="G12" s="88" t="s">
        <v>345</v>
      </c>
      <c r="H12" s="88" t="s">
        <v>329</v>
      </c>
      <c r="I12" s="88">
        <v>2</v>
      </c>
      <c r="J12" s="88">
        <v>8</v>
      </c>
      <c r="K12" s="88" t="s">
        <v>122</v>
      </c>
      <c r="L12" s="96" t="s">
        <v>120</v>
      </c>
      <c r="M12" s="88" t="s">
        <v>292</v>
      </c>
      <c r="N12" s="97" t="s">
        <v>349</v>
      </c>
      <c r="O12" s="107" t="str">
        <f>SUBSTITUTE(F12,"hazr-","")&amp;"-osdisk"</f>
        <v>az-erdirect-host1-osdisk</v>
      </c>
      <c r="P12" s="99">
        <v>64</v>
      </c>
      <c r="Q12" s="100" t="s">
        <v>121</v>
      </c>
      <c r="R12" s="106"/>
      <c r="S12" s="88"/>
      <c r="T12" s="106"/>
      <c r="U12" s="106" t="str">
        <f>SUBSTITUTE(F12,"hazr-","")&amp;"-nic"</f>
        <v>az-erdirect-host1-nic</v>
      </c>
      <c r="V12" s="88" t="b">
        <v>1</v>
      </c>
      <c r="W12" s="88" t="b">
        <v>1</v>
      </c>
      <c r="X12" s="88" t="s">
        <v>145</v>
      </c>
      <c r="Y12" s="69" t="s">
        <v>138</v>
      </c>
      <c r="Z12" s="69" t="s">
        <v>350</v>
      </c>
      <c r="AA12" s="88" t="b">
        <v>1</v>
      </c>
      <c r="AB12" s="88" t="s">
        <v>145</v>
      </c>
      <c r="AC12" s="88" t="s">
        <v>146</v>
      </c>
      <c r="AD12" s="99">
        <v>1</v>
      </c>
      <c r="AE12" s="88"/>
      <c r="AF12" s="88"/>
    </row>
    <row r="13" spans="1:32" x14ac:dyDescent="0.3">
      <c r="B13" s="88" t="s">
        <v>321</v>
      </c>
      <c r="C13" s="106" t="s">
        <v>340</v>
      </c>
      <c r="D13" s="88" t="s">
        <v>145</v>
      </c>
      <c r="E13" s="88" t="s">
        <v>24</v>
      </c>
      <c r="F13" s="88" t="s">
        <v>343</v>
      </c>
      <c r="G13" s="88" t="s">
        <v>346</v>
      </c>
      <c r="H13" s="88" t="s">
        <v>329</v>
      </c>
      <c r="I13" s="88">
        <v>2</v>
      </c>
      <c r="J13" s="88">
        <v>8</v>
      </c>
      <c r="K13" s="88" t="s">
        <v>122</v>
      </c>
      <c r="L13" s="96" t="s">
        <v>120</v>
      </c>
      <c r="M13" s="88" t="s">
        <v>292</v>
      </c>
      <c r="N13" s="97" t="s">
        <v>349</v>
      </c>
      <c r="O13" s="107" t="str">
        <f>SUBSTITUTE(F13,"hazr-","")&amp;"-osdisk"</f>
        <v>az-erdirect-host2-osdisk</v>
      </c>
      <c r="P13" s="99">
        <v>64</v>
      </c>
      <c r="Q13" s="100" t="s">
        <v>121</v>
      </c>
      <c r="R13" s="106"/>
      <c r="S13" s="88"/>
      <c r="T13" s="106"/>
      <c r="U13" s="106" t="str">
        <f>SUBSTITUTE(F13,"hazr-","")&amp;"-nic"</f>
        <v>az-erdirect-host2-nic</v>
      </c>
      <c r="V13" s="88" t="b">
        <v>1</v>
      </c>
      <c r="W13" s="88" t="b">
        <v>1</v>
      </c>
      <c r="X13" s="88" t="s">
        <v>145</v>
      </c>
      <c r="Y13" s="88" t="s">
        <v>138</v>
      </c>
      <c r="Z13" s="88" t="s">
        <v>350</v>
      </c>
      <c r="AA13" s="88" t="b">
        <v>1</v>
      </c>
      <c r="AB13" s="88" t="s">
        <v>145</v>
      </c>
      <c r="AC13" s="88" t="s">
        <v>146</v>
      </c>
      <c r="AD13" s="99">
        <v>1</v>
      </c>
      <c r="AE13" s="88"/>
      <c r="AF13" s="88"/>
    </row>
    <row r="14" spans="1:32" x14ac:dyDescent="0.3">
      <c r="B14" s="88" t="s">
        <v>321</v>
      </c>
      <c r="C14" s="106" t="s">
        <v>340</v>
      </c>
      <c r="D14" s="88" t="s">
        <v>145</v>
      </c>
      <c r="E14" s="88" t="s">
        <v>24</v>
      </c>
      <c r="F14" s="88" t="s">
        <v>342</v>
      </c>
      <c r="G14" s="88" t="s">
        <v>347</v>
      </c>
      <c r="H14" s="88" t="s">
        <v>329</v>
      </c>
      <c r="I14" s="88">
        <v>2</v>
      </c>
      <c r="J14" s="88">
        <v>8</v>
      </c>
      <c r="K14" s="88" t="s">
        <v>122</v>
      </c>
      <c r="L14" s="96" t="s">
        <v>120</v>
      </c>
      <c r="M14" s="88" t="s">
        <v>292</v>
      </c>
      <c r="N14" s="97" t="s">
        <v>349</v>
      </c>
      <c r="O14" s="107" t="str">
        <f>SUBSTITUTE(F14,"hazr-","")&amp;"-osdisk"</f>
        <v>az-erdirect-host3-osdisk</v>
      </c>
      <c r="P14" s="99">
        <v>64</v>
      </c>
      <c r="Q14" s="100" t="s">
        <v>121</v>
      </c>
      <c r="R14" s="106"/>
      <c r="S14" s="88"/>
      <c r="T14" s="106"/>
      <c r="U14" s="106" t="str">
        <f>SUBSTITUTE(F14,"hazr-","")&amp;"-nic"</f>
        <v>az-erdirect-host3-nic</v>
      </c>
      <c r="V14" s="88" t="b">
        <v>1</v>
      </c>
      <c r="W14" s="88" t="b">
        <v>1</v>
      </c>
      <c r="X14" s="88" t="s">
        <v>145</v>
      </c>
      <c r="Y14" s="69" t="s">
        <v>138</v>
      </c>
      <c r="Z14" s="69" t="s">
        <v>350</v>
      </c>
      <c r="AA14" s="88" t="b">
        <v>1</v>
      </c>
      <c r="AB14" s="88" t="s">
        <v>145</v>
      </c>
      <c r="AC14" s="88" t="s">
        <v>146</v>
      </c>
      <c r="AD14" s="99">
        <v>1</v>
      </c>
      <c r="AE14" s="88"/>
      <c r="AF14" s="88"/>
    </row>
    <row r="15" spans="1:32" x14ac:dyDescent="0.3">
      <c r="B15" s="88" t="s">
        <v>321</v>
      </c>
      <c r="C15" s="106" t="s">
        <v>340</v>
      </c>
      <c r="D15" s="88" t="s">
        <v>145</v>
      </c>
      <c r="E15" s="88" t="s">
        <v>24</v>
      </c>
      <c r="F15" s="88" t="s">
        <v>344</v>
      </c>
      <c r="G15" s="88" t="s">
        <v>348</v>
      </c>
      <c r="H15" s="88" t="s">
        <v>329</v>
      </c>
      <c r="I15" s="88">
        <v>2</v>
      </c>
      <c r="J15" s="88">
        <v>8</v>
      </c>
      <c r="K15" s="88" t="s">
        <v>122</v>
      </c>
      <c r="L15" s="96" t="s">
        <v>120</v>
      </c>
      <c r="M15" s="88" t="s">
        <v>292</v>
      </c>
      <c r="N15" s="97" t="s">
        <v>349</v>
      </c>
      <c r="O15" s="107" t="str">
        <f>SUBSTITUTE(F15,"hazr-","")&amp;"-osdisk"</f>
        <v>az-erdirect-host4-osdisk</v>
      </c>
      <c r="P15" s="99">
        <v>64</v>
      </c>
      <c r="Q15" s="100" t="s">
        <v>121</v>
      </c>
      <c r="R15" s="106"/>
      <c r="S15" s="88"/>
      <c r="T15" s="106"/>
      <c r="U15" s="106" t="str">
        <f>SUBSTITUTE(F15,"hazr-","")&amp;"-nic"</f>
        <v>az-erdirect-host4-nic</v>
      </c>
      <c r="V15" s="88" t="b">
        <v>1</v>
      </c>
      <c r="W15" s="88" t="b">
        <v>1</v>
      </c>
      <c r="X15" s="88" t="s">
        <v>145</v>
      </c>
      <c r="Y15" s="88" t="s">
        <v>138</v>
      </c>
      <c r="Z15" s="88" t="s">
        <v>350</v>
      </c>
      <c r="AA15" s="88" t="b">
        <v>1</v>
      </c>
      <c r="AB15" s="88" t="s">
        <v>145</v>
      </c>
      <c r="AC15" s="88" t="s">
        <v>146</v>
      </c>
      <c r="AD15" s="99">
        <v>1</v>
      </c>
      <c r="AE15" s="88"/>
      <c r="AF15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1" sqref="B11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  <row r="10" spans="1:18" x14ac:dyDescent="0.3">
      <c r="A10" s="92"/>
      <c r="B10" s="103" t="s">
        <v>321</v>
      </c>
      <c r="C10" s="104" t="str" cm="1">
        <f t="array" ref="C10">UPPER(INDEX(_xlfn.TEXTSPLIT($F10, "-"), 3))</f>
        <v>IF</v>
      </c>
      <c r="D10" s="104" t="s">
        <v>145</v>
      </c>
      <c r="E10" s="105" t="s">
        <v>24</v>
      </c>
      <c r="F10" s="103" t="s">
        <v>327</v>
      </c>
      <c r="G10" s="103" t="s">
        <v>331</v>
      </c>
      <c r="H10" s="103" t="s">
        <v>121</v>
      </c>
      <c r="I10" s="103">
        <v>128</v>
      </c>
      <c r="J10" s="103" t="s">
        <v>332</v>
      </c>
      <c r="K10" s="103" t="s">
        <v>121</v>
      </c>
      <c r="L10" s="103">
        <v>128</v>
      </c>
      <c r="M10" s="104">
        <v>1</v>
      </c>
      <c r="N10" s="103" t="s">
        <v>133</v>
      </c>
      <c r="O10" s="103" t="s">
        <v>145</v>
      </c>
      <c r="P10" s="103" t="s">
        <v>146</v>
      </c>
      <c r="Q10" s="103" t="b">
        <v>1</v>
      </c>
      <c r="R10" s="103"/>
    </row>
    <row r="11" spans="1:18" x14ac:dyDescent="0.3">
      <c r="A11" s="92"/>
      <c r="B11" s="69" t="s">
        <v>321</v>
      </c>
      <c r="C11" s="69" t="str" cm="1">
        <f t="array" ref="C11">UPPER(INDEX(_xlfn.TEXTSPLIT($F11, "-"), 3))</f>
        <v>IF</v>
      </c>
      <c r="D11" s="69" t="s">
        <v>335</v>
      </c>
      <c r="E11" s="69" t="s">
        <v>24</v>
      </c>
      <c r="F11" s="69" t="s">
        <v>337</v>
      </c>
      <c r="G11" s="75" t="s">
        <v>338</v>
      </c>
      <c r="H11" s="69" t="s">
        <v>121</v>
      </c>
      <c r="I11" s="69">
        <v>2048</v>
      </c>
      <c r="J11" s="75" t="s">
        <v>339</v>
      </c>
      <c r="K11" s="75" t="s">
        <v>121</v>
      </c>
      <c r="L11" s="69">
        <v>128</v>
      </c>
      <c r="M11" s="69">
        <v>1</v>
      </c>
      <c r="N11" s="69" t="s">
        <v>133</v>
      </c>
      <c r="O11" s="75" t="s">
        <v>145</v>
      </c>
      <c r="P11" s="69" t="s">
        <v>146</v>
      </c>
      <c r="Q11" s="69" t="b">
        <v>1</v>
      </c>
      <c r="R11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"/>
  <sheetViews>
    <sheetView tabSelected="1" workbookViewId="0">
      <selection activeCell="B1" sqref="B1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A9" s="84"/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:E10" si="5">SUBSTITUTE(I9,"hazr-","")&amp;"-nsg"</f>
        <v>l-com-scmsol01-nsg</v>
      </c>
      <c r="F9" s="75" t="s">
        <v>145</v>
      </c>
      <c r="G9" s="75" t="s">
        <v>138</v>
      </c>
      <c r="H9" s="75" t="s">
        <v>290</v>
      </c>
      <c r="I9" s="75" t="s">
        <v>322</v>
      </c>
      <c r="J9" s="75" t="s">
        <v>145</v>
      </c>
      <c r="K9" s="75" t="str">
        <f t="shared" ref="K9:K10" si="6">SUBSTITUTE(I9,"hazr-","")&amp;"-nic"</f>
        <v>l-com-scmsol01-nic</v>
      </c>
      <c r="L9" s="75" t="s">
        <v>141</v>
      </c>
      <c r="M9" s="75"/>
    </row>
    <row r="10" spans="1:13" x14ac:dyDescent="0.3">
      <c r="A10" s="84"/>
      <c r="B10" s="73" t="s">
        <v>321</v>
      </c>
      <c r="C10" s="73" t="str" cm="1">
        <f t="array" ref="C10">UPPER(INDEX(_xlfn.TEXTSPLIT($E10, "-"), 2))</f>
        <v>IF</v>
      </c>
      <c r="D10" s="73" t="s">
        <v>145</v>
      </c>
      <c r="E10" s="73" t="str">
        <f t="shared" si="5"/>
        <v>l-if-hipsproxy01-nsg</v>
      </c>
      <c r="F10" s="73" t="s">
        <v>145</v>
      </c>
      <c r="G10" s="73" t="s">
        <v>138</v>
      </c>
      <c r="H10" s="73" t="s">
        <v>290</v>
      </c>
      <c r="I10" s="73" t="s">
        <v>327</v>
      </c>
      <c r="J10" s="73" t="s">
        <v>145</v>
      </c>
      <c r="K10" s="73" t="str">
        <f t="shared" si="6"/>
        <v>l-if-hipsproxy01-nic</v>
      </c>
      <c r="L10" s="73" t="s">
        <v>141</v>
      </c>
      <c r="M10" s="73"/>
    </row>
    <row r="11" spans="1:13" x14ac:dyDescent="0.3">
      <c r="A11" s="84"/>
      <c r="B11" s="75" t="s">
        <v>321</v>
      </c>
      <c r="C11" s="75" t="str" cm="1">
        <f t="array" ref="C11">UPPER(INDEX(_xlfn.TEXTSPLIT($E11, "-"), 2))</f>
        <v>IF</v>
      </c>
      <c r="D11" s="75" t="s">
        <v>145</v>
      </c>
      <c r="E11" s="75" t="str">
        <f>SUBSTITUTE(I11,"hazr-","")&amp;"-nsg"</f>
        <v>l-if-sastsol01-nsg</v>
      </c>
      <c r="F11" s="75" t="s">
        <v>145</v>
      </c>
      <c r="G11" s="75" t="s">
        <v>138</v>
      </c>
      <c r="H11" s="75" t="s">
        <v>290</v>
      </c>
      <c r="I11" s="75" t="s">
        <v>337</v>
      </c>
      <c r="J11" s="75" t="s">
        <v>145</v>
      </c>
      <c r="K11" s="75" t="str">
        <f t="shared" ref="K11:K12" si="7">SUBSTITUTE(I11,"hazr-","")&amp;"-nic"</f>
        <v>l-if-sastsol01-nic</v>
      </c>
      <c r="L11" s="75" t="s">
        <v>141</v>
      </c>
      <c r="M11" s="75"/>
    </row>
    <row r="12" spans="1:13" x14ac:dyDescent="0.3">
      <c r="B12" s="73" t="s">
        <v>321</v>
      </c>
      <c r="C12" s="73" t="s">
        <v>351</v>
      </c>
      <c r="D12" s="73" t="s">
        <v>145</v>
      </c>
      <c r="E12" s="73" t="str">
        <f t="shared" ref="E12:E15" si="8">SUBSTITUTE(I12,"hazr-","")&amp;"-nsg"</f>
        <v>az-erdirect-host1-nsg</v>
      </c>
      <c r="F12" s="73" t="s">
        <v>145</v>
      </c>
      <c r="G12" s="73" t="s">
        <v>138</v>
      </c>
      <c r="H12" s="73" t="s">
        <v>350</v>
      </c>
      <c r="I12" s="102" t="s">
        <v>341</v>
      </c>
      <c r="J12" s="73" t="s">
        <v>145</v>
      </c>
      <c r="K12" s="73" t="str">
        <f t="shared" si="7"/>
        <v>az-erdirect-host1-nic</v>
      </c>
      <c r="L12" s="73" t="s">
        <v>141</v>
      </c>
      <c r="M12" s="73"/>
    </row>
    <row r="13" spans="1:13" x14ac:dyDescent="0.3">
      <c r="B13" s="75" t="s">
        <v>321</v>
      </c>
      <c r="C13" s="75" t="s">
        <v>351</v>
      </c>
      <c r="D13" s="75" t="s">
        <v>145</v>
      </c>
      <c r="E13" s="75" t="str">
        <f t="shared" si="8"/>
        <v>az-erdirect-host2-nsg</v>
      </c>
      <c r="F13" s="75" t="s">
        <v>145</v>
      </c>
      <c r="G13" s="75" t="s">
        <v>138</v>
      </c>
      <c r="H13" s="75" t="s">
        <v>350</v>
      </c>
      <c r="I13" s="101" t="s">
        <v>343</v>
      </c>
      <c r="J13" s="75" t="s">
        <v>145</v>
      </c>
      <c r="K13" s="75" t="str">
        <f t="shared" ref="K13:K15" si="9">SUBSTITUTE(I13,"hazr-","")&amp;"-nic"</f>
        <v>az-erdirect-host2-nic</v>
      </c>
      <c r="L13" s="75" t="s">
        <v>141</v>
      </c>
      <c r="M13" s="75"/>
    </row>
    <row r="14" spans="1:13" x14ac:dyDescent="0.3">
      <c r="B14" s="73" t="s">
        <v>321</v>
      </c>
      <c r="C14" s="73" t="s">
        <v>351</v>
      </c>
      <c r="D14" s="73" t="s">
        <v>145</v>
      </c>
      <c r="E14" s="73" t="str">
        <f t="shared" si="8"/>
        <v>az-erdirect-host3-nsg</v>
      </c>
      <c r="F14" s="73" t="s">
        <v>145</v>
      </c>
      <c r="G14" s="73" t="s">
        <v>138</v>
      </c>
      <c r="H14" s="73" t="s">
        <v>350</v>
      </c>
      <c r="I14" s="102" t="s">
        <v>342</v>
      </c>
      <c r="J14" s="73" t="s">
        <v>145</v>
      </c>
      <c r="K14" s="73" t="str">
        <f t="shared" si="9"/>
        <v>az-erdirect-host3-nic</v>
      </c>
      <c r="L14" s="73" t="s">
        <v>141</v>
      </c>
      <c r="M14" s="73"/>
    </row>
    <row r="15" spans="1:13" x14ac:dyDescent="0.3">
      <c r="B15" s="75" t="s">
        <v>321</v>
      </c>
      <c r="C15" s="75" t="s">
        <v>351</v>
      </c>
      <c r="D15" s="75" t="s">
        <v>145</v>
      </c>
      <c r="E15" s="75" t="str">
        <f t="shared" si="8"/>
        <v>az-erdirect-host4-nsg</v>
      </c>
      <c r="F15" s="75" t="s">
        <v>145</v>
      </c>
      <c r="G15" s="75" t="s">
        <v>138</v>
      </c>
      <c r="H15" s="75" t="s">
        <v>350</v>
      </c>
      <c r="I15" s="101" t="s">
        <v>344</v>
      </c>
      <c r="J15" s="75" t="s">
        <v>145</v>
      </c>
      <c r="K15" s="75" t="str">
        <f t="shared" si="9"/>
        <v>az-erdirect-host4-nic</v>
      </c>
      <c r="L15" s="75" t="s">
        <v>141</v>
      </c>
      <c r="M15" s="75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F43" sqref="F42:F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2026-08-11T07:18:49Z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