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620AC3E-4BD6-4C0B-AD9F-90F2DFDEDC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7" i="2"/>
  <c r="E18" i="2"/>
  <c r="E19" i="2"/>
  <c r="K16" i="2"/>
  <c r="K17" i="2"/>
  <c r="K18" i="2"/>
  <c r="K19" i="2"/>
  <c r="O16" i="1"/>
  <c r="O17" i="1"/>
  <c r="O18" i="1"/>
  <c r="O19" i="1"/>
  <c r="U16" i="1"/>
  <c r="U17" i="1"/>
  <c r="U18" i="1"/>
  <c r="U19" i="1"/>
  <c r="E12" i="2"/>
  <c r="E13" i="2"/>
  <c r="E14" i="2"/>
  <c r="E15" i="2"/>
  <c r="K12" i="2"/>
  <c r="K13" i="2"/>
  <c r="K14" i="2"/>
  <c r="K15" i="2"/>
  <c r="O15" i="1"/>
  <c r="U15" i="1"/>
  <c r="O14" i="1"/>
  <c r="U14" i="1"/>
  <c r="O13" i="1"/>
  <c r="U13" i="1"/>
  <c r="O12" i="1"/>
  <c r="U12" i="1"/>
  <c r="E11" i="2"/>
  <c r="C11" i="2" s="1" a="1"/>
  <c r="C11" i="2" s="1"/>
  <c r="U11" i="1"/>
  <c r="K11" i="2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<sst xmlns="http://schemas.openxmlformats.org/spreadsheetml/2006/main" count="2117" uniqueCount="360">
  <si>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</si>
  <si>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</si>
  <si>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</si>
  <si>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</si>
  <si>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</si>
  <si>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</si>
  <si>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</si>
  <si>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</si>
  <si>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</si>
  <si>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</si>
  <si>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</si>
  <si>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</si>
  <si>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</si>
  <si>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</si>
  <si>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</si>
  <si>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</si>
  <si>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</si>
  <si>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</si>
  <si>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</si>
  <si>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</si>
  <si>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</si>
  <si>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</si>
  <si>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</si>
  <si>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</si>
  <si>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</si>
  <si>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</si>
  <si>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</si>
  <si>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</si>
  <si>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</si>
  <si>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</si>
  <si>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</si>
  <si>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</si>
  <si>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</si>
  <si>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</si>
  <si>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</si>
  <si>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</si>
  <si>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</si>
  <si>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</si>
  <si>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</si>
  <si>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</si>
  <si>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</si>
  <si>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</si>
  <si>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</si>
  <si>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</si>
  <si>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</si>
  <si>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</si>
  <si>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</si>
  <si>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</si>
  <si>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</si>
  <si>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</si>
  <si>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</si>
  <si>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</si>
  <si>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</si>
  <si>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</si>
  <si>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</si>
  <si>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</si>
  <si>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</si>
  <si>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</si>
  <si>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</si>
  <si>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</si>
  <si>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</si>
  <si>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</si>
  <si>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</si>
  <si>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</si>
  <si>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</si>
  <si>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</si>
  <si>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</si>
  <si>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</si>
  <si>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</si>
  <si>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</si>
  <si>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</si>
  <si>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</si>
  <si>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</si>
  <si>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</si>
  <si>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</si>
  <si>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</si>
  <si>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</si>
  <si>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</si>
  <si>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</si>
  <si>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</si>
  <si>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</si>
  <si>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</si>
  <si>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</si>
  <si>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</si>
  <si>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</si>
  <si>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</si>
  <si>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</si>
  <si>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</si>
  <si>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</si>
  <si>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</si>
  <si>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</si>
  <si>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</si>
  <si>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</si>
  <si>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</si>
  <si>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</si>
  <si>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</si>
  <si>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</si>
  <si>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</si>
  <si>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</si>
  <si>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</si>
  <si>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</si>
  <si>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</si>
  <si>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</si>
  <si>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</si>
  <si>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</si>
  <si>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</si>
  <si>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</si>
  <si>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</si>
  <si>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</si>
  <si>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</si>
  <si>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</si>
  <si>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</si>
  <si>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</si>
  <si>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</si>
  <si>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</si>
  <si>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</si>
  <si>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</si>
  <si>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</si>
  <si>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</si>
  <si>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</si>
  <si>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</si>
  <si>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</si>
  <si>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</si>
  <si>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</si>
  <si>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</si>
  <si>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</si>
  <si>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</si>
  <si>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</si>
  <si>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</si>
  <si>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</si>
  <si>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</si>
  <si>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</si>
  <si>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</si>
  <si>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</si>
  <si>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</si>
  <si>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</si>
  <si>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</si>
  <si>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</si>
  <si>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</si>
  <si>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</si>
  <si>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</si>
  <si>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</si>
  <si>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</si>
  <si>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</si>
  <si>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</si>
  <si>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</si>
  <si>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</si>
  <si>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</si>
  <si>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</si>
  <si>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</si>
  <si>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</si>
  <si>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</si>
  <si>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</si>
  <si>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</si>
  <si>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</si>
  <si>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</si>
  <si>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</si>
  <si>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</si>
  <si>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</si>
  <si>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</si>
  <si>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</si>
  <si>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</si>
  <si>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</si>
  <si>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</si>
  <si>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</si>
  <si>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</si>
  <si>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</si>
  <si>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</si>
  <si>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</si>
  <si>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</si>
  <si>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</si>
  <si>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</si>
  <si>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</si>
  <si>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</si>
  <si>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</si>
  <si>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</si>
  <si>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</si>
  <si>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</si>
  <si>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</si>
  <si>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</si>
  <si>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</si>
  <si>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</si>
  <si>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</si>
  <si>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</si>
  <si>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</si>
  <si>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</si>
  <si>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</si>
  <si>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</si>
  <si>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</si>
  <si>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</si>
  <si>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</si>
  <si>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</si>
  <si>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</si>
  <si>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</si>
  <si>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</si>
  <si>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</si>
  <si>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</si>
  <si>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</si>
  <si>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</si>
  <si>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</si>
  <si>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</si>
  <si>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</si>
  <si>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</si>
  <si>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</si>
  <si>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</si>
  <si>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</si>
  <si>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</si>
  <si>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</si>
  <si>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</si>
  <si>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</si>
  <si>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</si>
  <si>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</si>
  <si>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</si>
  <si>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</si>
  <si>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</si>
  <si>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</si>
  <si>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</si>
  <si>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</si>
  <si>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</si>
  <si>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</si>
  <si>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</si>
  <si>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</si>
  <si>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</si>
  <si>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</si>
  <si>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</si>
  <si>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</si>
  <si>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</si>
  <si>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</si>
  <si>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</si>
  <si>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</si>
  <si>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</si>
  <si>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</si>
  <si>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</si>
  <si>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</si>
  <si>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</si>
  <si>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</si>
  <si>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</si>
  <si>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</si>
  <si>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</si>
  <si>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</si>
  <si>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</si>
  <si>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</si>
  <si>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</si>
  <si>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</si>
  <si>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</si>
  <si>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</si>
  <si>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</si>
  <si>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</si>
  <si>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</si>
  <si>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</si>
  <si>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</si>
  <si>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</si>
  <si>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</si>
  <si>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</si>
  <si>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</si>
  <si>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</si>
  <si>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</si>
  <si>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</si>
  <si>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</si>
  <si>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</si>
  <si>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</si>
  <si>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</si>
  <si>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</si>
  <si>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</si>
  <si>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</si>
  <si>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</si>
  <si>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</si>
  <si>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</si>
  <si>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</si>
  <si>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</si>
  <si>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</si>
  <si>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</si>
  <si>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</si>
  <si>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</si>
  <si>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</si>
  <si>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</si>
  <si>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</si>
  <si>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</si>
  <si>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</si>
  <si>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</si>
  <si>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</si>
  <si>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</si>
  <si>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</si>
  <si>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</si>
  <si>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</si>
  <si>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</si>
  <si>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</si>
  <si>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</si>
  <si>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</si>
  <si>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</si>
  <si>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</si>
  <si>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</si>
  <si>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</si>
  <si>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</si>
  <si>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</si>
  <si>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</si>
  <si>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</si>
  <si>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</si>
  <si>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</si>
  <si>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</si>
  <si>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</si>
  <si>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</si>
  <si>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</si>
  <si>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</si>
  <si>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</si>
  <si>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</si>
  <si>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</si>
  <si>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</si>
  <si>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</si>
  <si>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</si>
  <si>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</si>
  <si>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</si>
  <si>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</si>
  <si>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</si>
  <si>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</si>
  <si>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</si>
  <si>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</si>
  <si>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</si>
  <si>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</si>
  <si>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</si>
  <si>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</si>
  <si>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</si>
  <si>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</si>
  <si>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</si>
  <si>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</si>
  <si>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</si>
  <si>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</si>
  <si>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</si>
  <si>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</si>
  <si>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</si>
  <si>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</si>
  <si>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</si>
  <si>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</si>
  <si>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</si>
  <si>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</si>
  <si>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</si>
  <si>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</si>
  <si>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</si>
  <si>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</si>
  <si>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</si>
  <si>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</si>
  <si>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</si>
  <si>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</si>
  <si>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</si>
  <si>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</si>
  <si>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</si>
  <si>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</si>
  <si>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</si>
  <si>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</si>
  <si>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l-ertest-sbn</t>
    <phoneticPr fontId="1" type="noConversion"/>
  </si>
  <si>
    <t>TEMP</t>
    <phoneticPr fontId="1" type="noConversion"/>
  </si>
  <si>
    <t>az-grayzone-host1</t>
    <phoneticPr fontId="1" type="noConversion"/>
  </si>
  <si>
    <t>az-grayzone-host2</t>
    <phoneticPr fontId="1" type="noConversion"/>
  </si>
  <si>
    <t>az-grayzone-host3</t>
    <phoneticPr fontId="1" type="noConversion"/>
  </si>
  <si>
    <t>az-grayzone-host4</t>
    <phoneticPr fontId="1" type="noConversion"/>
  </si>
  <si>
    <t>10.155.161.156</t>
    <phoneticPr fontId="1" type="noConversion"/>
  </si>
  <si>
    <t>10.155.161.157</t>
    <phoneticPr fontId="1" type="noConversion"/>
  </si>
  <si>
    <t>10.155.161.158</t>
    <phoneticPr fontId="1" type="noConversion"/>
  </si>
  <si>
    <t>10.155.161.155</t>
    <phoneticPr fontId="1" type="noConversion"/>
  </si>
  <si>
    <t>/subscriptions/38befed7-7726-4784-910e-0cea5422077d/resourceGroups/hazr-d-dch-rg/providers/Microsoft.Compute/galleries/temp_ertest_gallery/images/temp_ertest_vm_image/versions/0.0.2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</si>
</sst>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9" totalsRowShown="0" headerRowDxfId="32" dataDxfId="31">
  <autoFilter ref="B1:AF1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9"/>
  <sheetViews>
    <sheetView tabSelected="1" zoomScaleNormal="100" zoomScaleSheetLayoutView="100" workbookViewId="0">
      <pane xSplit="6" ySplit="1" topLeftCell="W2" activePane="bottomRight" state="frozen"/>
      <selection pane="topRight"/>
      <selection pane="bottomLeft"/>
      <selection pane="bottomRight" activeCell="D12" sqref="D12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 t="shared" ref="O7:O15" si="4"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 t="shared" ref="U7:U15" si="5"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 t="shared" si="4"/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 t="shared" si="5"/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 t="shared" si="4"/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 t="shared" si="5"/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 t="shared" si="4"/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 t="shared" si="5"/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A11" s="84"/>
      <c r="B11" s="88" t="s">
        <v>321</v>
      </c>
      <c r="C11" s="88" t="str" cm="1">
        <f t="array" ref="C11">UPPER(INDEX(_xlfn.TEXTSPLIT($F11, "-"), 3))</f>
        <v>IF</v>
      </c>
      <c r="D11" s="88" t="s">
        <v>145</v>
      </c>
      <c r="E11" s="88" t="s">
        <v>24</v>
      </c>
      <c r="F11" s="88" t="s">
        <v>337</v>
      </c>
      <c r="G11" s="88" t="s">
        <v>333</v>
      </c>
      <c r="H11" s="88" t="s">
        <v>334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336</v>
      </c>
      <c r="O11" s="98" t="str">
        <f t="shared" si="4"/>
        <v>l-if-sastsol01-osdisk</v>
      </c>
      <c r="P11" s="99">
        <v>64</v>
      </c>
      <c r="Q11" s="100" t="s">
        <v>121</v>
      </c>
      <c r="R11" s="88"/>
      <c r="S11" s="88"/>
      <c r="T11" s="88"/>
      <c r="U11" s="88" t="str">
        <f t="shared" si="5"/>
        <v>l-if-sastsol01-nic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  <row r="12" spans="1:32" x14ac:dyDescent="0.3">
      <c r="B12" s="88" t="s">
        <v>321</v>
      </c>
      <c r="C12" s="88"/>
      <c r="D12" s="88" t="s">
        <v>145</v>
      </c>
      <c r="E12" s="88" t="s">
        <v>24</v>
      </c>
      <c r="F12" s="88" t="s">
        <v>341</v>
      </c>
      <c r="G12" s="88" t="s">
        <v>345</v>
      </c>
      <c r="H12" s="88" t="s">
        <v>329</v>
      </c>
      <c r="I12" s="88">
        <v>2</v>
      </c>
      <c r="J12" s="88">
        <v>8</v>
      </c>
      <c r="K12" s="88" t="s">
        <v>122</v>
      </c>
      <c r="L12" s="96" t="s">
        <v>120</v>
      </c>
      <c r="M12" s="88" t="s">
        <v>292</v>
      </c>
      <c r="N12" s="97" t="s">
        <v>359</v>
      </c>
      <c r="O12" s="98" t="str">
        <f t="shared" si="4"/>
        <v>az-erdirect-host1-osdisk</v>
      </c>
      <c r="P12" s="99">
        <v>64</v>
      </c>
      <c r="Q12" s="100" t="s">
        <v>121</v>
      </c>
      <c r="R12" s="88"/>
      <c r="S12" s="88"/>
      <c r="T12" s="88"/>
      <c r="U12" s="88" t="str">
        <f t="shared" si="5"/>
        <v>az-erdirect-host1-nic</v>
      </c>
      <c r="V12" s="88" t="b">
        <v>1</v>
      </c>
      <c r="W12" s="88" t="b">
        <v>1</v>
      </c>
      <c r="X12" s="88" t="s">
        <v>145</v>
      </c>
      <c r="Y12" s="69" t="s">
        <v>138</v>
      </c>
      <c r="Z12" s="69" t="s">
        <v>349</v>
      </c>
      <c r="AA12" s="88" t="b">
        <v>1</v>
      </c>
      <c r="AB12" s="88" t="s">
        <v>145</v>
      </c>
      <c r="AC12" s="88" t="s">
        <v>146</v>
      </c>
      <c r="AD12" s="99">
        <v>1</v>
      </c>
      <c r="AE12" s="88"/>
      <c r="AF12" s="88"/>
    </row>
    <row r="13" spans="1:32" x14ac:dyDescent="0.3">
      <c r="B13" s="88" t="s">
        <v>321</v>
      </c>
      <c r="C13" s="88" t="s">
        <v>340</v>
      </c>
      <c r="D13" s="88" t="s">
        <v>145</v>
      </c>
      <c r="E13" s="88" t="s">
        <v>24</v>
      </c>
      <c r="F13" s="88" t="s">
        <v>343</v>
      </c>
      <c r="G13" s="88" t="s">
        <v>346</v>
      </c>
      <c r="H13" s="88" t="s">
        <v>329</v>
      </c>
      <c r="I13" s="88">
        <v>2</v>
      </c>
      <c r="J13" s="88">
        <v>8</v>
      </c>
      <c r="K13" s="88" t="s">
        <v>122</v>
      </c>
      <c r="L13" s="96" t="s">
        <v>120</v>
      </c>
      <c r="M13" s="88" t="s">
        <v>292</v>
      </c>
      <c r="N13" s="97" t="s">
        <v>359</v>
      </c>
      <c r="O13" s="98" t="str">
        <f t="shared" si="4"/>
        <v>az-erdirect-host2-osdisk</v>
      </c>
      <c r="P13" s="99">
        <v>64</v>
      </c>
      <c r="Q13" s="100" t="s">
        <v>121</v>
      </c>
      <c r="R13" s="88"/>
      <c r="S13" s="88"/>
      <c r="T13" s="88"/>
      <c r="U13" s="88" t="str">
        <f t="shared" si="5"/>
        <v>az-erdirect-host2-nic</v>
      </c>
      <c r="V13" s="88" t="b">
        <v>1</v>
      </c>
      <c r="W13" s="88" t="b">
        <v>1</v>
      </c>
      <c r="X13" s="88" t="s">
        <v>145</v>
      </c>
      <c r="Y13" s="88" t="s">
        <v>138</v>
      </c>
      <c r="Z13" s="88" t="s">
        <v>349</v>
      </c>
      <c r="AA13" s="88" t="b">
        <v>1</v>
      </c>
      <c r="AB13" s="88" t="s">
        <v>145</v>
      </c>
      <c r="AC13" s="88" t="s">
        <v>146</v>
      </c>
      <c r="AD13" s="99">
        <v>1</v>
      </c>
      <c r="AE13" s="88"/>
      <c r="AF13" s="88"/>
    </row>
    <row r="14" spans="1:32" x14ac:dyDescent="0.3">
      <c r="B14" s="88" t="s">
        <v>321</v>
      </c>
      <c r="C14" s="88" t="s">
        <v>340</v>
      </c>
      <c r="D14" s="88" t="s">
        <v>145</v>
      </c>
      <c r="E14" s="88" t="s">
        <v>24</v>
      </c>
      <c r="F14" s="88" t="s">
        <v>342</v>
      </c>
      <c r="G14" s="88" t="s">
        <v>347</v>
      </c>
      <c r="H14" s="88" t="s">
        <v>329</v>
      </c>
      <c r="I14" s="88">
        <v>2</v>
      </c>
      <c r="J14" s="88">
        <v>8</v>
      </c>
      <c r="K14" s="88" t="s">
        <v>122</v>
      </c>
      <c r="L14" s="96" t="s">
        <v>120</v>
      </c>
      <c r="M14" s="88" t="s">
        <v>292</v>
      </c>
      <c r="N14" s="97" t="s">
        <v>359</v>
      </c>
      <c r="O14" s="98" t="str">
        <f t="shared" si="4"/>
        <v>az-erdirect-host3-osdisk</v>
      </c>
      <c r="P14" s="99">
        <v>64</v>
      </c>
      <c r="Q14" s="100" t="s">
        <v>121</v>
      </c>
      <c r="R14" s="88"/>
      <c r="S14" s="88"/>
      <c r="T14" s="88"/>
      <c r="U14" s="88" t="str">
        <f t="shared" si="5"/>
        <v>az-erdirect-host3-nic</v>
      </c>
      <c r="V14" s="88" t="b">
        <v>1</v>
      </c>
      <c r="W14" s="88" t="b">
        <v>1</v>
      </c>
      <c r="X14" s="88" t="s">
        <v>145</v>
      </c>
      <c r="Y14" s="69" t="s">
        <v>138</v>
      </c>
      <c r="Z14" s="69" t="s">
        <v>349</v>
      </c>
      <c r="AA14" s="88" t="b">
        <v>1</v>
      </c>
      <c r="AB14" s="88" t="s">
        <v>145</v>
      </c>
      <c r="AC14" s="88" t="s">
        <v>146</v>
      </c>
      <c r="AD14" s="99">
        <v>1</v>
      </c>
      <c r="AE14" s="88"/>
      <c r="AF14" s="88"/>
    </row>
    <row r="15" spans="1:32" x14ac:dyDescent="0.3">
      <c r="B15" s="88" t="s">
        <v>321</v>
      </c>
      <c r="C15" s="88" t="s">
        <v>340</v>
      </c>
      <c r="D15" s="88" t="s">
        <v>145</v>
      </c>
      <c r="E15" s="88" t="s">
        <v>24</v>
      </c>
      <c r="F15" s="88" t="s">
        <v>344</v>
      </c>
      <c r="G15" s="88" t="s">
        <v>348</v>
      </c>
      <c r="H15" s="88" t="s">
        <v>329</v>
      </c>
      <c r="I15" s="88">
        <v>2</v>
      </c>
      <c r="J15" s="88">
        <v>8</v>
      </c>
      <c r="K15" s="88" t="s">
        <v>122</v>
      </c>
      <c r="L15" s="96" t="s">
        <v>120</v>
      </c>
      <c r="M15" s="88" t="s">
        <v>292</v>
      </c>
      <c r="N15" s="97" t="s">
        <v>359</v>
      </c>
      <c r="O15" s="98" t="str">
        <f t="shared" si="4"/>
        <v>az-erdirect-host4-osdisk</v>
      </c>
      <c r="P15" s="99">
        <v>64</v>
      </c>
      <c r="Q15" s="100" t="s">
        <v>121</v>
      </c>
      <c r="R15" s="88"/>
      <c r="S15" s="88"/>
      <c r="T15" s="88"/>
      <c r="U15" s="88" t="str">
        <f t="shared" si="5"/>
        <v>az-erdirect-host4-nic</v>
      </c>
      <c r="V15" s="88" t="b">
        <v>1</v>
      </c>
      <c r="W15" s="88" t="b">
        <v>1</v>
      </c>
      <c r="X15" s="88" t="s">
        <v>145</v>
      </c>
      <c r="Y15" s="88" t="s">
        <v>138</v>
      </c>
      <c r="Z15" s="88" t="s">
        <v>349</v>
      </c>
      <c r="AA15" s="88" t="b">
        <v>1</v>
      </c>
      <c r="AB15" s="88" t="s">
        <v>145</v>
      </c>
      <c r="AC15" s="88" t="s">
        <v>146</v>
      </c>
      <c r="AD15" s="99">
        <v>1</v>
      </c>
      <c r="AE15" s="88"/>
      <c r="AF15" s="88"/>
    </row>
    <row r="16" spans="1:32" x14ac:dyDescent="0.3">
      <c r="B16" s="69" t="s">
        <v>321</v>
      </c>
      <c r="C16" s="69" t="s">
        <v>340</v>
      </c>
      <c r="D16" s="88" t="s">
        <v>145</v>
      </c>
      <c r="E16" s="88" t="s">
        <v>24</v>
      </c>
      <c r="F16" s="69" t="s">
        <v>351</v>
      </c>
      <c r="G16" s="69" t="s">
        <v>358</v>
      </c>
      <c r="H16" s="88" t="s">
        <v>329</v>
      </c>
      <c r="I16" s="88">
        <v>2</v>
      </c>
      <c r="J16" s="88">
        <v>8</v>
      </c>
      <c r="K16" s="88" t="s">
        <v>122</v>
      </c>
      <c r="L16" s="96" t="s">
        <v>120</v>
      </c>
      <c r="M16" s="88" t="s">
        <v>292</v>
      </c>
      <c r="N16" s="97" t="s">
        <v>359</v>
      </c>
      <c r="O16" s="106" t="str">
        <f t="shared" ref="O16:O19" si="6">SUBSTITUTE(F16,"hazr-","")&amp;"-osdisk"</f>
        <v>az-grayzone-host1-osdisk</v>
      </c>
      <c r="P16" s="99">
        <v>64</v>
      </c>
      <c r="Q16" s="100" t="s">
        <v>121</v>
      </c>
      <c r="R16" s="69"/>
      <c r="S16" s="69"/>
      <c r="T16" s="69"/>
      <c r="U16" s="69" t="str">
        <f t="shared" ref="U16:U19" si="7">SUBSTITUTE(F16,"hazr-","")&amp;"-nic"</f>
        <v>az-grayzone-host1-nic</v>
      </c>
      <c r="V16" s="88" t="b">
        <v>1</v>
      </c>
      <c r="W16" s="88" t="b">
        <v>1</v>
      </c>
      <c r="X16" s="88" t="s">
        <v>145</v>
      </c>
      <c r="Y16" s="69" t="s">
        <v>138</v>
      </c>
      <c r="Z16" s="69" t="s">
        <v>290</v>
      </c>
      <c r="AA16" s="88" t="b">
        <v>1</v>
      </c>
      <c r="AB16" s="88" t="s">
        <v>145</v>
      </c>
      <c r="AC16" s="88" t="s">
        <v>146</v>
      </c>
      <c r="AD16" s="99">
        <v>1</v>
      </c>
      <c r="AE16" s="69"/>
      <c r="AF16" s="69"/>
    </row>
    <row r="17" spans="2:32" x14ac:dyDescent="0.3">
      <c r="B17" s="69" t="s">
        <v>321</v>
      </c>
      <c r="C17" s="69" t="s">
        <v>340</v>
      </c>
      <c r="D17" s="88" t="s">
        <v>145</v>
      </c>
      <c r="E17" s="88" t="s">
        <v>24</v>
      </c>
      <c r="F17" s="69" t="s">
        <v>352</v>
      </c>
      <c r="G17" s="69" t="s">
        <v>355</v>
      </c>
      <c r="H17" s="88" t="s">
        <v>329</v>
      </c>
      <c r="I17" s="88">
        <v>2</v>
      </c>
      <c r="J17" s="88">
        <v>8</v>
      </c>
      <c r="K17" s="88" t="s">
        <v>122</v>
      </c>
      <c r="L17" s="96" t="s">
        <v>120</v>
      </c>
      <c r="M17" s="88" t="s">
        <v>292</v>
      </c>
      <c r="N17" s="97" t="s">
        <v>359</v>
      </c>
      <c r="O17" s="106" t="str">
        <f t="shared" si="6"/>
        <v>az-grayzone-host2-osdisk</v>
      </c>
      <c r="P17" s="99">
        <v>64</v>
      </c>
      <c r="Q17" s="100" t="s">
        <v>121</v>
      </c>
      <c r="R17" s="69"/>
      <c r="S17" s="69"/>
      <c r="T17" s="69"/>
      <c r="U17" s="69" t="str">
        <f t="shared" si="7"/>
        <v>az-grayzone-host2-nic</v>
      </c>
      <c r="V17" s="88" t="b">
        <v>1</v>
      </c>
      <c r="W17" s="88" t="b">
        <v>1</v>
      </c>
      <c r="X17" s="88" t="s">
        <v>145</v>
      </c>
      <c r="Y17" s="88" t="s">
        <v>138</v>
      </c>
      <c r="Z17" s="88" t="s">
        <v>290</v>
      </c>
      <c r="AA17" s="88" t="b">
        <v>1</v>
      </c>
      <c r="AB17" s="88" t="s">
        <v>145</v>
      </c>
      <c r="AC17" s="88" t="s">
        <v>146</v>
      </c>
      <c r="AD17" s="99">
        <v>1</v>
      </c>
      <c r="AE17" s="69"/>
      <c r="AF17" s="69"/>
    </row>
    <row r="18" spans="2:32" x14ac:dyDescent="0.3">
      <c r="B18" s="69" t="s">
        <v>321</v>
      </c>
      <c r="C18" s="69" t="s">
        <v>340</v>
      </c>
      <c r="D18" s="88" t="s">
        <v>145</v>
      </c>
      <c r="E18" s="88" t="s">
        <v>24</v>
      </c>
      <c r="F18" s="69" t="s">
        <v>353</v>
      </c>
      <c r="G18" s="69" t="s">
        <v>356</v>
      </c>
      <c r="H18" s="88" t="s">
        <v>329</v>
      </c>
      <c r="I18" s="88">
        <v>2</v>
      </c>
      <c r="J18" s="88">
        <v>8</v>
      </c>
      <c r="K18" s="88" t="s">
        <v>122</v>
      </c>
      <c r="L18" s="96" t="s">
        <v>120</v>
      </c>
      <c r="M18" s="88" t="s">
        <v>292</v>
      </c>
      <c r="N18" s="97" t="s">
        <v>359</v>
      </c>
      <c r="O18" s="106" t="str">
        <f t="shared" si="6"/>
        <v>az-grayzone-host3-osdisk</v>
      </c>
      <c r="P18" s="99">
        <v>64</v>
      </c>
      <c r="Q18" s="100" t="s">
        <v>121</v>
      </c>
      <c r="R18" s="69"/>
      <c r="S18" s="69"/>
      <c r="T18" s="69"/>
      <c r="U18" s="69" t="str">
        <f t="shared" si="7"/>
        <v>az-grayzone-host3-nic</v>
      </c>
      <c r="V18" s="88" t="b">
        <v>1</v>
      </c>
      <c r="W18" s="88" t="b">
        <v>1</v>
      </c>
      <c r="X18" s="88" t="s">
        <v>145</v>
      </c>
      <c r="Y18" s="69" t="s">
        <v>138</v>
      </c>
      <c r="Z18" s="69" t="s">
        <v>290</v>
      </c>
      <c r="AA18" s="88" t="b">
        <v>1</v>
      </c>
      <c r="AB18" s="88" t="s">
        <v>145</v>
      </c>
      <c r="AC18" s="88" t="s">
        <v>146</v>
      </c>
      <c r="AD18" s="99">
        <v>1</v>
      </c>
      <c r="AE18" s="69"/>
      <c r="AF18" s="69"/>
    </row>
    <row r="19" spans="2:32" x14ac:dyDescent="0.3">
      <c r="B19" s="88" t="s">
        <v>321</v>
      </c>
      <c r="C19" s="88" t="s">
        <v>340</v>
      </c>
      <c r="D19" s="88" t="s">
        <v>145</v>
      </c>
      <c r="E19" s="88" t="s">
        <v>24</v>
      </c>
      <c r="F19" s="88" t="s">
        <v>354</v>
      </c>
      <c r="G19" s="88" t="s">
        <v>357</v>
      </c>
      <c r="H19" s="88" t="s">
        <v>329</v>
      </c>
      <c r="I19" s="88">
        <v>2</v>
      </c>
      <c r="J19" s="88">
        <v>8</v>
      </c>
      <c r="K19" s="88" t="s">
        <v>122</v>
      </c>
      <c r="L19" s="96" t="s">
        <v>120</v>
      </c>
      <c r="M19" s="88" t="s">
        <v>292</v>
      </c>
      <c r="N19" s="97" t="s">
        <v>359</v>
      </c>
      <c r="O19" s="98" t="str">
        <f t="shared" si="6"/>
        <v>az-grayzone-host4-osdisk</v>
      </c>
      <c r="P19" s="99">
        <v>64</v>
      </c>
      <c r="Q19" s="100" t="s">
        <v>121</v>
      </c>
      <c r="R19" s="88"/>
      <c r="S19" s="88"/>
      <c r="T19" s="88"/>
      <c r="U19" s="88" t="str">
        <f t="shared" si="7"/>
        <v>az-grayzone-host4-nic</v>
      </c>
      <c r="V19" s="88" t="b">
        <v>1</v>
      </c>
      <c r="W19" s="88" t="b">
        <v>1</v>
      </c>
      <c r="X19" s="88" t="s">
        <v>145</v>
      </c>
      <c r="Y19" s="88" t="s">
        <v>138</v>
      </c>
      <c r="Z19" s="88" t="s">
        <v>290</v>
      </c>
      <c r="AA19" s="88" t="b">
        <v>1</v>
      </c>
      <c r="AB19" s="88" t="s">
        <v>145</v>
      </c>
      <c r="AC19" s="88" t="s">
        <v>146</v>
      </c>
      <c r="AD19" s="99">
        <v>1</v>
      </c>
      <c r="AE19" s="88"/>
      <c r="AF19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1" sqref="B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A11" s="92"/>
      <c r="B11" s="69" t="s">
        <v>321</v>
      </c>
      <c r="C11" s="69" t="str" cm="1">
        <f t="array" ref="C11">UPPER(INDEX(_xlfn.TEXTSPLIT($F11, "-"), 3))</f>
        <v>IF</v>
      </c>
      <c r="D11" s="69" t="s">
        <v>335</v>
      </c>
      <c r="E11" s="69" t="s">
        <v>24</v>
      </c>
      <c r="F11" s="69" t="s">
        <v>337</v>
      </c>
      <c r="G11" s="75" t="s">
        <v>338</v>
      </c>
      <c r="H11" s="69" t="s">
        <v>121</v>
      </c>
      <c r="I11" s="69">
        <v>2048</v>
      </c>
      <c r="J11" s="75" t="s">
        <v>339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9"/>
  <sheetViews>
    <sheetView workbookViewId="0">
      <selection activeCell="M17" sqref="M17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0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A11" s="84"/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>SUBSTITUTE(I11,"hazr-","")&amp;"-nsg"</f>
        <v>l-if-sastsol01-nsg</v>
      </c>
      <c r="F11" s="75" t="s">
        <v>145</v>
      </c>
      <c r="G11" s="75" t="s">
        <v>138</v>
      </c>
      <c r="H11" s="75" t="s">
        <v>290</v>
      </c>
      <c r="I11" s="75" t="s">
        <v>337</v>
      </c>
      <c r="J11" s="75" t="s">
        <v>145</v>
      </c>
      <c r="K11" s="75" t="str">
        <f t="shared" ref="K11:K12" si="7">SUBSTITUTE(I11,"hazr-","")&amp;"-nic"</f>
        <v>l-if-sastsol01-nic</v>
      </c>
      <c r="L11" s="75" t="s">
        <v>141</v>
      </c>
      <c r="M11" s="75"/>
    </row>
    <row r="12" spans="1:13" x14ac:dyDescent="0.3">
      <c r="B12" s="73" t="s">
        <v>321</v>
      </c>
      <c r="C12" s="73" t="s">
        <v>350</v>
      </c>
      <c r="D12" s="73" t="s">
        <v>145</v>
      </c>
      <c r="E12" s="73" t="str">
        <f t="shared" ref="E12:E19" si="8">SUBSTITUTE(I12,"hazr-","")&amp;"-nsg"</f>
        <v>az-erdirect-host1-nsg</v>
      </c>
      <c r="F12" s="73" t="s">
        <v>145</v>
      </c>
      <c r="G12" s="73" t="s">
        <v>138</v>
      </c>
      <c r="H12" s="73" t="s">
        <v>349</v>
      </c>
      <c r="I12" s="102" t="s">
        <v>341</v>
      </c>
      <c r="J12" s="73" t="s">
        <v>145</v>
      </c>
      <c r="K12" s="73" t="str">
        <f t="shared" si="7"/>
        <v>az-erdirect-host1-nic</v>
      </c>
      <c r="L12" s="73" t="s">
        <v>141</v>
      </c>
      <c r="M12" s="73"/>
    </row>
    <row r="13" spans="1:13" x14ac:dyDescent="0.3">
      <c r="B13" s="75" t="s">
        <v>321</v>
      </c>
      <c r="C13" s="75" t="s">
        <v>350</v>
      </c>
      <c r="D13" s="75" t="s">
        <v>145</v>
      </c>
      <c r="E13" s="75" t="str">
        <f t="shared" si="8"/>
        <v>az-erdirect-host2-nsg</v>
      </c>
      <c r="F13" s="75" t="s">
        <v>145</v>
      </c>
      <c r="G13" s="75" t="s">
        <v>138</v>
      </c>
      <c r="H13" s="75" t="s">
        <v>349</v>
      </c>
      <c r="I13" s="101" t="s">
        <v>343</v>
      </c>
      <c r="J13" s="75" t="s">
        <v>145</v>
      </c>
      <c r="K13" s="75" t="str">
        <f t="shared" ref="K13:K16" si="9">SUBSTITUTE(I13,"hazr-","")&amp;"-nic"</f>
        <v>az-erdirect-host2-nic</v>
      </c>
      <c r="L13" s="75" t="s">
        <v>141</v>
      </c>
      <c r="M13" s="75"/>
    </row>
    <row r="14" spans="1:13" x14ac:dyDescent="0.3">
      <c r="B14" s="73" t="s">
        <v>321</v>
      </c>
      <c r="C14" s="73" t="s">
        <v>350</v>
      </c>
      <c r="D14" s="73" t="s">
        <v>145</v>
      </c>
      <c r="E14" s="73" t="str">
        <f t="shared" si="8"/>
        <v>az-erdirect-host3-nsg</v>
      </c>
      <c r="F14" s="73" t="s">
        <v>145</v>
      </c>
      <c r="G14" s="73" t="s">
        <v>138</v>
      </c>
      <c r="H14" s="73" t="s">
        <v>349</v>
      </c>
      <c r="I14" s="102" t="s">
        <v>342</v>
      </c>
      <c r="J14" s="73" t="s">
        <v>145</v>
      </c>
      <c r="K14" s="73" t="str">
        <f t="shared" si="9"/>
        <v>az-erdirect-host3-nic</v>
      </c>
      <c r="L14" s="73" t="s">
        <v>141</v>
      </c>
      <c r="M14" s="73"/>
    </row>
    <row r="15" spans="1:13" x14ac:dyDescent="0.3">
      <c r="B15" s="75" t="s">
        <v>321</v>
      </c>
      <c r="C15" s="75" t="s">
        <v>350</v>
      </c>
      <c r="D15" s="75" t="s">
        <v>145</v>
      </c>
      <c r="E15" s="75" t="str">
        <f t="shared" si="8"/>
        <v>az-erdirect-host4-nsg</v>
      </c>
      <c r="F15" s="75" t="s">
        <v>145</v>
      </c>
      <c r="G15" s="75" t="s">
        <v>138</v>
      </c>
      <c r="H15" s="75" t="s">
        <v>349</v>
      </c>
      <c r="I15" s="101" t="s">
        <v>344</v>
      </c>
      <c r="J15" s="75" t="s">
        <v>145</v>
      </c>
      <c r="K15" s="75" t="str">
        <f t="shared" si="9"/>
        <v>az-erdirect-host4-nic</v>
      </c>
      <c r="L15" s="75" t="s">
        <v>141</v>
      </c>
      <c r="M15" s="75"/>
    </row>
    <row r="16" spans="1:13" x14ac:dyDescent="0.3">
      <c r="B16" s="73" t="s">
        <v>321</v>
      </c>
      <c r="C16" s="73" t="s">
        <v>340</v>
      </c>
      <c r="D16" s="73" t="s">
        <v>145</v>
      </c>
      <c r="E16" s="73" t="str">
        <f t="shared" si="8"/>
        <v>az-grayzone-host1-nsg</v>
      </c>
      <c r="F16" s="73" t="s">
        <v>145</v>
      </c>
      <c r="G16" s="73" t="s">
        <v>138</v>
      </c>
      <c r="H16" s="73" t="s">
        <v>290</v>
      </c>
      <c r="I16" s="68" t="s">
        <v>351</v>
      </c>
      <c r="J16" s="73" t="s">
        <v>145</v>
      </c>
      <c r="K16" s="73" t="str">
        <f t="shared" si="9"/>
        <v>az-grayzone-host1-nic</v>
      </c>
      <c r="L16" s="73" t="s">
        <v>141</v>
      </c>
      <c r="M16" s="73"/>
    </row>
    <row r="17" spans="2:13" x14ac:dyDescent="0.3">
      <c r="B17" s="75" t="s">
        <v>321</v>
      </c>
      <c r="C17" s="75" t="s">
        <v>340</v>
      </c>
      <c r="D17" s="75" t="s">
        <v>145</v>
      </c>
      <c r="E17" s="75" t="str">
        <f t="shared" si="8"/>
        <v>az-grayzone-host2-nsg</v>
      </c>
      <c r="F17" s="75" t="s">
        <v>145</v>
      </c>
      <c r="G17" s="75" t="s">
        <v>138</v>
      </c>
      <c r="H17" s="75" t="s">
        <v>290</v>
      </c>
      <c r="I17" s="69" t="s">
        <v>352</v>
      </c>
      <c r="J17" s="75" t="s">
        <v>145</v>
      </c>
      <c r="K17" s="75" t="str">
        <f t="shared" ref="K17:K19" si="10">SUBSTITUTE(I17,"hazr-","")&amp;"-nic"</f>
        <v>az-grayzone-host2-nic</v>
      </c>
      <c r="L17" s="75" t="s">
        <v>141</v>
      </c>
      <c r="M17" s="75"/>
    </row>
    <row r="18" spans="2:13" x14ac:dyDescent="0.3">
      <c r="B18" s="73" t="s">
        <v>321</v>
      </c>
      <c r="C18" s="73" t="s">
        <v>340</v>
      </c>
      <c r="D18" s="73" t="s">
        <v>145</v>
      </c>
      <c r="E18" s="73" t="str">
        <f t="shared" si="8"/>
        <v>az-grayzone-host3-nsg</v>
      </c>
      <c r="F18" s="73" t="s">
        <v>145</v>
      </c>
      <c r="G18" s="73" t="s">
        <v>138</v>
      </c>
      <c r="H18" s="73" t="s">
        <v>290</v>
      </c>
      <c r="I18" s="68" t="s">
        <v>353</v>
      </c>
      <c r="J18" s="73" t="s">
        <v>145</v>
      </c>
      <c r="K18" s="73" t="str">
        <f t="shared" si="10"/>
        <v>az-grayzone-host3-nic</v>
      </c>
      <c r="L18" s="73" t="s">
        <v>141</v>
      </c>
      <c r="M18" s="73"/>
    </row>
    <row r="19" spans="2:13" x14ac:dyDescent="0.3">
      <c r="B19" s="75" t="s">
        <v>321</v>
      </c>
      <c r="C19" s="75" t="s">
        <v>340</v>
      </c>
      <c r="D19" s="75" t="s">
        <v>145</v>
      </c>
      <c r="E19" s="75" t="str">
        <f t="shared" si="8"/>
        <v>az-grayzone-host4-nsg</v>
      </c>
      <c r="F19" s="75" t="s">
        <v>145</v>
      </c>
      <c r="G19" s="75" t="s">
        <v>138</v>
      </c>
      <c r="H19" s="75" t="s">
        <v>290</v>
      </c>
      <c r="I19" s="101" t="s">
        <v>354</v>
      </c>
      <c r="J19" s="75" t="s">
        <v>145</v>
      </c>
      <c r="K19" s="75" t="str">
        <f t="shared" si="10"/>
        <v>az-grayzone-host4-nic</v>
      </c>
      <c r="L19" s="75" t="s">
        <v>141</v>
      </c>
      <c r="M19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2026-08-12T06:57:23Z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