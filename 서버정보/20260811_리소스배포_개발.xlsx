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87DA338-9E62-4C70-BEEA-4384388C6438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2" l="1"/>
  <c r="K72" i="2"/>
  <c r="K73" i="2"/>
  <c r="K74" i="2"/>
  <c r="E71" i="2"/>
  <c r="E72" i="2"/>
  <c r="E73" i="2"/>
  <c r="E74" i="2"/>
  <c r="O57" i="1"/>
  <c r="U57" i="1"/>
  <c r="O56" i="1"/>
  <c r="U56" i="1"/>
  <c r="O55" i="1"/>
  <c r="U55" i="1"/>
  <c r="O54" i="1"/>
  <c r="U54" i="1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<sst xmlns="http://schemas.openxmlformats.org/spreadsheetml/2006/main" count="2173" uniqueCount="405">
  <si>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</si>
  <si>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</si>
  <si>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</si>
  <si>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</si>
  <si>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</si>
  <si>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</si>
  <si>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</si>
  <si>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</si>
  <si>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</si>
  <si>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</si>
  <si>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</si>
  <si>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</si>
  <si>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</si>
  <si>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</si>
  <si>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</si>
  <si>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</si>
  <si>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</si>
  <si>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</si>
  <si>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</si>
  <si>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</si>
  <si>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</si>
  <si>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</si>
  <si>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</si>
  <si>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</si>
  <si>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</si>
  <si>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</si>
  <si>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</si>
  <si>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</si>
  <si>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</si>
  <si>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</si>
  <si>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</si>
  <si>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</si>
  <si>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</si>
  <si>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</si>
  <si>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</si>
  <si>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</si>
  <si>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</si>
  <si>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</si>
  <si>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</si>
  <si>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</si>
  <si>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</si>
  <si>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</si>
  <si>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</si>
  <si>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</si>
  <si>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</si>
  <si>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</si>
  <si>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</si>
  <si>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</si>
  <si>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</si>
  <si>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</si>
  <si>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</si>
  <si>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</si>
  <si>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</si>
  <si>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</si>
  <si>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</si>
  <si>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</si>
  <si>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</si>
  <si>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</si>
  <si>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</si>
  <si>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</si>
  <si>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</si>
  <si>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</si>
  <si>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</si>
  <si>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</si>
  <si>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</si>
  <si>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</si>
  <si>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</si>
  <si>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</si>
  <si>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</si>
  <si>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</si>
  <si>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</si>
  <si>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</si>
  <si>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</si>
  <si>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</si>
  <si>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</si>
  <si>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</si>
  <si>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</si>
  <si>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</si>
  <si>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</si>
  <si>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</si>
  <si>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</si>
  <si>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</si>
  <si>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</si>
  <si>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</si>
  <si>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</si>
  <si>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</si>
  <si>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</si>
  <si>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</si>
  <si>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</si>
  <si>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</si>
  <si>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</si>
  <si>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</si>
  <si>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</si>
  <si>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</si>
  <si>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</si>
  <si>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</si>
  <si>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</si>
  <si>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</si>
  <si>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</si>
  <si>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</si>
  <si>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</si>
  <si>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</si>
  <si>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</si>
  <si>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</si>
  <si>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</si>
  <si>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</si>
  <si>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</si>
  <si>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</si>
  <si>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</si>
  <si>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</si>
  <si>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</si>
  <si>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</si>
  <si>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</si>
  <si>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</si>
  <si>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</si>
  <si>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</si>
  <si>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</si>
  <si>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</si>
  <si>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</si>
  <si>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</si>
  <si>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</si>
  <si>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</si>
  <si>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</si>
  <si>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</si>
  <si>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</si>
  <si>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</si>
  <si>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</si>
  <si>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</si>
  <si>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</si>
  <si>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</si>
  <si>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</si>
  <si>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</si>
  <si>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</si>
  <si>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</si>
  <si>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</si>
  <si>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</si>
  <si>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</si>
  <si>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</si>
  <si>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</si>
  <si>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</si>
  <si>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</si>
  <si>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</si>
  <si>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</si>
  <si>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</si>
  <si>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</si>
  <si>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</si>
  <si>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</si>
  <si>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</si>
  <si>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</si>
  <si>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</si>
  <si>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</si>
  <si>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</si>
  <si>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</si>
  <si>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</si>
  <si>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</si>
  <si>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</si>
  <si>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</si>
  <si>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</si>
  <si>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</si>
  <si>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</si>
  <si>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</si>
  <si>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</si>
  <si>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</si>
  <si>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</si>
  <si>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</si>
  <si>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</si>
  <si>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</si>
  <si>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</si>
  <si>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</si>
  <si>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</si>
  <si>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</si>
  <si>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</si>
  <si>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</si>
  <si>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</si>
  <si>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</si>
  <si>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</si>
  <si>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</si>
  <si>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</si>
  <si>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</si>
  <si>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</si>
  <si>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</si>
  <si>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</si>
  <si>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</si>
  <si>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</si>
  <si>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</si>
  <si>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</si>
  <si>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</si>
  <si>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</si>
  <si>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</si>
  <si>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</si>
  <si>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</si>
  <si>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</si>
  <si>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</si>
  <si>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</si>
  <si>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</si>
  <si>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</si>
  <si>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</si>
  <si>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</si>
  <si>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</si>
  <si>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</si>
  <si>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</si>
  <si>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</si>
  <si>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</si>
  <si>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</si>
  <si>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</si>
  <si>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</si>
  <si>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</si>
  <si>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</si>
  <si>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</si>
  <si>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</si>
  <si>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</si>
  <si>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</si>
  <si>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</si>
  <si>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</si>
  <si>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</si>
  <si>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</si>
  <si>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</si>
  <si>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</si>
  <si>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</si>
  <si>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</si>
  <si>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</si>
  <si>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</si>
  <si>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</si>
  <si>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</si>
  <si>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</si>
  <si>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</si>
  <si>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</si>
  <si>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</si>
  <si>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</si>
  <si>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</si>
  <si>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</si>
  <si>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</si>
  <si>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</si>
  <si>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</si>
  <si>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</si>
  <si>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</si>
  <si>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</si>
  <si>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</si>
  <si>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</si>
  <si>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</si>
  <si>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</si>
  <si>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</si>
  <si>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</si>
  <si>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</si>
  <si>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</si>
  <si>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</si>
  <si>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</si>
  <si>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</si>
  <si>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</si>
  <si>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</si>
  <si>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</si>
  <si>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</si>
  <si>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</si>
  <si>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</si>
  <si>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</si>
  <si>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</si>
  <si>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</si>
  <si>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</si>
  <si>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</si>
  <si>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</si>
  <si>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</si>
  <si>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</si>
  <si>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</si>
  <si>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</si>
  <si>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</si>
  <si>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</si>
  <si>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</si>
  <si>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</si>
  <si>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</si>
  <si>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</si>
  <si>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</si>
  <si>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</si>
  <si>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</si>
  <si>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</si>
  <si>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</si>
  <si>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</si>
  <si>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</si>
  <si>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</si>
  <si>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</si>
  <si>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</si>
  <si>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</si>
  <si>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</si>
  <si>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</si>
  <si>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</si>
  <si>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</si>
  <si>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</si>
  <si>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</si>
  <si>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</si>
  <si>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</si>
  <si>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</si>
  <si>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</si>
  <si>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</si>
  <si>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</si>
  <si>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</si>
  <si>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</si>
  <si>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</si>
  <si>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</si>
  <si>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</si>
  <si>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</si>
  <si>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</si>
  <si>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</si>
  <si>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</si>
  <si>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</si>
  <si>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</si>
  <si>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</si>
  <si>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</si>
  <si>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</si>
  <si>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</si>
  <si>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</si>
  <si>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</si>
  <si>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</si>
  <si>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</si>
  <si>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</si>
  <si>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</si>
  <si>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</si>
  <si>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</si>
  <si>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</si>
  <si>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</si>
  <si>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</si>
  <si>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</si>
  <si>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</si>
  <si>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</si>
  <si>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</si>
  <si>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</si>
  <si>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</si>
  <si>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</si>
  <si>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</si>
  <si>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</si>
  <si>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</si>
  <si>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</si>
  <si>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</si>
  <si>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</si>
  <si>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</si>
  <si>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</si>
  <si>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</si>
  <si>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</si>
  <si>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</si>
  <si>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</si>
  <si>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</si>
  <si>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</si>
  <si>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</si>
  <si>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</si>
  <si>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</si>
  <si>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</si>
  <si>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</si>
  <si>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</si>
  <si>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</si>
  <si>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</si>
  <si>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</si>
  <si>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</si>
  <si>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</si>
  <si>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</si>
  <si>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</si>
  <si>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</si>
  <si>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</si>
  <si>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</si>
  <si>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</si>
  <si>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</si>
  <si>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</si>
  <si>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</si>
  <si>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</si>
  <si>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</si>
  <si>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</si>
  <si>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</si>
  <si>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</si>
  <si>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</si>
  <si>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</si>
  <si>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</si>
  <si>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</si>
  <si>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</si>
  <si>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</si>
  <si>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</si>
  <si>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</si>
  <si>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</si>
  <si>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</si>
  <si>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</si>
  <si>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</si>
  <si>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</si>
  <si>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</si>
  <si>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</si>
  <si>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</si>
  <si>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</si>
  <si>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</si>
  <si>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</si>
  <si>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</si>
  <si>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</si>
  <si>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</si>
  <si>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</si>
  <si>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</si>
  <si>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</si>
  <si>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</si>
  <si>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</si>
  <si>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</si>
  <si>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</si>
  <si>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</si>
  <si>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</si>
  <si>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</si>
  <si>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</si>
  <si>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</si>
  <si>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10.156.147.4</t>
    <phoneticPr fontId="1" type="noConversion"/>
  </si>
  <si>
    <t>10.156.147.5</t>
    <phoneticPr fontId="1" type="noConversion"/>
  </si>
  <si>
    <t>10.156.147.6</t>
    <phoneticPr fontId="1" type="noConversion"/>
  </si>
  <si>
    <t>10.156.147.7</t>
    <phoneticPr fontId="1" type="noConversion"/>
  </si>
  <si>
    <t>d-puls-ap-sbn</t>
  </si>
  <si>
    <t>/subscriptions/38befed7-7726-4784-910e-0cea5422077d/resourceGroups/hazr-d-dch-rg/providers/Microsoft.Compute/galleries/temp_ertest_gallery/images/temp_ertest_vm_image/versions/0.0.2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</si>
</sst>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7" totalsRowShown="0" headerRowDxfId="33" dataDxfId="32">
  <autoFilter ref="B1:AF5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7"/>
  <sheetViews>
    <sheetView tabSelected="1" topLeftCell="F30" zoomScaleNormal="100" zoomScaleSheetLayoutView="100" workbookViewId="0">
      <selection activeCell="K55" sqref="K55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392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393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393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B54" s="1" t="s">
        <v>31</v>
      </c>
      <c r="C54" s="1" t="s">
        <v>394</v>
      </c>
      <c r="D54" s="1" t="s">
        <v>301</v>
      </c>
      <c r="E54" s="1" t="s">
        <v>23</v>
      </c>
      <c r="F54" s="1" t="s">
        <v>395</v>
      </c>
      <c r="G54" s="1" t="s">
        <v>399</v>
      </c>
      <c r="H54" s="10" t="s">
        <v>184</v>
      </c>
      <c r="I54" s="1">
        <v>2</v>
      </c>
      <c r="J54" s="1">
        <v>8</v>
      </c>
      <c r="K54" s="1" t="s">
        <v>302</v>
      </c>
      <c r="L54" s="9" t="s">
        <v>182</v>
      </c>
      <c r="M54" s="9" t="s">
        <v>377</v>
      </c>
      <c r="N54" s="1" t="s">
        <v>404</v>
      </c>
      <c r="O54" s="1" t="str">
        <f>SUBSTITUTE(F54,"hazr-","")&amp;"-osdisk"</f>
        <v>az-d-int-host1-osdisk</v>
      </c>
      <c r="P54" s="1">
        <v>64</v>
      </c>
      <c r="Q54" s="1" t="s">
        <v>290</v>
      </c>
      <c r="R54" s="1"/>
      <c r="S54" s="1"/>
      <c r="T54" s="1"/>
      <c r="U54" s="1" t="str">
        <f>SUBSTITUTE(F54,"hazr-","")&amp;"-nic"</f>
        <v>az-d-int-host1-nic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98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B55" s="1" t="s">
        <v>31</v>
      </c>
      <c r="C55" s="1" t="s">
        <v>394</v>
      </c>
      <c r="D55" s="1" t="s">
        <v>301</v>
      </c>
      <c r="E55" s="1" t="s">
        <v>23</v>
      </c>
      <c r="F55" s="1" t="s">
        <v>396</v>
      </c>
      <c r="G55" s="1" t="s">
        <v>400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377</v>
      </c>
      <c r="N55" s="1" t="s">
        <v>404</v>
      </c>
      <c r="O55" s="1" t="str">
        <f>SUBSTITUTE(F55,"hazr-","")&amp;"-osdisk"</f>
        <v>az-d-int-host2-osdisk</v>
      </c>
      <c r="P55" s="1">
        <v>64</v>
      </c>
      <c r="Q55" s="1" t="s">
        <v>290</v>
      </c>
      <c r="R55" s="1"/>
      <c r="S55" s="1"/>
      <c r="T55" s="1"/>
      <c r="U55" s="1" t="str">
        <f>SUBSTITUTE(F55,"hazr-","")&amp;"-nic"</f>
        <v>az-d-int-host2-nic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403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B56" s="1" t="s">
        <v>31</v>
      </c>
      <c r="C56" s="1" t="s">
        <v>394</v>
      </c>
      <c r="D56" s="1" t="s">
        <v>301</v>
      </c>
      <c r="E56" s="1" t="s">
        <v>23</v>
      </c>
      <c r="F56" s="1" t="s">
        <v>397</v>
      </c>
      <c r="G56" s="1" t="s">
        <v>401</v>
      </c>
      <c r="H56" s="10" t="s">
        <v>184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377</v>
      </c>
      <c r="N56" s="1" t="s">
        <v>404</v>
      </c>
      <c r="O56" s="1" t="str">
        <f>SUBSTITUTE(F56,"hazr-","")&amp;"-osdisk"</f>
        <v>az-d-int-host3-osdisk</v>
      </c>
      <c r="P56" s="1">
        <v>64</v>
      </c>
      <c r="Q56" s="1" t="s">
        <v>290</v>
      </c>
      <c r="R56" s="1"/>
      <c r="S56" s="1"/>
      <c r="T56" s="1"/>
      <c r="U56" s="1" t="str">
        <f>SUBSTITUTE(F56,"hazr-","")&amp;"-nic"</f>
        <v>az-d-int-host3-nic</v>
      </c>
      <c r="V56" s="1" t="b">
        <v>1</v>
      </c>
      <c r="W56" s="1" t="b">
        <v>1</v>
      </c>
      <c r="X56" s="1" t="s">
        <v>49</v>
      </c>
      <c r="Y56" s="1" t="s">
        <v>57</v>
      </c>
      <c r="Z56" s="1" t="s">
        <v>403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B57" s="1" t="s">
        <v>31</v>
      </c>
      <c r="C57" s="1" t="s">
        <v>394</v>
      </c>
      <c r="D57" s="1" t="s">
        <v>301</v>
      </c>
      <c r="E57" s="1" t="s">
        <v>23</v>
      </c>
      <c r="F57" s="1" t="s">
        <v>398</v>
      </c>
      <c r="G57" s="1" t="s">
        <v>402</v>
      </c>
      <c r="H57" s="10" t="s">
        <v>184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377</v>
      </c>
      <c r="N57" s="1" t="s">
        <v>404</v>
      </c>
      <c r="O57" s="1" t="str">
        <f>SUBSTITUTE(F57,"hazr-","")&amp;"-osdisk"</f>
        <v>az-d-int-host4-osdisk</v>
      </c>
      <c r="P57" s="1">
        <v>64</v>
      </c>
      <c r="Q57" s="1" t="s">
        <v>290</v>
      </c>
      <c r="R57" s="1"/>
      <c r="S57" s="1"/>
      <c r="T57" s="1"/>
      <c r="U57" s="1" t="str">
        <f>SUBSTITUTE(F57,"hazr-","")&amp;"-nic"</f>
        <v>az-d-int-host4-nic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98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3"/>
  <sheetViews>
    <sheetView topLeftCell="A31" workbookViewId="0">
      <selection activeCell="A47" sqref="A47:A53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53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53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392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1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3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4"/>
  <sheetViews>
    <sheetView topLeftCell="A44" zoomScaleNormal="100" workbookViewId="0">
      <selection activeCell="E74" sqref="D72:E74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37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22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37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24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37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22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37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24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37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22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37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22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37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24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37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24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37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22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37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24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37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22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37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24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37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22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37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24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37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22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37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24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37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22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37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24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37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22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37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24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37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22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37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24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37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22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37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24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37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22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37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24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37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22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37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24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37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22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37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24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37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22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37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24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37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22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37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24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37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22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37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24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37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22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37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24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37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22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37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24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37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22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37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24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37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22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37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22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37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22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37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24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37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22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37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37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37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37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37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37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37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37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37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37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37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37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37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37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37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37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37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74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4" si="5">SUBSTITUTE($I65,"hazr-","")&amp;"-nic"</f>
        <v>d-com-esnweb01-nic</v>
      </c>
      <c r="L65" s="33" t="s">
        <v>341</v>
      </c>
    </row>
    <row r="66" spans="1:12" x14ac:dyDescent="0.3">
      <c r="A66" s="37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392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37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37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37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37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B71" s="35" t="s">
        <v>31</v>
      </c>
      <c r="C71" s="35" t="s">
        <v>394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22" t="s">
        <v>395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B72" s="34" t="s">
        <v>31</v>
      </c>
      <c r="C72" s="34" t="s">
        <v>394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24" t="s">
        <v>396</v>
      </c>
      <c r="J72" s="17" t="s">
        <v>301</v>
      </c>
      <c r="K72" s="34" t="str">
        <f t="shared" si="5"/>
        <v>az-d-int-host2-nic</v>
      </c>
      <c r="L72" s="36" t="s">
        <v>341</v>
      </c>
    </row>
    <row r="73" spans="1:12" x14ac:dyDescent="0.3">
      <c r="B73" s="35" t="s">
        <v>31</v>
      </c>
      <c r="C73" s="35" t="s">
        <v>394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22" t="s">
        <v>397</v>
      </c>
      <c r="J73" s="16" t="s">
        <v>301</v>
      </c>
      <c r="K73" s="32" t="str">
        <f t="shared" si="5"/>
        <v>az-d-int-host3-nic</v>
      </c>
      <c r="L73" s="33" t="s">
        <v>341</v>
      </c>
    </row>
    <row r="74" spans="1:12" x14ac:dyDescent="0.3">
      <c r="B74" s="34" t="s">
        <v>31</v>
      </c>
      <c r="C74" s="34" t="s">
        <v>394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24" t="s">
        <v>398</v>
      </c>
      <c r="J74" s="17" t="s">
        <v>301</v>
      </c>
      <c r="K74" s="34" t="str">
        <f t="shared" si="5"/>
        <v>az-d-int-host4-nic</v>
      </c>
      <c r="L74" s="36" t="s">
        <v>341</v>
      </c>
    </row>
  </sheetData>
  <phoneticPr fontId="1" type="noConversion"/>
  <conditionalFormatting sqref="E2:E74">
    <cfRule type="duplicateValues" dxfId="0" priority="7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2026-08-12T06:52:39Z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