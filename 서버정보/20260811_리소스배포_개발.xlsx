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리소스 배포\서버정보\"/>
    </mc:Choice>
  </mc:AlternateContent>
  <xr:revisionPtr revIDLastSave="0" documentId="13_ncr:1_{4FE5366C-A7C1-4759-AEA8-AE007299CDB5}" xr6:coauthVersionLast="47" xr6:coauthVersionMax="47" xr10:uidLastSave="{00000000-0000-0000-0000-000000000000}"/>
  <bookViews>
    <workbookView xWindow="-120" yWindow="-120" windowWidth="29040" windowHeight="15720" firstSheet="2" activeTab="4" xr2:uid="{00000000-000D-0000-FFFF-FFFF00000000}"/>
  </bookViews>
  <sheets>
    <sheet name="VNET" sheetId="4" r:id="rId1"/>
    <sheet name="RG" sheetId="5" r:id="rId2"/>
    <sheet name="VM" sheetId="1" r:id="rId3"/>
    <sheet name="VM_Datadisk" sheetId="14" r:id="rId4"/>
    <sheet name="NSG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1" i="2" l="1"/>
  <c r="K72" i="2"/>
  <c r="K73" i="2"/>
  <c r="K74" i="2"/>
  <c r="E71" i="2"/>
  <c r="E72" i="2"/>
  <c r="E73" i="2"/>
  <c r="E74" i="2"/>
  <c r="O57" i="1"/>
  <c r="U57" i="1"/>
  <c r="O56" i="1"/>
  <c r="U56" i="1"/>
  <c r="O55" i="1"/>
  <c r="U55" i="1"/>
  <c r="O54" i="1"/>
  <c r="U54" i="1"/>
  <c r="C48" i="1" a="1"/>
  <c r="C48" i="1" s="1"/>
  <c r="C49" i="1" a="1"/>
  <c r="C49" i="1" s="1"/>
  <c r="E69" i="2"/>
  <c r="C69" i="2" s="1" a="1"/>
  <c r="C69" i="2" s="1"/>
  <c r="E70" i="2"/>
  <c r="C70" i="2" a="1"/>
  <c r="C70" i="2" s="1"/>
  <c r="K69" i="2"/>
  <c r="K70" i="2"/>
  <c r="J52" i="14"/>
  <c r="J53" i="14"/>
  <c r="G52" i="14"/>
  <c r="G53" i="14"/>
  <c r="C52" i="14" a="1"/>
  <c r="C52" i="14" s="1"/>
  <c r="C53" i="14" a="1"/>
  <c r="C53" i="14" s="1"/>
  <c r="C53" i="1" l="1" a="1"/>
  <c r="C53" i="1" s="1"/>
  <c r="O53" i="1"/>
  <c r="U53" i="1"/>
  <c r="C52" i="1" a="1"/>
  <c r="C52" i="1" s="1"/>
  <c r="O52" i="1"/>
  <c r="U52" i="1"/>
  <c r="K68" i="2"/>
  <c r="E68" i="2"/>
  <c r="C68" i="2" s="1" a="1"/>
  <c r="C68" i="2" s="1"/>
  <c r="G51" i="14"/>
  <c r="J51" i="14"/>
  <c r="C51" i="14" a="1"/>
  <c r="C51" i="14" s="1"/>
  <c r="C51" i="1" a="1"/>
  <c r="C51" i="1" s="1"/>
  <c r="O51" i="1"/>
  <c r="U51" i="1"/>
  <c r="K67" i="2"/>
  <c r="E67" i="2"/>
  <c r="C67" i="2" s="1" a="1"/>
  <c r="C67" i="2" s="1"/>
  <c r="C50" i="14" a="1"/>
  <c r="C50" i="14" s="1"/>
  <c r="J50" i="14"/>
  <c r="G50" i="14"/>
  <c r="C50" i="1" a="1"/>
  <c r="C50" i="1" s="1"/>
  <c r="O50" i="1"/>
  <c r="U50" i="1"/>
  <c r="K66" i="2" l="1"/>
  <c r="E66" i="2"/>
  <c r="C66" i="2" s="1" a="1"/>
  <c r="C66" i="2" s="1"/>
  <c r="K65" i="2"/>
  <c r="E65" i="2"/>
  <c r="C65" i="2" s="1" a="1"/>
  <c r="C65" i="2" s="1"/>
  <c r="J49" i="14"/>
  <c r="J48" i="14"/>
  <c r="G49" i="14"/>
  <c r="G48" i="14"/>
  <c r="C48" i="14" a="1"/>
  <c r="C48" i="14" s="1"/>
  <c r="C49" i="14" a="1"/>
  <c r="C49" i="14" s="1"/>
  <c r="O49" i="1" l="1"/>
  <c r="U49" i="1"/>
  <c r="O48" i="1"/>
  <c r="U48" i="1"/>
  <c r="U43" i="1"/>
  <c r="E64" i="2" l="1"/>
  <c r="C64" i="2" s="1" a="1"/>
  <c r="C64" i="2" s="1"/>
  <c r="E63" i="2"/>
  <c r="C63" i="2" s="1" a="1"/>
  <c r="C63" i="2" s="1"/>
  <c r="E62" i="2"/>
  <c r="C62" i="2" s="1" a="1"/>
  <c r="C62" i="2" s="1"/>
  <c r="E61" i="2"/>
  <c r="C61" i="2" s="1" a="1"/>
  <c r="C61" i="2" s="1"/>
  <c r="E59" i="2"/>
  <c r="C59" i="2" s="1" a="1"/>
  <c r="C59" i="2" s="1"/>
  <c r="E58" i="2"/>
  <c r="C58" i="2" s="1" a="1"/>
  <c r="C58" i="2" s="1"/>
  <c r="E57" i="2"/>
  <c r="C57" i="2" s="1" a="1"/>
  <c r="C57" i="2" s="1"/>
  <c r="E56" i="2"/>
  <c r="C56" i="2" s="1" a="1"/>
  <c r="C56" i="2" s="1"/>
  <c r="E55" i="2"/>
  <c r="C55" i="2" s="1" a="1"/>
  <c r="C55" i="2" s="1"/>
  <c r="E54" i="2"/>
  <c r="C54" i="2" s="1" a="1"/>
  <c r="C54" i="2" s="1"/>
  <c r="E53" i="2"/>
  <c r="C53" i="2" s="1" a="1"/>
  <c r="C53" i="2" s="1"/>
  <c r="E52" i="2"/>
  <c r="C52" i="2" s="1" a="1"/>
  <c r="C52" i="2" s="1"/>
  <c r="E51" i="2"/>
  <c r="C51" i="2" s="1" a="1"/>
  <c r="C51" i="2" s="1"/>
  <c r="E50" i="2"/>
  <c r="C50" i="2" s="1" a="1"/>
  <c r="C50" i="2" s="1"/>
  <c r="E49" i="2"/>
  <c r="C49" i="2" s="1" a="1"/>
  <c r="C49" i="2" s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3" i="2"/>
  <c r="K2" i="2"/>
  <c r="E48" i="2"/>
  <c r="C48" i="2" a="1"/>
  <c r="C48" i="2" s="1"/>
  <c r="E47" i="2"/>
  <c r="C47" i="2" a="1"/>
  <c r="C47" i="2" s="1"/>
  <c r="E46" i="2"/>
  <c r="C46" i="2" a="1"/>
  <c r="C46" i="2" s="1"/>
  <c r="E45" i="2"/>
  <c r="C45" i="2" a="1"/>
  <c r="C45" i="2" s="1"/>
  <c r="E44" i="2"/>
  <c r="C44" i="2" a="1"/>
  <c r="C44" i="2" s="1"/>
  <c r="E43" i="2"/>
  <c r="C43" i="2" a="1"/>
  <c r="C43" i="2" s="1"/>
  <c r="E42" i="2"/>
  <c r="C42" i="2" a="1"/>
  <c r="C42" i="2" s="1"/>
  <c r="E41" i="2"/>
  <c r="C41" i="2" a="1"/>
  <c r="C41" i="2" s="1"/>
  <c r="E40" i="2"/>
  <c r="C40" i="2" a="1"/>
  <c r="C40" i="2" s="1"/>
  <c r="E39" i="2"/>
  <c r="C39" i="2" a="1"/>
  <c r="C39" i="2" s="1"/>
  <c r="E38" i="2"/>
  <c r="C38" i="2" a="1"/>
  <c r="C38" i="2" s="1"/>
  <c r="E37" i="2"/>
  <c r="C37" i="2" a="1"/>
  <c r="C37" i="2" s="1"/>
  <c r="E36" i="2"/>
  <c r="C36" i="2" a="1"/>
  <c r="C36" i="2" s="1"/>
  <c r="E35" i="2"/>
  <c r="C35" i="2" a="1"/>
  <c r="C35" i="2" s="1"/>
  <c r="E34" i="2"/>
  <c r="C34" i="2" a="1"/>
  <c r="C34" i="2" s="1"/>
  <c r="E33" i="2"/>
  <c r="C33" i="2" a="1"/>
  <c r="C33" i="2" s="1"/>
  <c r="E32" i="2"/>
  <c r="C32" i="2" a="1"/>
  <c r="C32" i="2" s="1"/>
  <c r="E31" i="2"/>
  <c r="C31" i="2" a="1"/>
  <c r="C31" i="2" s="1"/>
  <c r="E30" i="2"/>
  <c r="C30" i="2" a="1"/>
  <c r="C30" i="2" s="1"/>
  <c r="E29" i="2"/>
  <c r="C29" i="2" a="1"/>
  <c r="C29" i="2" s="1"/>
  <c r="E28" i="2"/>
  <c r="C28" i="2" a="1"/>
  <c r="C28" i="2" s="1"/>
  <c r="E27" i="2"/>
  <c r="C27" i="2" a="1"/>
  <c r="C27" i="2" s="1"/>
  <c r="E26" i="2"/>
  <c r="C26" i="2" a="1"/>
  <c r="C26" i="2" s="1"/>
  <c r="E25" i="2"/>
  <c r="C25" i="2" a="1"/>
  <c r="C25" i="2" s="1"/>
  <c r="E24" i="2"/>
  <c r="C24" i="2" a="1"/>
  <c r="C24" i="2" s="1"/>
  <c r="E23" i="2"/>
  <c r="C23" i="2" a="1"/>
  <c r="C23" i="2" s="1"/>
  <c r="E22" i="2"/>
  <c r="C22" i="2" a="1"/>
  <c r="C22" i="2" s="1"/>
  <c r="E21" i="2"/>
  <c r="C21" i="2" a="1"/>
  <c r="C21" i="2" s="1"/>
  <c r="E20" i="2"/>
  <c r="C20" i="2" a="1"/>
  <c r="C20" i="2" s="1"/>
  <c r="E19" i="2"/>
  <c r="C19" i="2" a="1"/>
  <c r="C19" i="2" s="1"/>
  <c r="E18" i="2"/>
  <c r="C18" i="2" a="1"/>
  <c r="C18" i="2" s="1"/>
  <c r="E17" i="2"/>
  <c r="C17" i="2" a="1"/>
  <c r="C17" i="2" s="1"/>
  <c r="E16" i="2"/>
  <c r="C16" i="2" a="1"/>
  <c r="C16" i="2" s="1"/>
  <c r="E15" i="2"/>
  <c r="C15" i="2" a="1"/>
  <c r="C15" i="2" s="1"/>
  <c r="E14" i="2"/>
  <c r="C14" i="2" a="1"/>
  <c r="C14" i="2" s="1"/>
  <c r="E13" i="2"/>
  <c r="C13" i="2" a="1"/>
  <c r="C13" i="2" s="1"/>
  <c r="E12" i="2"/>
  <c r="C12" i="2" a="1"/>
  <c r="C12" i="2" s="1"/>
  <c r="E11" i="2"/>
  <c r="C11" i="2" a="1"/>
  <c r="C11" i="2" s="1"/>
  <c r="E10" i="2"/>
  <c r="C10" i="2" a="1"/>
  <c r="C10" i="2" s="1"/>
  <c r="E9" i="2"/>
  <c r="C9" i="2" a="1"/>
  <c r="C9" i="2" s="1"/>
  <c r="E8" i="2"/>
  <c r="C8" i="2" a="1"/>
  <c r="C8" i="2" s="1"/>
  <c r="E7" i="2"/>
  <c r="C7" i="2" a="1"/>
  <c r="C7" i="2" s="1"/>
  <c r="E6" i="2"/>
  <c r="C6" i="2" a="1"/>
  <c r="C6" i="2" s="1"/>
  <c r="E5" i="2"/>
  <c r="C5" i="2" a="1"/>
  <c r="C5" i="2" s="1"/>
  <c r="E4" i="2"/>
  <c r="C4" i="2" a="1"/>
  <c r="C4" i="2" s="1"/>
  <c r="E3" i="2"/>
  <c r="C3" i="2" a="1"/>
  <c r="C3" i="2" s="1"/>
  <c r="E2" i="2"/>
  <c r="C2" i="2" a="1"/>
  <c r="C2" i="2" s="1"/>
  <c r="J47" i="14"/>
  <c r="G47" i="14"/>
  <c r="C47" i="14" a="1"/>
  <c r="C47" i="14" s="1"/>
  <c r="J46" i="14"/>
  <c r="G46" i="14"/>
  <c r="C46" i="14" a="1"/>
  <c r="C46" i="14" s="1"/>
  <c r="J45" i="14"/>
  <c r="G45" i="14"/>
  <c r="C45" i="14" a="1"/>
  <c r="C45" i="14" s="1"/>
  <c r="J44" i="14"/>
  <c r="G44" i="14"/>
  <c r="C44" i="14" a="1"/>
  <c r="C44" i="14" s="1"/>
  <c r="J43" i="14"/>
  <c r="G43" i="14"/>
  <c r="C43" i="14" a="1"/>
  <c r="C43" i="14" s="1"/>
  <c r="J42" i="14"/>
  <c r="G42" i="14"/>
  <c r="C42" i="14" a="1"/>
  <c r="C42" i="14" s="1"/>
  <c r="J41" i="14"/>
  <c r="G41" i="14"/>
  <c r="C41" i="14" a="1"/>
  <c r="C41" i="14" s="1"/>
  <c r="J40" i="14"/>
  <c r="G40" i="14"/>
  <c r="C40" i="14" a="1"/>
  <c r="C40" i="14" s="1"/>
  <c r="J39" i="14"/>
  <c r="G39" i="14"/>
  <c r="C39" i="14" a="1"/>
  <c r="C39" i="14" s="1"/>
  <c r="J38" i="14"/>
  <c r="G38" i="14"/>
  <c r="C38" i="14" a="1"/>
  <c r="C38" i="14" s="1"/>
  <c r="J37" i="14"/>
  <c r="G37" i="14"/>
  <c r="C37" i="14" a="1"/>
  <c r="C37" i="14" s="1"/>
  <c r="J36" i="14"/>
  <c r="G36" i="14"/>
  <c r="C36" i="14" a="1"/>
  <c r="C36" i="14" s="1"/>
  <c r="J35" i="14"/>
  <c r="G35" i="14"/>
  <c r="C35" i="14" a="1"/>
  <c r="C35" i="14" s="1"/>
  <c r="J34" i="14"/>
  <c r="G34" i="14"/>
  <c r="C34" i="14" a="1"/>
  <c r="C34" i="14" s="1"/>
  <c r="J33" i="14"/>
  <c r="G33" i="14"/>
  <c r="C33" i="14" a="1"/>
  <c r="C33" i="14" s="1"/>
  <c r="J32" i="14"/>
  <c r="G32" i="14"/>
  <c r="C32" i="14" a="1"/>
  <c r="C32" i="14" s="1"/>
  <c r="J31" i="14"/>
  <c r="G31" i="14"/>
  <c r="C31" i="14" a="1"/>
  <c r="C31" i="14" s="1"/>
  <c r="J30" i="14"/>
  <c r="G30" i="14"/>
  <c r="C30" i="14" a="1"/>
  <c r="C30" i="14" s="1"/>
  <c r="J29" i="14"/>
  <c r="G29" i="14"/>
  <c r="C29" i="14" a="1"/>
  <c r="C29" i="14" s="1"/>
  <c r="J28" i="14"/>
  <c r="G28" i="14"/>
  <c r="C28" i="14" a="1"/>
  <c r="C28" i="14" s="1"/>
  <c r="J27" i="14"/>
  <c r="G27" i="14"/>
  <c r="C27" i="14" a="1"/>
  <c r="C27" i="14" s="1"/>
  <c r="J26" i="14"/>
  <c r="G26" i="14"/>
  <c r="C26" i="14" a="1"/>
  <c r="C26" i="14" s="1"/>
  <c r="J25" i="14"/>
  <c r="G25" i="14"/>
  <c r="C25" i="14" a="1"/>
  <c r="C25" i="14" s="1"/>
  <c r="J24" i="14"/>
  <c r="G24" i="14"/>
  <c r="C24" i="14" a="1"/>
  <c r="C24" i="14" s="1"/>
  <c r="J23" i="14"/>
  <c r="G23" i="14"/>
  <c r="C23" i="14" a="1"/>
  <c r="C23" i="14" s="1"/>
  <c r="J22" i="14"/>
  <c r="G22" i="14"/>
  <c r="C22" i="14" a="1"/>
  <c r="C22" i="14" s="1"/>
  <c r="J21" i="14"/>
  <c r="G21" i="14"/>
  <c r="C21" i="14" a="1"/>
  <c r="C21" i="14" s="1"/>
  <c r="J20" i="14"/>
  <c r="G20" i="14"/>
  <c r="C20" i="14" a="1"/>
  <c r="C20" i="14" s="1"/>
  <c r="J19" i="14"/>
  <c r="G19" i="14"/>
  <c r="C19" i="14" a="1"/>
  <c r="C19" i="14" s="1"/>
  <c r="J18" i="14"/>
  <c r="G18" i="14"/>
  <c r="C18" i="14" a="1"/>
  <c r="C18" i="14" s="1"/>
  <c r="J17" i="14"/>
  <c r="G17" i="14"/>
  <c r="C17" i="14" a="1"/>
  <c r="C17" i="14" s="1"/>
  <c r="J16" i="14"/>
  <c r="G16" i="14"/>
  <c r="C16" i="14" a="1"/>
  <c r="C16" i="14" s="1"/>
  <c r="J15" i="14"/>
  <c r="G15" i="14"/>
  <c r="C15" i="14" a="1"/>
  <c r="C15" i="14" s="1"/>
  <c r="J14" i="14"/>
  <c r="G14" i="14"/>
  <c r="C14" i="14" a="1"/>
  <c r="C14" i="14" s="1"/>
  <c r="J13" i="14"/>
  <c r="G13" i="14"/>
  <c r="C13" i="14" a="1"/>
  <c r="C13" i="14" s="1"/>
  <c r="J12" i="14"/>
  <c r="G12" i="14"/>
  <c r="C12" i="14" a="1"/>
  <c r="C12" i="14" s="1"/>
  <c r="J11" i="14"/>
  <c r="G11" i="14"/>
  <c r="C11" i="14" a="1"/>
  <c r="C11" i="14" s="1"/>
  <c r="J10" i="14"/>
  <c r="G10" i="14"/>
  <c r="C10" i="14" a="1"/>
  <c r="C10" i="14" s="1"/>
  <c r="J9" i="14"/>
  <c r="G9" i="14"/>
  <c r="C9" i="14" a="1"/>
  <c r="C9" i="14" s="1"/>
  <c r="J8" i="14"/>
  <c r="G8" i="14"/>
  <c r="C8" i="14" a="1"/>
  <c r="C8" i="14" s="1"/>
  <c r="J7" i="14"/>
  <c r="G7" i="14"/>
  <c r="C7" i="14" a="1"/>
  <c r="C7" i="14" s="1"/>
  <c r="J6" i="14"/>
  <c r="G6" i="14"/>
  <c r="C6" i="14" a="1"/>
  <c r="C6" i="14" s="1"/>
  <c r="J5" i="14"/>
  <c r="G5" i="14"/>
  <c r="C5" i="14" a="1"/>
  <c r="C5" i="14" s="1"/>
  <c r="J4" i="14"/>
  <c r="G4" i="14"/>
  <c r="C4" i="14" a="1"/>
  <c r="C4" i="14" s="1"/>
  <c r="J3" i="14"/>
  <c r="G3" i="14"/>
  <c r="C3" i="14" a="1"/>
  <c r="C3" i="14" s="1"/>
  <c r="J2" i="14"/>
  <c r="G2" i="14"/>
  <c r="C2" i="14" a="1"/>
  <c r="C2" i="14" s="1"/>
  <c r="U47" i="1"/>
  <c r="O47" i="1"/>
  <c r="C47" i="1" a="1"/>
  <c r="C47" i="1" s="1"/>
  <c r="U46" i="1"/>
  <c r="O46" i="1"/>
  <c r="C46" i="1" a="1"/>
  <c r="C46" i="1" s="1"/>
  <c r="U45" i="1"/>
  <c r="O45" i="1"/>
  <c r="C45" i="1" a="1"/>
  <c r="C45" i="1" s="1"/>
  <c r="U44" i="1"/>
  <c r="O44" i="1"/>
  <c r="C44" i="1" a="1"/>
  <c r="C44" i="1" s="1"/>
  <c r="O43" i="1"/>
  <c r="C43" i="1" a="1"/>
  <c r="C43" i="1" s="1"/>
  <c r="U42" i="1"/>
  <c r="O42" i="1"/>
  <c r="C42" i="1" a="1"/>
  <c r="C42" i="1" s="1"/>
  <c r="U41" i="1"/>
  <c r="O41" i="1"/>
  <c r="C41" i="1" a="1"/>
  <c r="C41" i="1" s="1"/>
  <c r="U40" i="1"/>
  <c r="O40" i="1"/>
  <c r="C40" i="1" a="1"/>
  <c r="C40" i="1" s="1"/>
  <c r="U39" i="1"/>
  <c r="O39" i="1"/>
  <c r="C39" i="1" a="1"/>
  <c r="C39" i="1" s="1"/>
  <c r="U38" i="1"/>
  <c r="O38" i="1"/>
  <c r="C38" i="1" a="1"/>
  <c r="C38" i="1" s="1"/>
  <c r="U37" i="1"/>
  <c r="O37" i="1"/>
  <c r="C37" i="1" a="1"/>
  <c r="C37" i="1" s="1"/>
  <c r="U36" i="1"/>
  <c r="O36" i="1"/>
  <c r="C36" i="1" a="1"/>
  <c r="C36" i="1" s="1"/>
  <c r="U35" i="1"/>
  <c r="O35" i="1"/>
  <c r="C35" i="1" a="1"/>
  <c r="C35" i="1" s="1"/>
  <c r="U34" i="1"/>
  <c r="O34" i="1"/>
  <c r="C34" i="1" a="1"/>
  <c r="C34" i="1" s="1"/>
  <c r="U33" i="1"/>
  <c r="O33" i="1"/>
  <c r="C33" i="1" a="1"/>
  <c r="C33" i="1" s="1"/>
  <c r="U32" i="1"/>
  <c r="O32" i="1"/>
  <c r="C32" i="1" a="1"/>
  <c r="C32" i="1" s="1"/>
  <c r="U31" i="1"/>
  <c r="O31" i="1"/>
  <c r="C31" i="1" a="1"/>
  <c r="C31" i="1" s="1"/>
  <c r="U30" i="1"/>
  <c r="O30" i="1"/>
  <c r="C30" i="1" a="1"/>
  <c r="C30" i="1" s="1"/>
  <c r="U29" i="1"/>
  <c r="O29" i="1"/>
  <c r="C29" i="1" a="1"/>
  <c r="C29" i="1" s="1"/>
  <c r="U28" i="1"/>
  <c r="O28" i="1"/>
  <c r="C28" i="1" a="1"/>
  <c r="C28" i="1" s="1"/>
  <c r="U27" i="1"/>
  <c r="O27" i="1"/>
  <c r="C27" i="1" a="1"/>
  <c r="C27" i="1" s="1"/>
  <c r="U26" i="1"/>
  <c r="O26" i="1"/>
  <c r="C26" i="1" a="1"/>
  <c r="C26" i="1" s="1"/>
  <c r="U25" i="1"/>
  <c r="O25" i="1"/>
  <c r="C25" i="1" a="1"/>
  <c r="C25" i="1" s="1"/>
  <c r="U24" i="1"/>
  <c r="O24" i="1"/>
  <c r="C24" i="1" a="1"/>
  <c r="C24" i="1" s="1"/>
  <c r="U23" i="1"/>
  <c r="O23" i="1"/>
  <c r="C23" i="1" a="1"/>
  <c r="C23" i="1" s="1"/>
  <c r="U22" i="1"/>
  <c r="O22" i="1"/>
  <c r="C22" i="1" a="1"/>
  <c r="C22" i="1" s="1"/>
  <c r="U21" i="1"/>
  <c r="O21" i="1"/>
  <c r="C21" i="1" a="1"/>
  <c r="C21" i="1" s="1"/>
  <c r="U20" i="1"/>
  <c r="O20" i="1"/>
  <c r="C20" i="1" a="1"/>
  <c r="C20" i="1" s="1"/>
  <c r="U19" i="1"/>
  <c r="O19" i="1"/>
  <c r="C19" i="1" a="1"/>
  <c r="C19" i="1" s="1"/>
  <c r="U18" i="1"/>
  <c r="O18" i="1"/>
  <c r="C18" i="1" a="1"/>
  <c r="C18" i="1" s="1"/>
  <c r="U17" i="1"/>
  <c r="O17" i="1"/>
  <c r="C17" i="1" a="1"/>
  <c r="C17" i="1" s="1"/>
  <c r="U16" i="1"/>
  <c r="O16" i="1"/>
  <c r="C16" i="1" a="1"/>
  <c r="C16" i="1" s="1"/>
  <c r="U15" i="1"/>
  <c r="O15" i="1"/>
  <c r="C15" i="1" a="1"/>
  <c r="C15" i="1" s="1"/>
  <c r="U14" i="1"/>
  <c r="O14" i="1"/>
  <c r="C14" i="1" a="1"/>
  <c r="C14" i="1" s="1"/>
  <c r="U13" i="1"/>
  <c r="O13" i="1"/>
  <c r="C13" i="1" a="1"/>
  <c r="C13" i="1" s="1"/>
  <c r="U12" i="1"/>
  <c r="O12" i="1"/>
  <c r="C12" i="1" a="1"/>
  <c r="C12" i="1" s="1"/>
  <c r="U11" i="1"/>
  <c r="O11" i="1"/>
  <c r="C11" i="1" a="1"/>
  <c r="C11" i="1" s="1"/>
  <c r="U10" i="1"/>
  <c r="O10" i="1"/>
  <c r="C10" i="1" a="1"/>
  <c r="C10" i="1" s="1"/>
  <c r="U9" i="1"/>
  <c r="O9" i="1"/>
  <c r="C9" i="1" a="1"/>
  <c r="C9" i="1" s="1"/>
  <c r="U8" i="1"/>
  <c r="O8" i="1"/>
  <c r="C8" i="1" a="1"/>
  <c r="C8" i="1" s="1"/>
  <c r="U7" i="1"/>
  <c r="O7" i="1"/>
  <c r="C7" i="1" a="1"/>
  <c r="C7" i="1" s="1"/>
  <c r="U6" i="1"/>
  <c r="O6" i="1"/>
  <c r="C6" i="1" a="1"/>
  <c r="C6" i="1" s="1"/>
  <c r="U5" i="1"/>
  <c r="O5" i="1"/>
  <c r="C5" i="1" a="1"/>
  <c r="C5" i="1" s="1"/>
  <c r="U4" i="1"/>
  <c r="O4" i="1"/>
  <c r="C4" i="1" a="1"/>
  <c r="C4" i="1" s="1"/>
  <c r="U3" i="1"/>
  <c r="O3" i="1"/>
  <c r="C3" i="1" a="1"/>
  <c r="C3" i="1" s="1"/>
  <c r="U2" i="1"/>
  <c r="O2" i="1"/>
  <c r="C2" i="1" a="1"/>
  <c r="C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L1" authorId="0" shapeId="0" xr:uid="{4E95A42A-EE05-46FF-9ADE-8C06C9CCADD3}">
      <text>
        <r>
          <rPr>
            <b/>
            <sz val="9"/>
            <color indexed="81"/>
            <rFont val="Tahoma"/>
            <family val="2"/>
          </rPr>
          <t>[I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>] NIC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O
</t>
        </r>
        <r>
          <rPr>
            <b/>
            <sz val="9"/>
            <color indexed="81"/>
            <rFont val="돋움"/>
            <family val="3"/>
            <charset val="129"/>
          </rPr>
          <t>서브넷에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비어둠</t>
        </r>
        <r>
          <rPr>
            <b/>
            <sz val="9"/>
            <color indexed="81"/>
            <rFont val="Tahoma"/>
            <family val="2"/>
          </rPr>
          <t xml:space="preserve"> or X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명은</t>
        </r>
        <r>
          <rPr>
            <b/>
            <sz val="9"/>
            <color indexed="81"/>
            <rFont val="Tahoma"/>
            <family val="2"/>
          </rPr>
          <t xml:space="preserve"> IF</t>
        </r>
        <r>
          <rPr>
            <b/>
            <sz val="9"/>
            <color indexed="81"/>
            <rFont val="돋움"/>
            <family val="3"/>
            <charset val="129"/>
          </rPr>
          <t>함수를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통해
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"O"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VM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
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"X"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Subnet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<sst xmlns="http://schemas.openxmlformats.org/spreadsheetml/2006/main" count="2173" uniqueCount="405">
  <si>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</si>
  <si>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</si>
  <si>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</si>
  <si>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</si>
  <si>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</si>
  <si>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</si>
  <si>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</si>
  <si>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</si>
  <si>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</si>
  <si>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</si>
  <si>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</si>
  <si>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OsDiskName</t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</si>
  <si>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</si>
  <si>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</si>
  <si>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</si>
  <si>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</si>
  <si>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</si>
  <si>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NicName</t>
  </si>
  <si>
    <t>IsStatic</t>
  </si>
  <si>
    <t>VnetName</t>
  </si>
  <si>
    <t>SubnetName</t>
  </si>
  <si>
    <t>SubscriptionName</t>
  </si>
  <si>
    <t>Description</t>
    <phoneticPr fontId="1" type="noConversion"/>
  </si>
  <si>
    <t>koreacentral</t>
    <phoneticPr fontId="1" type="noConversion"/>
  </si>
  <si>
    <t>Zones</t>
    <phoneticPr fontId="1" type="noConversion"/>
  </si>
  <si>
    <t>ImageResourceId</t>
    <phoneticPr fontId="1" type="noConversion"/>
  </si>
  <si>
    <t>NIC</t>
    <phoneticPr fontId="1" type="noConversion"/>
  </si>
  <si>
    <t>RG</t>
    <phoneticPr fontId="1" type="noConversion"/>
  </si>
  <si>
    <t>NSGName</t>
    <phoneticPr fontId="1" type="noConversion"/>
  </si>
  <si>
    <t>UseNIC</t>
    <phoneticPr fontId="1" type="noConversion"/>
  </si>
  <si>
    <t>비고</t>
    <phoneticPr fontId="1" type="noConversion"/>
  </si>
  <si>
    <t>DEV</t>
    <phoneticPr fontId="1" type="noConversion"/>
  </si>
  <si>
    <t>NW</t>
    <phoneticPr fontId="1" type="noConversion"/>
  </si>
  <si>
    <t>Subnet1 Name</t>
    <phoneticPr fontId="1" type="noConversion"/>
  </si>
  <si>
    <t>Subnet1 Address</t>
    <phoneticPr fontId="1" type="noConversion"/>
  </si>
  <si>
    <t>Subnet2 Name</t>
    <phoneticPr fontId="1" type="noConversion"/>
  </si>
  <si>
    <t>Subnet2 Address</t>
    <phoneticPr fontId="1" type="noConversion"/>
  </si>
  <si>
    <t>Subnet3 Name</t>
  </si>
  <si>
    <t>Subnet3 Address</t>
  </si>
  <si>
    <t>VnetRG</t>
    <phoneticPr fontId="1" type="noConversion"/>
  </si>
  <si>
    <t>OsType</t>
    <phoneticPr fontId="1" type="noConversion"/>
  </si>
  <si>
    <t>VNet1 Name</t>
    <phoneticPr fontId="1" type="noConversion"/>
  </si>
  <si>
    <t>VNet1 Address</t>
    <phoneticPr fontId="1" type="noConversion"/>
  </si>
  <si>
    <t>VNet2 Address</t>
    <phoneticPr fontId="1" type="noConversion"/>
  </si>
  <si>
    <t>VNet3 Address</t>
    <phoneticPr fontId="1" type="noConversion"/>
  </si>
  <si>
    <t>VNetRG</t>
    <phoneticPr fontId="1" type="noConversion"/>
  </si>
  <si>
    <t>VNetName</t>
    <phoneticPr fontId="1" type="noConversion"/>
  </si>
  <si>
    <t>SubnetName</t>
    <phoneticPr fontId="1" type="noConversion"/>
  </si>
  <si>
    <t>DESName</t>
    <phoneticPr fontId="1" type="noConversion"/>
  </si>
  <si>
    <t>hazr-d-dch-rg</t>
    <phoneticPr fontId="1" type="noConversion"/>
  </si>
  <si>
    <t>hazr-d-com-rg</t>
    <phoneticPr fontId="1" type="noConversion"/>
  </si>
  <si>
    <t>hazr-d-cs-rg</t>
    <phoneticPr fontId="1" type="noConversion"/>
  </si>
  <si>
    <t>hazr-d-dis-rg</t>
    <phoneticPr fontId="1" type="noConversion"/>
  </si>
  <si>
    <t>hazr-d-doip-rg</t>
    <phoneticPr fontId="1" type="noConversion"/>
  </si>
  <si>
    <t>hazr-d-dtg-rg</t>
    <phoneticPr fontId="1" type="noConversion"/>
  </si>
  <si>
    <t>hazr-d-if-rg</t>
    <phoneticPr fontId="1" type="noConversion"/>
  </si>
  <si>
    <t>hazr-d-dch-ext-vnet</t>
    <phoneticPr fontId="1" type="noConversion"/>
  </si>
  <si>
    <t>hazr-d-dch-int-vnet</t>
    <phoneticPr fontId="1" type="noConversion"/>
  </si>
  <si>
    <t>10.156.128.0/20</t>
    <phoneticPr fontId="1" type="noConversion"/>
  </si>
  <si>
    <t>d-dis-web-sbn</t>
    <phoneticPr fontId="1" type="noConversion"/>
  </si>
  <si>
    <t>10.156.128.0/24</t>
    <phoneticPr fontId="1" type="noConversion"/>
  </si>
  <si>
    <t>d-puls-web-sbn</t>
    <phoneticPr fontId="1" type="noConversion"/>
  </si>
  <si>
    <t>d-doip-web-sbn</t>
    <phoneticPr fontId="1" type="noConversion"/>
  </si>
  <si>
    <t>10.156.130.0/24</t>
    <phoneticPr fontId="1" type="noConversion"/>
  </si>
  <si>
    <t>Subnet4 Name</t>
  </si>
  <si>
    <t>Subnet4 Address</t>
  </si>
  <si>
    <t>Subnet5 Name</t>
  </si>
  <si>
    <t>Subnet5 Address</t>
  </si>
  <si>
    <t>Subnet6 Name</t>
  </si>
  <si>
    <t>Subnet6 Address</t>
  </si>
  <si>
    <t>Subnet7 Name</t>
  </si>
  <si>
    <t>Subnet7 Address</t>
  </si>
  <si>
    <t>Subnet8 Name</t>
  </si>
  <si>
    <t>Subnet8 Address</t>
  </si>
  <si>
    <t>Subnet9 Name</t>
  </si>
  <si>
    <t>Subnet9 Address</t>
  </si>
  <si>
    <t>d-dtg-web-sbn</t>
    <phoneticPr fontId="1" type="noConversion"/>
  </si>
  <si>
    <t>10.156.131.0/24</t>
    <phoneticPr fontId="1" type="noConversion"/>
  </si>
  <si>
    <t>d-bdp-web-sbn</t>
    <phoneticPr fontId="1" type="noConversion"/>
  </si>
  <si>
    <t>10.156.132.0/24</t>
    <phoneticPr fontId="1" type="noConversion"/>
  </si>
  <si>
    <t>d-dip-web-sbn</t>
    <phoneticPr fontId="1" type="noConversion"/>
  </si>
  <si>
    <t>10.156.133.0/24</t>
    <phoneticPr fontId="1" type="noConversion"/>
  </si>
  <si>
    <t>d-com-web-sbn</t>
    <phoneticPr fontId="1" type="noConversion"/>
  </si>
  <si>
    <t>10.156.134.0/24</t>
    <phoneticPr fontId="1" type="noConversion"/>
  </si>
  <si>
    <t>d-if-web-sbn</t>
    <phoneticPr fontId="1" type="noConversion"/>
  </si>
  <si>
    <t>10.156.135.0/24</t>
    <phoneticPr fontId="1" type="noConversion"/>
  </si>
  <si>
    <t>d-cs-web-sbn</t>
    <phoneticPr fontId="1" type="noConversion"/>
  </si>
  <si>
    <t>10.156.136.0/24</t>
    <phoneticPr fontId="1" type="noConversion"/>
  </si>
  <si>
    <t>10.156.144.0/20</t>
    <phoneticPr fontId="1" type="noConversion"/>
  </si>
  <si>
    <t>10.156.160.0/20</t>
    <phoneticPr fontId="1" type="noConversion"/>
  </si>
  <si>
    <t>10.156.176.0/20</t>
    <phoneticPr fontId="1" type="noConversion"/>
  </si>
  <si>
    <t>d-dis-ap-sbn</t>
    <phoneticPr fontId="1" type="noConversion"/>
  </si>
  <si>
    <t>10.156.144.0/24</t>
    <phoneticPr fontId="1" type="noConversion"/>
  </si>
  <si>
    <t>d-dis-db-sbn</t>
    <phoneticPr fontId="1" type="noConversion"/>
  </si>
  <si>
    <t>10.156.129.0/24</t>
    <phoneticPr fontId="1" type="noConversion"/>
  </si>
  <si>
    <t>10.156.145.0/24</t>
    <phoneticPr fontId="1" type="noConversion"/>
  </si>
  <si>
    <t>d-dis-pe-sbn</t>
    <phoneticPr fontId="1" type="noConversion"/>
  </si>
  <si>
    <t>10.156.146.0/24</t>
    <phoneticPr fontId="1" type="noConversion"/>
  </si>
  <si>
    <t>d-puls-ap-sbn</t>
    <phoneticPr fontId="1" type="noConversion"/>
  </si>
  <si>
    <t>10.156.147.0/24</t>
    <phoneticPr fontId="1" type="noConversion"/>
  </si>
  <si>
    <t>d-puls-db-sbn</t>
    <phoneticPr fontId="1" type="noConversion"/>
  </si>
  <si>
    <t>10.156.148.0/24</t>
    <phoneticPr fontId="1" type="noConversion"/>
  </si>
  <si>
    <t>d-puls-pe-sbn</t>
    <phoneticPr fontId="1" type="noConversion"/>
  </si>
  <si>
    <t>10.156.149.0/24</t>
    <phoneticPr fontId="1" type="noConversion"/>
  </si>
  <si>
    <t>d-doip-ap-sbn</t>
    <phoneticPr fontId="1" type="noConversion"/>
  </si>
  <si>
    <t>10.156.150.0/24</t>
    <phoneticPr fontId="1" type="noConversion"/>
  </si>
  <si>
    <t>Subnet10 Name</t>
  </si>
  <si>
    <t>Subnet10 Address</t>
  </si>
  <si>
    <t>Subnet11 Name</t>
  </si>
  <si>
    <t>Subnet11 Address</t>
  </si>
  <si>
    <t>Subnet12 Name</t>
  </si>
  <si>
    <t>Subnet12 Address</t>
  </si>
  <si>
    <t>Subnet13 Name</t>
  </si>
  <si>
    <t>Subnet13 Address</t>
  </si>
  <si>
    <t>Subnet14 Name</t>
  </si>
  <si>
    <t>Subnet14 Address</t>
  </si>
  <si>
    <t>Subnet15 Name</t>
  </si>
  <si>
    <t>d-doip-db-sbn</t>
    <phoneticPr fontId="1" type="noConversion"/>
  </si>
  <si>
    <t>d-doip-pe-sbn</t>
    <phoneticPr fontId="1" type="noConversion"/>
  </si>
  <si>
    <t>d-dtg-ap-sbn</t>
    <phoneticPr fontId="1" type="noConversion"/>
  </si>
  <si>
    <t>d-dtg-db-sbn</t>
    <phoneticPr fontId="1" type="noConversion"/>
  </si>
  <si>
    <t>10.156.151.0/24</t>
    <phoneticPr fontId="1" type="noConversion"/>
  </si>
  <si>
    <t>10.156.152.0/24</t>
    <phoneticPr fontId="1" type="noConversion"/>
  </si>
  <si>
    <t>10.156.153.0/24</t>
    <phoneticPr fontId="1" type="noConversion"/>
  </si>
  <si>
    <t>10.156.154.0/24</t>
    <phoneticPr fontId="1" type="noConversion"/>
  </si>
  <si>
    <t>d-dtg-pe-sbn</t>
    <phoneticPr fontId="1" type="noConversion"/>
  </si>
  <si>
    <t>10.156.155.0/24</t>
    <phoneticPr fontId="1" type="noConversion"/>
  </si>
  <si>
    <t>d-bdp-ap-sbn</t>
    <phoneticPr fontId="1" type="noConversion"/>
  </si>
  <si>
    <t>d-bdp-db-sbn</t>
    <phoneticPr fontId="1" type="noConversion"/>
  </si>
  <si>
    <t>10.156.156.0/24</t>
    <phoneticPr fontId="1" type="noConversion"/>
  </si>
  <si>
    <t>10.156.157.0/24</t>
    <phoneticPr fontId="1" type="noConversion"/>
  </si>
  <si>
    <t>Subnet15 Address</t>
  </si>
  <si>
    <t>Subnet16 Name</t>
  </si>
  <si>
    <t>Subnet16 Address</t>
  </si>
  <si>
    <t>Subnet17 Name</t>
  </si>
  <si>
    <t>Subnet17 Address</t>
  </si>
  <si>
    <t>Subnet18 Name</t>
  </si>
  <si>
    <t>Subnet18 Address</t>
  </si>
  <si>
    <t>Subnet19 Name</t>
  </si>
  <si>
    <t>Subnet19 Address</t>
  </si>
  <si>
    <t>Subnet20 Name</t>
  </si>
  <si>
    <t>Subnet20 Address</t>
  </si>
  <si>
    <t>Subnet21 Name</t>
  </si>
  <si>
    <t>Subnet21 Address</t>
  </si>
  <si>
    <t>Subnet22 Name</t>
  </si>
  <si>
    <t>Subnet22 Address</t>
  </si>
  <si>
    <t>Subnet23 Name</t>
  </si>
  <si>
    <t>Subnet23 Address</t>
  </si>
  <si>
    <t>Subnet24 Name</t>
  </si>
  <si>
    <t>Subnet24 Address</t>
  </si>
  <si>
    <t>Subnet25 Name</t>
  </si>
  <si>
    <t>Subnet25 Address</t>
  </si>
  <si>
    <t>d-bdp-pe-sbn</t>
    <phoneticPr fontId="1" type="noConversion"/>
  </si>
  <si>
    <t>10.156.158.0/24</t>
    <phoneticPr fontId="1" type="noConversion"/>
  </si>
  <si>
    <t>d-bip-ap-sbn</t>
    <phoneticPr fontId="1" type="noConversion"/>
  </si>
  <si>
    <t>d-bip-db-sbn</t>
    <phoneticPr fontId="1" type="noConversion"/>
  </si>
  <si>
    <t>d-dip-pe-sbn</t>
    <phoneticPr fontId="1" type="noConversion"/>
  </si>
  <si>
    <t>10.156.159.0/24</t>
    <phoneticPr fontId="1" type="noConversion"/>
  </si>
  <si>
    <t>10.156.160.0/24</t>
    <phoneticPr fontId="1" type="noConversion"/>
  </si>
  <si>
    <t>10.156.161.0/24</t>
    <phoneticPr fontId="1" type="noConversion"/>
  </si>
  <si>
    <t>d-com-ap-sbn</t>
    <phoneticPr fontId="1" type="noConversion"/>
  </si>
  <si>
    <t>d-com-db-sbn</t>
    <phoneticPr fontId="1" type="noConversion"/>
  </si>
  <si>
    <t>d-com-pe-sbn</t>
    <phoneticPr fontId="1" type="noConversion"/>
  </si>
  <si>
    <t>10.156.162.0/24</t>
    <phoneticPr fontId="1" type="noConversion"/>
  </si>
  <si>
    <t>10.156.163.0/24</t>
    <phoneticPr fontId="1" type="noConversion"/>
  </si>
  <si>
    <t>10.156.164.0/24</t>
    <phoneticPr fontId="1" type="noConversion"/>
  </si>
  <si>
    <t>d-if-ap-sbn</t>
    <phoneticPr fontId="1" type="noConversion"/>
  </si>
  <si>
    <t>d-if-db-sbn</t>
    <phoneticPr fontId="1" type="noConversion"/>
  </si>
  <si>
    <t>d-if-pe-sbn</t>
    <phoneticPr fontId="1" type="noConversion"/>
  </si>
  <si>
    <t>10.156.165.0/24</t>
    <phoneticPr fontId="1" type="noConversion"/>
  </si>
  <si>
    <t>10.156.167.0/24</t>
    <phoneticPr fontId="1" type="noConversion"/>
  </si>
  <si>
    <t>10.156.166.0/24</t>
    <phoneticPr fontId="1" type="noConversion"/>
  </si>
  <si>
    <t>Subnet26 Name</t>
  </si>
  <si>
    <t>Subnet26 Address</t>
  </si>
  <si>
    <t>Subnet27 Name</t>
  </si>
  <si>
    <t>Subnet27 Address</t>
  </si>
  <si>
    <t>d-cs-ap-sbn</t>
    <phoneticPr fontId="1" type="noConversion"/>
  </si>
  <si>
    <t>d-cs-db-sbn</t>
    <phoneticPr fontId="1" type="noConversion"/>
  </si>
  <si>
    <t>d-cs-pe-sbn</t>
    <phoneticPr fontId="1" type="noConversion"/>
  </si>
  <si>
    <t>10.156.170.0/24</t>
    <phoneticPr fontId="1" type="noConversion"/>
  </si>
  <si>
    <t>10.156.168.0/24</t>
    <phoneticPr fontId="1" type="noConversion"/>
  </si>
  <si>
    <t>Gksthschlrh!2#4</t>
  </si>
  <si>
    <t>Gksthschlrh!2#4</t>
    <phoneticPr fontId="1" type="noConversion"/>
  </si>
  <si>
    <t>hazr-d-bdp-rg</t>
    <phoneticPr fontId="1" type="noConversion"/>
  </si>
  <si>
    <t>D2s_v5</t>
    <phoneticPr fontId="1" type="noConversion"/>
  </si>
  <si>
    <t>hazr-d-dis-rg</t>
  </si>
  <si>
    <t>hazr-d-dis-ap01</t>
  </si>
  <si>
    <t>hazr-d-dch-int-vnet</t>
  </si>
  <si>
    <t>d-dis-ap-sbn</t>
  </si>
  <si>
    <t>10.156.144.10</t>
  </si>
  <si>
    <t>Linux</t>
  </si>
  <si>
    <t>hazr-d-dis-adm01</t>
  </si>
  <si>
    <t>10.156.144.20</t>
  </si>
  <si>
    <t>hazr-d-dis-bbiweb01</t>
  </si>
  <si>
    <t>10.156.128.10</t>
  </si>
  <si>
    <t>D2s_v5</t>
  </si>
  <si>
    <t>hazr-d-dch-ext-vnet</t>
  </si>
  <si>
    <t>d-dis-web-sbn</t>
  </si>
  <si>
    <t>hazr-d-dis-bbicltap01</t>
  </si>
  <si>
    <t>10.156.144.30</t>
  </si>
  <si>
    <t>hazr-d-dis-bbimsgap01</t>
  </si>
  <si>
    <t>10.156.144.40</t>
  </si>
  <si>
    <t>hazr-d-dis-bat01</t>
  </si>
  <si>
    <t>10.156.144.60</t>
  </si>
  <si>
    <t>hazr-d-dis-drvcltap01</t>
  </si>
  <si>
    <t>10.156.144.80</t>
  </si>
  <si>
    <t>hazr-d-dis-drvmsgap01</t>
  </si>
  <si>
    <t>10.156.144.90</t>
  </si>
  <si>
    <t>hazr-d-dis-web01</t>
  </si>
  <si>
    <t>10.156.128.30</t>
  </si>
  <si>
    <t>hazr-d-dis-cmsadm01</t>
  </si>
  <si>
    <t>10.156.144.100</t>
  </si>
  <si>
    <t>hazr-d-dis-cmsap01</t>
  </si>
  <si>
    <t>10.156.144.110</t>
  </si>
  <si>
    <t>hazr-d-dis-cmsweb01</t>
  </si>
  <si>
    <t>10.156.128.40</t>
  </si>
  <si>
    <t>hazr-d-dis-cmbsap01</t>
  </si>
  <si>
    <t>10.156.144.120</t>
  </si>
  <si>
    <t>hazr-d-dtg-rg</t>
  </si>
  <si>
    <t>hazr-d-dtg-ingap01</t>
  </si>
  <si>
    <t>10.156.153.10</t>
  </si>
  <si>
    <t>d-dtg-ap-sbn</t>
  </si>
  <si>
    <t>hazr-d-dtg-ap01</t>
  </si>
  <si>
    <t>10.156.153.20</t>
  </si>
  <si>
    <t>hazr-d-dtg-extgeoap01</t>
  </si>
  <si>
    <t>10.156.153.30</t>
  </si>
  <si>
    <t>hazr-d-dtg-geoap01</t>
  </si>
  <si>
    <t>10.156.153.40</t>
  </si>
  <si>
    <t>hazr-d-dtg-mq01</t>
  </si>
  <si>
    <t>10.156.131.10</t>
  </si>
  <si>
    <t>d-dtg-web-sbn</t>
  </si>
  <si>
    <t>hazr-d-dtg-admweb01</t>
  </si>
  <si>
    <t>10.156.153.50</t>
  </si>
  <si>
    <t>hazr-d-dtg-admap01</t>
  </si>
  <si>
    <t>10.156.153.60</t>
  </si>
  <si>
    <t>hazr-d-dtg-dtoms01</t>
  </si>
  <si>
    <t>10.156.153.70</t>
  </si>
  <si>
    <t>hazr-d-dtg-tsdb01</t>
  </si>
  <si>
    <t>10.156.154.10</t>
  </si>
  <si>
    <t>E4s_v5</t>
    <phoneticPr fontId="1" type="noConversion"/>
  </si>
  <si>
    <t>d-dtg-db-sbn</t>
  </si>
  <si>
    <t>hazr-d-dtg-web01</t>
  </si>
  <si>
    <t>10.156.131.20</t>
  </si>
  <si>
    <t>hazr-d-dtg-zkp01</t>
  </si>
  <si>
    <t>10.156.153.81</t>
  </si>
  <si>
    <t>hazr-d-dtg-zkp02</t>
  </si>
  <si>
    <t>10.156.153.82</t>
  </si>
  <si>
    <t>hazr-d-dtg-zkp03</t>
  </si>
  <si>
    <t>10.156.153.83</t>
  </si>
  <si>
    <t>hazr-d-dtg-kfk01</t>
  </si>
  <si>
    <t>10.156.153.91</t>
  </si>
  <si>
    <t>hazr-d-dtg-kfk02</t>
  </si>
  <si>
    <t>10.156.153.92</t>
  </si>
  <si>
    <t>hazr-d-dtg-kfk03</t>
  </si>
  <si>
    <t>10.156.153.93</t>
  </si>
  <si>
    <t>hazr-d-dtg-mdoms01</t>
  </si>
  <si>
    <t>10.156.153.100</t>
  </si>
  <si>
    <t>hazr-d-dtg-cdmlap01</t>
  </si>
  <si>
    <t>10.156.153.110</t>
  </si>
  <si>
    <t>hazr-d-dtg-cdstap01</t>
  </si>
  <si>
    <t>10.156.153.120</t>
  </si>
  <si>
    <t>10.156.153.130</t>
  </si>
  <si>
    <t>hazr-d-dtg-diosap01</t>
  </si>
  <si>
    <t>10.156.153.140</t>
  </si>
  <si>
    <t>hazr-d-dtg-diosweb01</t>
  </si>
  <si>
    <t>10.156.153.150</t>
  </si>
  <si>
    <t>hazr-d-dtg-dprweb01</t>
  </si>
  <si>
    <t>10.156.131.30</t>
  </si>
  <si>
    <t>hazr-d-dtg-dprap01</t>
  </si>
  <si>
    <t>10.156.153.160</t>
  </si>
  <si>
    <t>hazr-d-bdp-rg</t>
  </si>
  <si>
    <t>hazr-d-bdp-airfw01</t>
  </si>
  <si>
    <t>10.156.156.10</t>
  </si>
  <si>
    <t>d-bdp-ap-sbn</t>
  </si>
  <si>
    <t>hazr-d-bdp-kepler01</t>
  </si>
  <si>
    <t>10.156.156.20</t>
  </si>
  <si>
    <t>10.156.156.30</t>
  </si>
  <si>
    <t>hazr-d-bdp-slap01</t>
  </si>
  <si>
    <t>10.156.156.40</t>
  </si>
  <si>
    <t>hazr-d-if-rg</t>
  </si>
  <si>
    <t>hazr-d-if-gramon01</t>
  </si>
  <si>
    <t>10.156.165.10</t>
  </si>
  <si>
    <t>d-if-ap-sbn</t>
  </si>
  <si>
    <t>hazr-d-bdp-crkweb01</t>
  </si>
  <si>
    <t>10.156.132.10</t>
  </si>
  <si>
    <t>d-bdp-web-sbn</t>
  </si>
  <si>
    <t>hazr-d-bdp-crkap01</t>
  </si>
  <si>
    <t>10.156.156.50</t>
  </si>
  <si>
    <t>hazr-d-bdp-crkml01</t>
  </si>
  <si>
    <t>10.156.156.60</t>
  </si>
  <si>
    <t>StandardSSD_LRS</t>
    <phoneticPr fontId="1" type="noConversion"/>
  </si>
  <si>
    <t>hazr-d-dip-rg</t>
    <phoneticPr fontId="1" type="noConversion"/>
  </si>
  <si>
    <t>CS</t>
    <phoneticPr fontId="1" type="noConversion"/>
  </si>
  <si>
    <t>DIS</t>
    <phoneticPr fontId="1" type="noConversion"/>
  </si>
  <si>
    <t>DCH</t>
    <phoneticPr fontId="1" type="noConversion"/>
  </si>
  <si>
    <t>COM</t>
    <phoneticPr fontId="1" type="noConversion"/>
  </si>
  <si>
    <t>DOIP</t>
    <phoneticPr fontId="1" type="noConversion"/>
  </si>
  <si>
    <t>DTG</t>
    <phoneticPr fontId="1" type="noConversion"/>
  </si>
  <si>
    <t>IF</t>
    <phoneticPr fontId="1" type="noConversion"/>
  </si>
  <si>
    <t>BDP</t>
    <phoneticPr fontId="1" type="noConversion"/>
  </si>
  <si>
    <t>PULS</t>
    <phoneticPr fontId="1" type="noConversion"/>
  </si>
  <si>
    <t>hazr-d-puls-rg</t>
    <phoneticPr fontId="1" type="noConversion"/>
  </si>
  <si>
    <t>hwgiifadmin</t>
    <phoneticPr fontId="1" type="noConversion"/>
  </si>
  <si>
    <t>VMName</t>
    <phoneticPr fontId="1" type="noConversion"/>
  </si>
  <si>
    <t>Zone</t>
    <phoneticPr fontId="1" type="noConversion"/>
  </si>
  <si>
    <t>Datadisk1Name</t>
    <phoneticPr fontId="1" type="noConversion"/>
  </si>
  <si>
    <t>Datadisk2Name</t>
    <phoneticPr fontId="1" type="noConversion"/>
  </si>
  <si>
    <t>DataDisk1Type</t>
    <phoneticPr fontId="1" type="noConversion"/>
  </si>
  <si>
    <t>Datadisk1Size</t>
    <phoneticPr fontId="1" type="noConversion"/>
  </si>
  <si>
    <t>DataDisk2Type</t>
    <phoneticPr fontId="1" type="noConversion"/>
  </si>
  <si>
    <t>Datadisk2Size</t>
    <phoneticPr fontId="1" type="noConversion"/>
  </si>
  <si>
    <t>hazr-d-dch-des</t>
    <phoneticPr fontId="1" type="noConversion"/>
  </si>
  <si>
    <t>DoubleEncryption</t>
    <phoneticPr fontId="1" type="noConversion"/>
  </si>
  <si>
    <t>HostCaching</t>
    <phoneticPr fontId="1" type="noConversion"/>
  </si>
  <si>
    <t>None</t>
    <phoneticPr fontId="1" type="noConversion"/>
  </si>
  <si>
    <t>DESRG</t>
    <phoneticPr fontId="1" type="noConversion"/>
  </si>
  <si>
    <t>EnableAcceleratedNetworking</t>
    <phoneticPr fontId="1" type="noConversion"/>
  </si>
  <si>
    <t xml:space="preserve">UseOsDiskDoubleEncryption </t>
    <phoneticPr fontId="1" type="noConversion"/>
  </si>
  <si>
    <t>hazr-d-bdp-crkap01</t>
    <phoneticPr fontId="1" type="noConversion"/>
  </si>
  <si>
    <t>hazr-d-dtg-cdsvadm01</t>
    <phoneticPr fontId="1" type="noConversion"/>
  </si>
  <si>
    <t>hazr-d-bdp-cxmadm01</t>
    <phoneticPr fontId="1" type="noConversion"/>
  </si>
  <si>
    <t>hazr-d-dis-adm01</t>
    <phoneticPr fontId="1" type="noConversion"/>
  </si>
  <si>
    <t>hazr-d-dis-bbiweb01</t>
    <phoneticPr fontId="1" type="noConversion"/>
  </si>
  <si>
    <t>dis-cmsadm</t>
    <phoneticPr fontId="1" type="noConversion"/>
  </si>
  <si>
    <t>hazr-d-dis-cmsweb01</t>
    <phoneticPr fontId="1" type="noConversion"/>
  </si>
  <si>
    <t>hazr-d-dis-drvcltap01</t>
    <phoneticPr fontId="1" type="noConversion"/>
  </si>
  <si>
    <t>hazr-d-dis-web01</t>
    <phoneticPr fontId="1" type="noConversion"/>
  </si>
  <si>
    <t>hazr-d-dis-cmsadm01</t>
    <phoneticPr fontId="1" type="noConversion"/>
  </si>
  <si>
    <t>hazr-d-dtg-admweb01</t>
    <phoneticPr fontId="1" type="noConversion"/>
  </si>
  <si>
    <t>hazr-d-dtg-admap01</t>
    <phoneticPr fontId="1" type="noConversion"/>
  </si>
  <si>
    <t>hazr-d-dtg-tsdb01</t>
    <phoneticPr fontId="1" type="noConversion"/>
  </si>
  <si>
    <t>hazr-d-dtg-web01</t>
    <phoneticPr fontId="1" type="noConversion"/>
  </si>
  <si>
    <t>hazr-d-dtg-mdoms01</t>
    <phoneticPr fontId="1" type="noConversion"/>
  </si>
  <si>
    <t>hazr-d-dtg-diosweb01</t>
    <phoneticPr fontId="1" type="noConversion"/>
  </si>
  <si>
    <t>hazr-d-dtg-dprweb01</t>
    <phoneticPr fontId="1" type="noConversion"/>
  </si>
  <si>
    <t>hazr-d-bdp-airfw01</t>
    <phoneticPr fontId="1" type="noConversion"/>
  </si>
  <si>
    <t>hazr-d-bdp-kepler01</t>
    <phoneticPr fontId="1" type="noConversion"/>
  </si>
  <si>
    <t>hazr-d-bdp-slap01</t>
    <phoneticPr fontId="1" type="noConversion"/>
  </si>
  <si>
    <t>hazr-d-dip-adm01</t>
    <phoneticPr fontId="1" type="noConversion"/>
  </si>
  <si>
    <t>hazr-d-bdp-crkweb01</t>
    <phoneticPr fontId="1" type="noConversion"/>
  </si>
  <si>
    <t>hazr-d-dis-cmbsap01</t>
    <phoneticPr fontId="1" type="noConversion"/>
  </si>
  <si>
    <t>O</t>
    <phoneticPr fontId="1" type="noConversion"/>
  </si>
  <si>
    <t>hazr-d-dis-bbicltap01</t>
    <phoneticPr fontId="1" type="noConversion"/>
  </si>
  <si>
    <t>hazr-d-dis-drvmsgap01</t>
    <phoneticPr fontId="1" type="noConversion"/>
  </si>
  <si>
    <t>hazr-d-dtg-ingap01</t>
    <phoneticPr fontId="1" type="noConversion"/>
  </si>
  <si>
    <t>hazr-d-dtg-extgeoap01</t>
    <phoneticPr fontId="1" type="noConversion"/>
  </si>
  <si>
    <t>hazr-d-dtg-mq01</t>
    <phoneticPr fontId="1" type="noConversion"/>
  </si>
  <si>
    <t>hazr-d-dtg-zkp01</t>
    <phoneticPr fontId="1" type="noConversion"/>
  </si>
  <si>
    <t>hazr-d-dtg-zkp03</t>
    <phoneticPr fontId="1" type="noConversion"/>
  </si>
  <si>
    <t>hazr-d-dtg-kfk02</t>
    <phoneticPr fontId="1" type="noConversion"/>
  </si>
  <si>
    <t>hazr-d-dtg-cdstap01</t>
    <phoneticPr fontId="1" type="noConversion"/>
  </si>
  <si>
    <t>hazr-d-dtg-diosap01</t>
    <phoneticPr fontId="1" type="noConversion"/>
  </si>
  <si>
    <t>d-dip-ap-sbn</t>
    <phoneticPr fontId="1" type="noConversion"/>
  </si>
  <si>
    <t>NicRG</t>
    <phoneticPr fontId="1" type="noConversion"/>
  </si>
  <si>
    <t>d-dis-db-sbn</t>
  </si>
  <si>
    <t>d-dis-pe-sbn</t>
  </si>
  <si>
    <t>d-puls-db-sbn</t>
  </si>
  <si>
    <t>d-puls-pe-sbn</t>
  </si>
  <si>
    <t>d-doip-db-sbn</t>
  </si>
  <si>
    <t>d-doip-pe-sbn</t>
  </si>
  <si>
    <t>d-ddg-db-sbn</t>
  </si>
  <si>
    <t>d-ddg-pe-sbn</t>
  </si>
  <si>
    <t>d-bdp-db-sbn</t>
  </si>
  <si>
    <t>d-bdp-pe-sbn</t>
  </si>
  <si>
    <t>d-dip-db-sbn</t>
  </si>
  <si>
    <t>d-com-pe-sbn</t>
  </si>
  <si>
    <t>d-com-db-sbn</t>
  </si>
  <si>
    <t>d-if-db-sbn</t>
  </si>
  <si>
    <t>d-if-pe-sbn</t>
  </si>
  <si>
    <t>X</t>
    <phoneticPr fontId="1" type="noConversion"/>
  </si>
  <si>
    <t>DIP</t>
    <phoneticPr fontId="1" type="noConversion"/>
  </si>
  <si>
    <t>d-dip-pe-nsg</t>
    <phoneticPr fontId="1" type="noConversion"/>
  </si>
  <si>
    <t>hazr-d-if-auth01</t>
    <phoneticPr fontId="1" type="noConversion"/>
  </si>
  <si>
    <t>10.156.165.20</t>
    <phoneticPr fontId="1" type="noConversion"/>
  </si>
  <si>
    <t>hazr-d-com-esnweb01</t>
    <phoneticPr fontId="1" type="noConversion"/>
  </si>
  <si>
    <t>10.156.134.10</t>
    <phoneticPr fontId="1" type="noConversion"/>
  </si>
  <si>
    <t>D2S_V5</t>
    <phoneticPr fontId="1" type="noConversion"/>
  </si>
  <si>
    <t>Linux</t>
    <phoneticPr fontId="1" type="noConversion"/>
  </si>
  <si>
    <t>/subscriptions/b73b1d70-b43f-41b5-bb3f-34b9236d2ed9/resourceGroups/hazr-l-mgmt-rg/providers/Microsoft.Compute/galleries/hazrlmgmtgal/images/RHEL_9.6_Base_Image/versions/0.1.1</t>
  </si>
  <si>
    <t>/subscriptions/b73b1d70-b43f-41b5-bb3f-34b9236d2ed9/resourceGroups/hazr-l-mgmt-rg/providers/Microsoft.Compute/galleries/hazrlmgmtgal/images/RHEL_9.6_Base_Image/versions/0.1.1</t>
    <phoneticPr fontId="1" type="noConversion"/>
  </si>
  <si>
    <t>/subscriptions/b73b1d70-b43f-41b5-bb3f-34b9236d2ed9/resourceGroups/hazr-l-mgmt-rg/providers/Microsoft.Compute/galleries/hazrlmgmtgal/images/RHEL_9.6_nginx_Base_Image/versions/0.0.9</t>
  </si>
  <si>
    <t>10.156.162.10</t>
    <phoneticPr fontId="1" type="noConversion"/>
  </si>
  <si>
    <t>hazr-d-com-scmsol01</t>
    <phoneticPr fontId="1" type="noConversion"/>
  </si>
  <si>
    <t>10.156.162.20</t>
    <phoneticPr fontId="1" type="noConversion"/>
  </si>
  <si>
    <t>hazr-d-dtg-bbigeoap01</t>
    <phoneticPr fontId="1" type="noConversion"/>
  </si>
  <si>
    <t>10.156.153.170</t>
    <phoneticPr fontId="1" type="noConversion"/>
  </si>
  <si>
    <t>hazr-d-bdp-rlgcweb01</t>
    <phoneticPr fontId="1" type="noConversion"/>
  </si>
  <si>
    <t>hazr-d-bdp-rlgcap01</t>
    <phoneticPr fontId="1" type="noConversion"/>
  </si>
  <si>
    <t>10.156.132.20</t>
    <phoneticPr fontId="1" type="noConversion"/>
  </si>
  <si>
    <t>10.156.156.70</t>
    <phoneticPr fontId="1" type="noConversion"/>
  </si>
  <si>
    <t>D4s_v5</t>
    <phoneticPr fontId="1" type="noConversion"/>
  </si>
  <si>
    <t>D8s_v5</t>
    <phoneticPr fontId="1" type="noConversion"/>
  </si>
  <si>
    <t>hazr-d-com-esnap01</t>
    <phoneticPr fontId="1" type="noConversion"/>
  </si>
  <si>
    <t>/subscriptions/b73b1d70-b43f-41b5-bb3f-34b9236d2ed9/resourceGroups/hazr-l-mgmt-rg/providers/Microsoft.Compute/galleries/hazrlmgmtgal/images/RHEL_9.8_Base_Image/versions/0.0.3</t>
    <phoneticPr fontId="1" type="noConversion"/>
  </si>
  <si>
    <t>TEMP</t>
    <phoneticPr fontId="1" type="noConversion"/>
  </si>
  <si>
    <t>az-d-int-host1</t>
    <phoneticPr fontId="1" type="noConversion"/>
  </si>
  <si>
    <t>az-d-int-host2</t>
    <phoneticPr fontId="1" type="noConversion"/>
  </si>
  <si>
    <t>az-d-int-host3</t>
    <phoneticPr fontId="1" type="noConversion"/>
  </si>
  <si>
    <t>az-d-int-host4</t>
    <phoneticPr fontId="1" type="noConversion"/>
  </si>
  <si>
    <t>10.156.147.4</t>
    <phoneticPr fontId="1" type="noConversion"/>
  </si>
  <si>
    <t>10.156.147.5</t>
    <phoneticPr fontId="1" type="noConversion"/>
  </si>
  <si>
    <t>10.156.147.6</t>
    <phoneticPr fontId="1" type="noConversion"/>
  </si>
  <si>
    <t>10.156.147.7</t>
    <phoneticPr fontId="1" type="noConversion"/>
  </si>
  <si>
    <t>/subscriptions/b73b1d70-b43f-41b5-bb3f-34b9236d2ed9/resourceGroups/hazr-l-mgmt-rg/providers/Microsoft.Compute/galleries/hazrlmgmtgal/images/RHEL_9.8_Base_Image/versions/0.0.4</t>
    <phoneticPr fontId="1" type="noConversion"/>
  </si>
  <si>
    <t>d-puls-ap-sbn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</si>
</sst>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B050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9" fillId="0" borderId="0" xfId="0" applyFont="1">
      <alignment vertical="center"/>
    </xf>
    <xf numFmtId="49" fontId="9" fillId="0" borderId="0" xfId="0" applyNumberFormat="1" applyFont="1">
      <alignment vertical="center"/>
    </xf>
    <xf numFmtId="0" fontId="10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8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49" fontId="3" fillId="0" borderId="0" xfId="0" applyNumberFormat="1" applyFont="1">
      <alignment vertical="center"/>
    </xf>
    <xf numFmtId="0" fontId="3" fillId="0" borderId="0" xfId="0" applyFont="1" applyAlignment="1">
      <alignment vertical="center" wrapText="1"/>
    </xf>
    <xf numFmtId="0" fontId="0" fillId="5" borderId="1" xfId="0" applyFill="1" applyBorder="1">
      <alignment vertical="center"/>
    </xf>
    <xf numFmtId="0" fontId="0" fillId="5" borderId="4" xfId="0" applyFill="1" applyBorder="1">
      <alignment vertical="center"/>
    </xf>
    <xf numFmtId="0" fontId="11" fillId="0" borderId="0" xfId="0" applyFont="1">
      <alignment vertical="center"/>
    </xf>
    <xf numFmtId="0" fontId="3" fillId="3" borderId="1" xfId="0" applyFont="1" applyFill="1" applyBorder="1">
      <alignment vertical="center"/>
    </xf>
    <xf numFmtId="0" fontId="10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5" borderId="0" xfId="0" applyFill="1">
      <alignment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B1:AF57" totalsRowShown="0" headerRowDxfId="33" dataDxfId="32">
  <autoFilter ref="B1:AF57" xr:uid="{00000000-0009-0000-0100-000001000000}"/>
  <tableColumns count="31">
    <tableColumn id="1" xr3:uid="{00000000-0010-0000-0000-000001000000}" name="Stage" dataDxfId="31"/>
    <tableColumn id="2" xr3:uid="{DD2076C4-D866-4329-BEA8-1D816DAF3627}" name="Role" dataDxfId="30">
      <calculatedColumnFormula array="1">UPPER(INDEX(_xlfn.TEXTSPLIT($D2, "-"), 3))</calculatedColumnFormula>
    </tableColumn>
    <tableColumn id="3" xr3:uid="{00000000-0010-0000-0000-000003000000}" name="RGname" dataDxfId="29"/>
    <tableColumn id="4" xr3:uid="{00000000-0010-0000-0000-000004000000}" name="Location" dataDxfId="28"/>
    <tableColumn id="5" xr3:uid="{00000000-0010-0000-0000-000005000000}" name="Name" dataDxfId="27"/>
    <tableColumn id="6" xr3:uid="{00000000-0010-0000-0000-000006000000}" name="PrivateIP" dataDxfId="26"/>
    <tableColumn id="22" xr3:uid="{00000000-0010-0000-0000-000016000000}" name="VmSize" dataDxfId="25"/>
    <tableColumn id="23" xr3:uid="{00000000-0010-0000-0000-000017000000}" name="CPU" dataDxfId="24"/>
    <tableColumn id="34" xr3:uid="{00000000-0010-0000-0000-000022000000}" name="RAM" dataDxfId="23"/>
    <tableColumn id="7" xr3:uid="{00000000-0010-0000-0000-000007000000}" name="AdminUsername" dataDxfId="22"/>
    <tableColumn id="8" xr3:uid="{00000000-0010-0000-0000-000008000000}" name="AdminPassword" dataDxfId="21"/>
    <tableColumn id="9" xr3:uid="{00000000-0010-0000-0000-000009000000}" name="OsType" dataDxfId="20"/>
    <tableColumn id="10" xr3:uid="{5C5FDBAD-A0A4-4C75-968A-8587646674EE}" name="ImageResourceId" dataDxfId="19"/>
    <tableColumn id="12" xr3:uid="{00000000-0010-0000-0000-00000C000000}" name="OsDiskName" dataDxfId="18">
      <calculatedColumnFormula>SUBSTITUTE(F2,"hazr-","")&amp;"-osdisk"</calculatedColumnFormula>
    </tableColumn>
    <tableColumn id="13" xr3:uid="{00000000-0010-0000-0000-00000D000000}" name="OsDiskSize" dataDxfId="17"/>
    <tableColumn id="14" xr3:uid="{00000000-0010-0000-0000-00000E000000}" name="OsDiskStorageType" dataDxfId="16"/>
    <tableColumn id="24" xr3:uid="{00000000-0010-0000-0000-000018000000}" name="DataDiskName" dataDxfId="15"/>
    <tableColumn id="25" xr3:uid="{00000000-0010-0000-0000-000019000000}" name="DataDiskSize" dataDxfId="14"/>
    <tableColumn id="26" xr3:uid="{00000000-0010-0000-0000-00001A000000}" name="DataDiskStorageType" dataDxfId="13"/>
    <tableColumn id="15" xr3:uid="{00000000-0010-0000-0000-00000F000000}" name="NicName" dataDxfId="12">
      <calculatedColumnFormula>SUBSTITUTE(F2,"hazr-","")&amp;"-nic"</calculatedColumnFormula>
    </tableColumn>
    <tableColumn id="27" xr3:uid="{6FD9A0A6-7008-49AB-B2C9-4BEDF1811434}" name="EnableAcceleratedNetworking" dataDxfId="11"/>
    <tableColumn id="17" xr3:uid="{00000000-0010-0000-0000-000011000000}" name="IsStatic" dataDxfId="10"/>
    <tableColumn id="11" xr3:uid="{65903CF2-1AF4-4B86-A9E4-474DE495E3CB}" name="VnetRG" dataDxfId="9"/>
    <tableColumn id="18" xr3:uid="{00000000-0010-0000-0000-000012000000}" name="VnetName" dataDxfId="8"/>
    <tableColumn id="19" xr3:uid="{00000000-0010-0000-0000-000013000000}" name="SubnetName" dataDxfId="7"/>
    <tableColumn id="28" xr3:uid="{73185387-6B41-497F-9EB6-5675CC43B3E3}" name="UseOsDiskDoubleEncryption " dataDxfId="6"/>
    <tableColumn id="21" xr3:uid="{804782E7-599A-496A-B10D-EFCB52F3E7DB}" name="DESRG" dataDxfId="5"/>
    <tableColumn id="16" xr3:uid="{1ED2A695-2028-4644-8B0B-7B32A8F548C4}" name="DESName" dataDxfId="4"/>
    <tableColumn id="36" xr3:uid="{9EB3DACA-84E4-4D05-8E76-433A4A9E33E7}" name="Zones" dataDxfId="3"/>
    <tableColumn id="20" xr3:uid="{00000000-0010-0000-0000-000014000000}" name="SubscriptionName" dataDxfId="2"/>
    <tableColumn id="35" xr3:uid="{A2E4758D-942B-4C99-96CE-9F1494B6961B}" name="Description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19D1-383B-4C42-B4E9-A7935F09393B}">
  <sheetPr>
    <tabColor rgb="FF00B050"/>
  </sheetPr>
  <dimension ref="A1:BK71"/>
  <sheetViews>
    <sheetView workbookViewId="0"/>
  </sheetViews>
  <sheetFormatPr defaultRowHeight="16.5" x14ac:dyDescent="0.3"/>
  <cols>
    <col min="1" max="1" width="1.25" customWidth="1"/>
    <col min="4" max="4" width="12.5" bestFit="1" customWidth="1"/>
    <col min="5" max="5" width="12.25" bestFit="1" customWidth="1"/>
    <col min="6" max="6" width="16.875" bestFit="1" customWidth="1"/>
    <col min="7" max="8" width="13.125" bestFit="1" customWidth="1"/>
    <col min="9" max="9" width="13.5" bestFit="1" customWidth="1"/>
    <col min="10" max="10" width="13.375" bestFit="1" customWidth="1"/>
    <col min="11" max="11" width="15.125" bestFit="1" customWidth="1"/>
    <col min="12" max="12" width="13.375" bestFit="1" customWidth="1"/>
    <col min="13" max="13" width="15.125" bestFit="1" customWidth="1"/>
    <col min="14" max="14" width="13.375" bestFit="1" customWidth="1"/>
    <col min="15" max="15" width="15.125" bestFit="1" customWidth="1"/>
    <col min="16" max="16" width="13.375" bestFit="1" customWidth="1"/>
    <col min="17" max="17" width="15.125" bestFit="1" customWidth="1"/>
    <col min="18" max="18" width="13.375" bestFit="1" customWidth="1"/>
    <col min="19" max="19" width="15.125" bestFit="1" customWidth="1"/>
    <col min="20" max="20" width="13.375" bestFit="1" customWidth="1"/>
    <col min="21" max="21" width="15.125" bestFit="1" customWidth="1"/>
    <col min="22" max="22" width="13.375" bestFit="1" customWidth="1"/>
    <col min="23" max="23" width="15.125" bestFit="1" customWidth="1"/>
    <col min="24" max="24" width="13.375" bestFit="1" customWidth="1"/>
    <col min="25" max="25" width="15.125" bestFit="1" customWidth="1"/>
    <col min="26" max="26" width="13.375" bestFit="1" customWidth="1"/>
    <col min="27" max="27" width="15.125" bestFit="1" customWidth="1"/>
    <col min="28" max="28" width="14.375" bestFit="1" customWidth="1"/>
    <col min="29" max="29" width="16.25" bestFit="1" customWidth="1"/>
    <col min="30" max="30" width="14.375" bestFit="1" customWidth="1"/>
    <col min="31" max="31" width="16.25" bestFit="1" customWidth="1"/>
    <col min="32" max="32" width="14.375" bestFit="1" customWidth="1"/>
    <col min="33" max="33" width="16.25" bestFit="1" customWidth="1"/>
    <col min="34" max="34" width="14.375" bestFit="1" customWidth="1"/>
    <col min="35" max="35" width="16.25" bestFit="1" customWidth="1"/>
    <col min="36" max="36" width="14.375" bestFit="1" customWidth="1"/>
    <col min="37" max="37" width="16.25" bestFit="1" customWidth="1"/>
    <col min="38" max="38" width="14.375" bestFit="1" customWidth="1"/>
    <col min="39" max="39" width="16.25" bestFit="1" customWidth="1"/>
    <col min="40" max="40" width="14.375" bestFit="1" customWidth="1"/>
    <col min="41" max="41" width="16.25" bestFit="1" customWidth="1"/>
    <col min="42" max="42" width="14.375" bestFit="1" customWidth="1"/>
    <col min="43" max="43" width="16.25" bestFit="1" customWidth="1"/>
    <col min="44" max="44" width="14.375" bestFit="1" customWidth="1"/>
    <col min="45" max="45" width="16.25" bestFit="1" customWidth="1"/>
    <col min="46" max="46" width="14.375" bestFit="1" customWidth="1"/>
    <col min="47" max="47" width="16.25" bestFit="1" customWidth="1"/>
    <col min="48" max="48" width="14.375" bestFit="1" customWidth="1"/>
    <col min="49" max="49" width="16.25" bestFit="1" customWidth="1"/>
    <col min="50" max="50" width="14.375" bestFit="1" customWidth="1"/>
    <col min="51" max="51" width="16.25" bestFit="1" customWidth="1"/>
    <col min="52" max="52" width="14.375" bestFit="1" customWidth="1"/>
    <col min="53" max="53" width="16.25" bestFit="1" customWidth="1"/>
    <col min="54" max="54" width="14.375" bestFit="1" customWidth="1"/>
    <col min="55" max="55" width="16.25" bestFit="1" customWidth="1"/>
    <col min="56" max="56" width="14.375" bestFit="1" customWidth="1"/>
    <col min="57" max="57" width="16.25" bestFit="1" customWidth="1"/>
    <col min="58" max="58" width="14.375" bestFit="1" customWidth="1"/>
    <col min="59" max="59" width="16.25" bestFit="1" customWidth="1"/>
    <col min="60" max="60" width="14.375" bestFit="1" customWidth="1"/>
    <col min="61" max="61" width="16.25" bestFit="1" customWidth="1"/>
    <col min="62" max="62" width="14.375" bestFit="1" customWidth="1"/>
    <col min="63" max="63" width="16.25" bestFit="1" customWidth="1"/>
  </cols>
  <sheetData>
    <row r="1" spans="1:63" x14ac:dyDescent="0.3">
      <c r="A1" s="6"/>
      <c r="B1" s="7" t="s">
        <v>0</v>
      </c>
      <c r="C1" s="7" t="s">
        <v>1</v>
      </c>
      <c r="D1" s="5" t="s">
        <v>2</v>
      </c>
      <c r="E1" s="5" t="s">
        <v>3</v>
      </c>
      <c r="F1" s="5" t="s">
        <v>41</v>
      </c>
      <c r="G1" s="5" t="s">
        <v>42</v>
      </c>
      <c r="H1" s="7" t="s">
        <v>43</v>
      </c>
      <c r="I1" s="7" t="s">
        <v>44</v>
      </c>
      <c r="J1" s="5" t="s">
        <v>33</v>
      </c>
      <c r="K1" s="5" t="s">
        <v>34</v>
      </c>
      <c r="L1" s="7" t="s">
        <v>35</v>
      </c>
      <c r="M1" s="7" t="s">
        <v>36</v>
      </c>
      <c r="N1" s="7" t="s">
        <v>37</v>
      </c>
      <c r="O1" s="7" t="s">
        <v>38</v>
      </c>
      <c r="P1" s="7" t="s">
        <v>64</v>
      </c>
      <c r="Q1" s="7" t="s">
        <v>65</v>
      </c>
      <c r="R1" s="7" t="s">
        <v>66</v>
      </c>
      <c r="S1" s="7" t="s">
        <v>67</v>
      </c>
      <c r="T1" s="7" t="s">
        <v>68</v>
      </c>
      <c r="U1" s="7" t="s">
        <v>69</v>
      </c>
      <c r="V1" s="7" t="s">
        <v>70</v>
      </c>
      <c r="W1" s="7" t="s">
        <v>71</v>
      </c>
      <c r="X1" s="7" t="s">
        <v>72</v>
      </c>
      <c r="Y1" s="7" t="s">
        <v>73</v>
      </c>
      <c r="Z1" s="7" t="s">
        <v>74</v>
      </c>
      <c r="AA1" s="7" t="s">
        <v>75</v>
      </c>
      <c r="AB1" s="7" t="s">
        <v>106</v>
      </c>
      <c r="AC1" s="7" t="s">
        <v>107</v>
      </c>
      <c r="AD1" s="7" t="s">
        <v>108</v>
      </c>
      <c r="AE1" s="7" t="s">
        <v>109</v>
      </c>
      <c r="AF1" s="7" t="s">
        <v>110</v>
      </c>
      <c r="AG1" s="7" t="s">
        <v>111</v>
      </c>
      <c r="AH1" s="7" t="s">
        <v>112</v>
      </c>
      <c r="AI1" s="7" t="s">
        <v>113</v>
      </c>
      <c r="AJ1" s="7" t="s">
        <v>114</v>
      </c>
      <c r="AK1" s="7" t="s">
        <v>115</v>
      </c>
      <c r="AL1" s="7" t="s">
        <v>116</v>
      </c>
      <c r="AM1" s="7" t="s">
        <v>131</v>
      </c>
      <c r="AN1" s="7" t="s">
        <v>132</v>
      </c>
      <c r="AO1" s="7" t="s">
        <v>133</v>
      </c>
      <c r="AP1" s="7" t="s">
        <v>134</v>
      </c>
      <c r="AQ1" s="7" t="s">
        <v>135</v>
      </c>
      <c r="AR1" s="7" t="s">
        <v>136</v>
      </c>
      <c r="AS1" s="7" t="s">
        <v>137</v>
      </c>
      <c r="AT1" s="7" t="s">
        <v>138</v>
      </c>
      <c r="AU1" s="7" t="s">
        <v>139</v>
      </c>
      <c r="AV1" s="7" t="s">
        <v>140</v>
      </c>
      <c r="AW1" s="7" t="s">
        <v>141</v>
      </c>
      <c r="AX1" s="7" t="s">
        <v>142</v>
      </c>
      <c r="AY1" s="7" t="s">
        <v>143</v>
      </c>
      <c r="AZ1" s="7" t="s">
        <v>144</v>
      </c>
      <c r="BA1" s="7" t="s">
        <v>145</v>
      </c>
      <c r="BB1" s="7" t="s">
        <v>146</v>
      </c>
      <c r="BC1" s="7" t="s">
        <v>147</v>
      </c>
      <c r="BD1" s="7" t="s">
        <v>148</v>
      </c>
      <c r="BE1" s="7" t="s">
        <v>149</v>
      </c>
      <c r="BF1" s="7" t="s">
        <v>150</v>
      </c>
      <c r="BG1" s="7" t="s">
        <v>151</v>
      </c>
      <c r="BH1" s="7" t="s">
        <v>172</v>
      </c>
      <c r="BI1" s="7" t="s">
        <v>173</v>
      </c>
      <c r="BJ1" s="7" t="s">
        <v>174</v>
      </c>
      <c r="BK1" s="7" t="s">
        <v>175</v>
      </c>
    </row>
    <row r="2" spans="1:63" x14ac:dyDescent="0.3">
      <c r="A2" s="11"/>
      <c r="B2" s="8" t="s">
        <v>31</v>
      </c>
      <c r="C2" s="8" t="s">
        <v>32</v>
      </c>
      <c r="D2" s="8" t="s">
        <v>49</v>
      </c>
      <c r="E2" s="8" t="s">
        <v>23</v>
      </c>
      <c r="F2" s="8" t="s">
        <v>56</v>
      </c>
      <c r="G2" s="8" t="s">
        <v>58</v>
      </c>
      <c r="H2" s="8"/>
      <c r="I2" s="8"/>
      <c r="J2" s="8" t="s">
        <v>59</v>
      </c>
      <c r="K2" s="8" t="s">
        <v>60</v>
      </c>
      <c r="L2" s="8" t="s">
        <v>61</v>
      </c>
      <c r="M2" s="8" t="s">
        <v>94</v>
      </c>
      <c r="N2" s="8" t="s">
        <v>62</v>
      </c>
      <c r="O2" s="8" t="s">
        <v>63</v>
      </c>
      <c r="P2" s="8" t="s">
        <v>76</v>
      </c>
      <c r="Q2" s="8" t="s">
        <v>77</v>
      </c>
      <c r="R2" s="8" t="s">
        <v>78</v>
      </c>
      <c r="S2" s="8" t="s">
        <v>79</v>
      </c>
      <c r="T2" s="8" t="s">
        <v>80</v>
      </c>
      <c r="U2" s="8" t="s">
        <v>81</v>
      </c>
      <c r="V2" s="8" t="s">
        <v>82</v>
      </c>
      <c r="W2" s="8" t="s">
        <v>83</v>
      </c>
      <c r="X2" s="8" t="s">
        <v>84</v>
      </c>
      <c r="Y2" s="8" t="s">
        <v>85</v>
      </c>
      <c r="Z2" s="8" t="s">
        <v>86</v>
      </c>
      <c r="AA2" s="8" t="s">
        <v>87</v>
      </c>
      <c r="AB2" s="8"/>
      <c r="AC2" s="8"/>
      <c r="AD2" s="8"/>
      <c r="AE2" s="8"/>
      <c r="AF2" s="8"/>
      <c r="AG2" s="8"/>
      <c r="AH2" s="8"/>
      <c r="AI2" s="8"/>
      <c r="AJ2" s="8"/>
      <c r="AK2" s="8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</row>
    <row r="3" spans="1:63" x14ac:dyDescent="0.3">
      <c r="A3" s="12"/>
      <c r="B3" s="8" t="s">
        <v>31</v>
      </c>
      <c r="C3" s="8" t="s">
        <v>32</v>
      </c>
      <c r="D3" s="8" t="s">
        <v>49</v>
      </c>
      <c r="E3" s="8" t="s">
        <v>23</v>
      </c>
      <c r="F3" s="8" t="s">
        <v>57</v>
      </c>
      <c r="G3" s="8" t="s">
        <v>88</v>
      </c>
      <c r="H3" s="8" t="s">
        <v>89</v>
      </c>
      <c r="I3" s="8" t="s">
        <v>90</v>
      </c>
      <c r="J3" s="8" t="s">
        <v>91</v>
      </c>
      <c r="K3" s="8" t="s">
        <v>92</v>
      </c>
      <c r="L3" s="8" t="s">
        <v>93</v>
      </c>
      <c r="M3" s="8" t="s">
        <v>95</v>
      </c>
      <c r="N3" s="8" t="s">
        <v>96</v>
      </c>
      <c r="O3" s="8" t="s">
        <v>97</v>
      </c>
      <c r="P3" s="8" t="s">
        <v>98</v>
      </c>
      <c r="Q3" s="8" t="s">
        <v>99</v>
      </c>
      <c r="R3" s="8" t="s">
        <v>100</v>
      </c>
      <c r="S3" s="8" t="s">
        <v>101</v>
      </c>
      <c r="T3" s="8" t="s">
        <v>102</v>
      </c>
      <c r="U3" s="8" t="s">
        <v>103</v>
      </c>
      <c r="V3" s="8" t="s">
        <v>104</v>
      </c>
      <c r="W3" s="8" t="s">
        <v>105</v>
      </c>
      <c r="X3" s="8" t="s">
        <v>117</v>
      </c>
      <c r="Y3" s="8" t="s">
        <v>121</v>
      </c>
      <c r="Z3" s="8" t="s">
        <v>118</v>
      </c>
      <c r="AA3" s="8" t="s">
        <v>122</v>
      </c>
      <c r="AB3" s="8" t="s">
        <v>119</v>
      </c>
      <c r="AC3" s="8" t="s">
        <v>123</v>
      </c>
      <c r="AD3" s="8" t="s">
        <v>120</v>
      </c>
      <c r="AE3" s="8" t="s">
        <v>124</v>
      </c>
      <c r="AF3" s="8" t="s">
        <v>125</v>
      </c>
      <c r="AG3" s="8" t="s">
        <v>126</v>
      </c>
      <c r="AH3" s="8" t="s">
        <v>127</v>
      </c>
      <c r="AI3" s="8" t="s">
        <v>129</v>
      </c>
      <c r="AJ3" s="8" t="s">
        <v>128</v>
      </c>
      <c r="AK3" s="8" t="s">
        <v>130</v>
      </c>
      <c r="AL3" s="8" t="s">
        <v>152</v>
      </c>
      <c r="AM3" s="8" t="s">
        <v>153</v>
      </c>
      <c r="AN3" s="8" t="s">
        <v>154</v>
      </c>
      <c r="AO3" s="8" t="s">
        <v>157</v>
      </c>
      <c r="AP3" s="8" t="s">
        <v>155</v>
      </c>
      <c r="AQ3" s="8" t="s">
        <v>158</v>
      </c>
      <c r="AR3" s="8" t="s">
        <v>156</v>
      </c>
      <c r="AS3" s="8" t="s">
        <v>159</v>
      </c>
      <c r="AT3" s="6" t="s">
        <v>160</v>
      </c>
      <c r="AU3" s="8" t="s">
        <v>163</v>
      </c>
      <c r="AV3" s="6" t="s">
        <v>161</v>
      </c>
      <c r="AW3" s="8" t="s">
        <v>164</v>
      </c>
      <c r="AX3" s="6" t="s">
        <v>162</v>
      </c>
      <c r="AY3" s="6" t="s">
        <v>165</v>
      </c>
      <c r="AZ3" s="6" t="s">
        <v>166</v>
      </c>
      <c r="BA3" s="6" t="s">
        <v>169</v>
      </c>
      <c r="BB3" s="6" t="s">
        <v>167</v>
      </c>
      <c r="BC3" s="6" t="s">
        <v>171</v>
      </c>
      <c r="BD3" s="6" t="s">
        <v>168</v>
      </c>
      <c r="BE3" s="6" t="s">
        <v>170</v>
      </c>
      <c r="BF3" s="6" t="s">
        <v>176</v>
      </c>
      <c r="BG3" s="6" t="s">
        <v>180</v>
      </c>
      <c r="BH3" s="6" t="s">
        <v>177</v>
      </c>
      <c r="BI3" s="6"/>
      <c r="BJ3" s="6" t="s">
        <v>178</v>
      </c>
      <c r="BK3" s="6" t="s">
        <v>179</v>
      </c>
    </row>
    <row r="4" spans="1:63" x14ac:dyDescent="0.3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71" spans="1:1" x14ac:dyDescent="0.3">
      <c r="A71" s="1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C21F-24D7-4C3A-A8CD-5A629D1AA37B}">
  <sheetPr>
    <tabColor rgb="FF00B050"/>
  </sheetPr>
  <dimension ref="A1:F71"/>
  <sheetViews>
    <sheetView workbookViewId="0">
      <selection activeCell="B2" sqref="B2"/>
    </sheetView>
  </sheetViews>
  <sheetFormatPr defaultRowHeight="16.5" x14ac:dyDescent="0.3"/>
  <cols>
    <col min="1" max="1" width="1.25" customWidth="1"/>
    <col min="2" max="2" width="5.75" bestFit="1" customWidth="1"/>
    <col min="3" max="3" width="9.375" bestFit="1" customWidth="1"/>
    <col min="4" max="4" width="17.625" bestFit="1" customWidth="1"/>
    <col min="5" max="5" width="12.25" bestFit="1" customWidth="1"/>
  </cols>
  <sheetData>
    <row r="1" spans="1:6" x14ac:dyDescent="0.3">
      <c r="A1" s="6"/>
      <c r="B1" s="7" t="s">
        <v>0</v>
      </c>
      <c r="C1" s="7" t="s">
        <v>1</v>
      </c>
      <c r="D1" s="5" t="s">
        <v>2</v>
      </c>
      <c r="E1" s="5" t="s">
        <v>3</v>
      </c>
      <c r="F1" s="7" t="s">
        <v>30</v>
      </c>
    </row>
    <row r="2" spans="1:6" x14ac:dyDescent="0.3">
      <c r="A2" s="11"/>
      <c r="B2" s="8" t="s">
        <v>31</v>
      </c>
      <c r="C2" s="8" t="s">
        <v>294</v>
      </c>
      <c r="D2" s="8" t="s">
        <v>49</v>
      </c>
      <c r="E2" s="8" t="s">
        <v>23</v>
      </c>
      <c r="F2" s="8"/>
    </row>
    <row r="3" spans="1:6" x14ac:dyDescent="0.3">
      <c r="A3" s="12"/>
      <c r="B3" s="8" t="s">
        <v>31</v>
      </c>
      <c r="C3" s="8" t="s">
        <v>295</v>
      </c>
      <c r="D3" s="8" t="s">
        <v>50</v>
      </c>
      <c r="E3" s="8" t="s">
        <v>23</v>
      </c>
      <c r="F3" s="8"/>
    </row>
    <row r="4" spans="1:6" x14ac:dyDescent="0.3">
      <c r="A4" s="11"/>
      <c r="B4" s="8" t="s">
        <v>31</v>
      </c>
      <c r="C4" s="8" t="s">
        <v>292</v>
      </c>
      <c r="D4" s="8" t="s">
        <v>51</v>
      </c>
      <c r="E4" s="8" t="s">
        <v>23</v>
      </c>
      <c r="F4" s="8"/>
    </row>
    <row r="5" spans="1:6" x14ac:dyDescent="0.3">
      <c r="A5" s="12"/>
      <c r="B5" s="8" t="s">
        <v>31</v>
      </c>
      <c r="C5" s="8" t="s">
        <v>293</v>
      </c>
      <c r="D5" s="8" t="s">
        <v>52</v>
      </c>
      <c r="E5" s="8" t="s">
        <v>23</v>
      </c>
      <c r="F5" s="8"/>
    </row>
    <row r="6" spans="1:6" x14ac:dyDescent="0.3">
      <c r="A6" s="11"/>
      <c r="B6" s="8" t="s">
        <v>31</v>
      </c>
      <c r="C6" s="8" t="s">
        <v>296</v>
      </c>
      <c r="D6" s="8" t="s">
        <v>53</v>
      </c>
      <c r="E6" s="8" t="s">
        <v>23</v>
      </c>
      <c r="F6" s="8"/>
    </row>
    <row r="7" spans="1:6" x14ac:dyDescent="0.3">
      <c r="A7" s="12"/>
      <c r="B7" s="8" t="s">
        <v>31</v>
      </c>
      <c r="C7" s="8" t="s">
        <v>297</v>
      </c>
      <c r="D7" s="8" t="s">
        <v>54</v>
      </c>
      <c r="E7" s="8" t="s">
        <v>23</v>
      </c>
      <c r="F7" s="8"/>
    </row>
    <row r="8" spans="1:6" x14ac:dyDescent="0.3">
      <c r="A8" s="11"/>
      <c r="B8" s="8" t="s">
        <v>31</v>
      </c>
      <c r="C8" s="8" t="s">
        <v>298</v>
      </c>
      <c r="D8" s="8" t="s">
        <v>55</v>
      </c>
      <c r="E8" s="8" t="s">
        <v>23</v>
      </c>
      <c r="F8" s="8"/>
    </row>
    <row r="9" spans="1:6" x14ac:dyDescent="0.3">
      <c r="A9" s="11"/>
      <c r="B9" s="8" t="s">
        <v>31</v>
      </c>
      <c r="C9" s="8" t="s">
        <v>299</v>
      </c>
      <c r="D9" s="8" t="s">
        <v>183</v>
      </c>
      <c r="E9" s="8" t="s">
        <v>23</v>
      </c>
      <c r="F9" s="6"/>
    </row>
    <row r="10" spans="1:6" x14ac:dyDescent="0.3">
      <c r="A10" s="12"/>
      <c r="B10" s="8" t="s">
        <v>31</v>
      </c>
      <c r="C10" s="8" t="s">
        <v>300</v>
      </c>
      <c r="D10" s="8" t="s">
        <v>301</v>
      </c>
      <c r="E10" s="8" t="s">
        <v>23</v>
      </c>
      <c r="F10" s="6"/>
    </row>
    <row r="71" spans="1:1" x14ac:dyDescent="0.3">
      <c r="A71" s="1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F57"/>
  <sheetViews>
    <sheetView topLeftCell="A30" zoomScaleNormal="100" zoomScaleSheetLayoutView="100" workbookViewId="0">
      <selection activeCell="F56" sqref="C56:F57"/>
    </sheetView>
  </sheetViews>
  <sheetFormatPr defaultRowHeight="16.5" x14ac:dyDescent="0.3"/>
  <cols>
    <col min="1" max="1" width="4" style="18" customWidth="1"/>
    <col min="2" max="2" width="7.25" customWidth="1"/>
    <col min="3" max="3" width="11" customWidth="1"/>
    <col min="4" max="4" width="16.125" bestFit="1" customWidth="1"/>
    <col min="5" max="5" width="12.25" bestFit="1" customWidth="1"/>
    <col min="6" max="6" width="17.875" style="1" bestFit="1" customWidth="1"/>
    <col min="7" max="7" width="11.75" bestFit="1" customWidth="1"/>
    <col min="8" max="8" width="16.25" bestFit="1" customWidth="1"/>
    <col min="9" max="9" width="6.75" bestFit="1" customWidth="1"/>
    <col min="10" max="10" width="7.25" bestFit="1" customWidth="1"/>
    <col min="11" max="11" width="16.875" bestFit="1" customWidth="1"/>
    <col min="12" max="12" width="15.875" customWidth="1"/>
    <col min="13" max="13" width="16.25" style="2" bestFit="1" customWidth="1"/>
    <col min="14" max="14" width="155.75" bestFit="1" customWidth="1"/>
    <col min="15" max="15" width="19.5" bestFit="1" customWidth="1"/>
    <col min="16" max="16" width="11.875" bestFit="1" customWidth="1"/>
    <col min="17" max="17" width="19.25" bestFit="1" customWidth="1"/>
    <col min="18" max="19" width="15.625" bestFit="1" customWidth="1"/>
    <col min="20" max="21" width="21" bestFit="1" customWidth="1"/>
    <col min="22" max="22" width="28.125" bestFit="1" customWidth="1"/>
    <col min="23" max="23" width="9" bestFit="1" customWidth="1"/>
    <col min="24" max="24" width="12.25" bestFit="1" customWidth="1"/>
    <col min="25" max="25" width="16.875" bestFit="1" customWidth="1"/>
    <col min="26" max="26" width="18.75" bestFit="1" customWidth="1"/>
    <col min="27" max="27" width="27.75" bestFit="1" customWidth="1"/>
    <col min="28" max="29" width="13.75" customWidth="1"/>
    <col min="30" max="30" width="13.5" bestFit="1" customWidth="1"/>
    <col min="31" max="31" width="15" customWidth="1"/>
    <col min="32" max="32" width="17" customWidth="1"/>
    <col min="33" max="33" width="58.5" bestFit="1" customWidth="1"/>
  </cols>
  <sheetData>
    <row r="1" spans="1:32" x14ac:dyDescent="0.3">
      <c r="A1" s="25"/>
      <c r="B1" s="1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1" t="s">
        <v>7</v>
      </c>
      <c r="J1" s="1" t="s">
        <v>8</v>
      </c>
      <c r="K1" s="3" t="s">
        <v>9</v>
      </c>
      <c r="L1" s="4" t="s">
        <v>10</v>
      </c>
      <c r="M1" s="3" t="s">
        <v>40</v>
      </c>
      <c r="N1" s="3" t="s">
        <v>25</v>
      </c>
      <c r="O1" s="3" t="s">
        <v>11</v>
      </c>
      <c r="P1" s="3" t="s">
        <v>12</v>
      </c>
      <c r="Q1" s="3" t="s">
        <v>13</v>
      </c>
      <c r="R1" s="1" t="s">
        <v>14</v>
      </c>
      <c r="S1" s="1" t="s">
        <v>15</v>
      </c>
      <c r="T1" s="1" t="s">
        <v>16</v>
      </c>
      <c r="U1" s="3" t="s">
        <v>17</v>
      </c>
      <c r="V1" s="3" t="s">
        <v>316</v>
      </c>
      <c r="W1" s="3" t="s">
        <v>18</v>
      </c>
      <c r="X1" s="3" t="s">
        <v>39</v>
      </c>
      <c r="Y1" s="3" t="s">
        <v>19</v>
      </c>
      <c r="Z1" s="3" t="s">
        <v>20</v>
      </c>
      <c r="AA1" s="3" t="s">
        <v>317</v>
      </c>
      <c r="AB1" s="3" t="s">
        <v>315</v>
      </c>
      <c r="AC1" s="3" t="s">
        <v>48</v>
      </c>
      <c r="AD1" s="3" t="s">
        <v>24</v>
      </c>
      <c r="AE1" s="1" t="s">
        <v>21</v>
      </c>
      <c r="AF1" s="1" t="s">
        <v>22</v>
      </c>
    </row>
    <row r="2" spans="1:32" x14ac:dyDescent="0.3">
      <c r="A2" s="26"/>
      <c r="B2" s="1" t="s">
        <v>31</v>
      </c>
      <c r="C2" s="1" t="str" cm="1">
        <f t="array" ref="C2">UPPER(INDEX(_xlfn.TEXTSPLIT($D2, "-"), 3))</f>
        <v>DIS</v>
      </c>
      <c r="D2" s="1" t="s">
        <v>52</v>
      </c>
      <c r="E2" s="1" t="s">
        <v>23</v>
      </c>
      <c r="F2" s="1" t="s">
        <v>186</v>
      </c>
      <c r="G2" s="1" t="s">
        <v>189</v>
      </c>
      <c r="H2" s="10" t="s">
        <v>184</v>
      </c>
      <c r="I2" s="1">
        <v>2</v>
      </c>
      <c r="J2" s="1">
        <v>8</v>
      </c>
      <c r="K2" s="1" t="s">
        <v>302</v>
      </c>
      <c r="L2" s="1" t="s">
        <v>182</v>
      </c>
      <c r="M2" s="1" t="s">
        <v>190</v>
      </c>
      <c r="N2" s="1" t="s">
        <v>378</v>
      </c>
      <c r="O2" s="1" t="str">
        <f t="shared" ref="O2:O30" si="0">SUBSTITUTE(F2,"hazr-","")&amp;"-osdisk"</f>
        <v>d-dis-ap01-osdisk</v>
      </c>
      <c r="P2" s="1">
        <v>64</v>
      </c>
      <c r="Q2" s="1" t="s">
        <v>290</v>
      </c>
      <c r="R2" s="1"/>
      <c r="S2" s="1"/>
      <c r="T2" s="1"/>
      <c r="U2" s="1" t="str">
        <f>SUBSTITUTE(F2,"hazr-","")&amp;"-nic"</f>
        <v>d-dis-ap01-nic</v>
      </c>
      <c r="V2" s="1" t="b">
        <v>1</v>
      </c>
      <c r="W2" s="1" t="b">
        <v>1</v>
      </c>
      <c r="X2" s="1" t="s">
        <v>49</v>
      </c>
      <c r="Y2" s="1" t="s">
        <v>187</v>
      </c>
      <c r="Z2" s="1" t="s">
        <v>188</v>
      </c>
      <c r="AA2" s="1" t="b">
        <v>1</v>
      </c>
      <c r="AB2" s="1" t="s">
        <v>49</v>
      </c>
      <c r="AC2" s="1" t="s">
        <v>311</v>
      </c>
      <c r="AD2" s="1">
        <v>1</v>
      </c>
      <c r="AE2" s="1"/>
      <c r="AF2" s="1"/>
    </row>
    <row r="3" spans="1:32" x14ac:dyDescent="0.3">
      <c r="A3" s="26"/>
      <c r="B3" s="1" t="s">
        <v>31</v>
      </c>
      <c r="C3" s="1" t="str" cm="1">
        <f t="array" ref="C3">UPPER(INDEX(_xlfn.TEXTSPLIT($D3, "-"), 3))</f>
        <v>DIS</v>
      </c>
      <c r="D3" s="1" t="s">
        <v>185</v>
      </c>
      <c r="E3" s="1" t="s">
        <v>23</v>
      </c>
      <c r="F3" s="1" t="s">
        <v>321</v>
      </c>
      <c r="G3" s="1" t="s">
        <v>192</v>
      </c>
      <c r="H3" s="1" t="s">
        <v>184</v>
      </c>
      <c r="I3" s="1">
        <v>2</v>
      </c>
      <c r="J3" s="1">
        <v>8</v>
      </c>
      <c r="K3" s="1" t="s">
        <v>302</v>
      </c>
      <c r="L3" s="9" t="s">
        <v>182</v>
      </c>
      <c r="M3" s="1" t="s">
        <v>190</v>
      </c>
      <c r="N3" s="1" t="s">
        <v>380</v>
      </c>
      <c r="O3" s="1" t="str">
        <f t="shared" si="0"/>
        <v>d-dis-adm01-osdisk</v>
      </c>
      <c r="P3" s="1">
        <v>64</v>
      </c>
      <c r="Q3" s="1" t="s">
        <v>290</v>
      </c>
      <c r="R3" s="1"/>
      <c r="S3" s="1"/>
      <c r="T3" s="1"/>
      <c r="U3" s="1" t="str">
        <f t="shared" ref="U3:U31" si="1">SUBSTITUTE(F3,"hazr-","")&amp;"-nic"</f>
        <v>d-dis-adm01-nic</v>
      </c>
      <c r="V3" s="1" t="b">
        <v>1</v>
      </c>
      <c r="W3" s="1" t="b">
        <v>1</v>
      </c>
      <c r="X3" s="1" t="s">
        <v>49</v>
      </c>
      <c r="Y3" s="1" t="s">
        <v>187</v>
      </c>
      <c r="Z3" s="1" t="s">
        <v>188</v>
      </c>
      <c r="AA3" s="1" t="b">
        <v>1</v>
      </c>
      <c r="AB3" s="1" t="s">
        <v>49</v>
      </c>
      <c r="AC3" s="1" t="s">
        <v>311</v>
      </c>
      <c r="AD3" s="1">
        <v>1</v>
      </c>
      <c r="AE3" s="1"/>
      <c r="AF3" s="1"/>
    </row>
    <row r="4" spans="1:32" x14ac:dyDescent="0.3">
      <c r="A4" s="26"/>
      <c r="B4" s="1" t="s">
        <v>31</v>
      </c>
      <c r="C4" s="1" t="str" cm="1">
        <f t="array" ref="C4">UPPER(INDEX(_xlfn.TEXTSPLIT($D4, "-"), 3))</f>
        <v>DIS</v>
      </c>
      <c r="D4" s="1" t="s">
        <v>185</v>
      </c>
      <c r="E4" s="1" t="s">
        <v>23</v>
      </c>
      <c r="F4" s="1" t="s">
        <v>322</v>
      </c>
      <c r="G4" s="1" t="s">
        <v>194</v>
      </c>
      <c r="H4" s="10" t="s">
        <v>195</v>
      </c>
      <c r="I4" s="1">
        <v>2</v>
      </c>
      <c r="J4" s="1">
        <v>8</v>
      </c>
      <c r="K4" s="1" t="s">
        <v>302</v>
      </c>
      <c r="L4" s="1" t="s">
        <v>181</v>
      </c>
      <c r="M4" s="1" t="s">
        <v>190</v>
      </c>
      <c r="N4" s="1" t="s">
        <v>380</v>
      </c>
      <c r="O4" s="1" t="str">
        <f t="shared" si="0"/>
        <v>d-dis-bbiweb01-osdisk</v>
      </c>
      <c r="P4" s="1">
        <v>64</v>
      </c>
      <c r="Q4" s="1" t="s">
        <v>290</v>
      </c>
      <c r="R4" s="1"/>
      <c r="S4" s="1"/>
      <c r="T4" s="1"/>
      <c r="U4" s="1" t="str">
        <f t="shared" si="1"/>
        <v>d-dis-bbiweb01-nic</v>
      </c>
      <c r="V4" s="1" t="b">
        <v>1</v>
      </c>
      <c r="W4" s="1" t="b">
        <v>1</v>
      </c>
      <c r="X4" s="1" t="s">
        <v>49</v>
      </c>
      <c r="Y4" s="1" t="s">
        <v>196</v>
      </c>
      <c r="Z4" s="1" t="s">
        <v>197</v>
      </c>
      <c r="AA4" s="1" t="b">
        <v>1</v>
      </c>
      <c r="AB4" s="1" t="s">
        <v>49</v>
      </c>
      <c r="AC4" s="1" t="s">
        <v>311</v>
      </c>
      <c r="AD4" s="1">
        <v>1</v>
      </c>
      <c r="AE4" s="1"/>
      <c r="AF4" s="1"/>
    </row>
    <row r="5" spans="1:32" x14ac:dyDescent="0.3">
      <c r="A5" s="26"/>
      <c r="B5" s="1" t="s">
        <v>31</v>
      </c>
      <c r="C5" s="1" t="str" cm="1">
        <f t="array" ref="C5">UPPER(INDEX(_xlfn.TEXTSPLIT($D5, "-"), 3))</f>
        <v>DIS</v>
      </c>
      <c r="D5" s="1" t="s">
        <v>185</v>
      </c>
      <c r="E5" s="1" t="s">
        <v>23</v>
      </c>
      <c r="F5" s="1" t="s">
        <v>198</v>
      </c>
      <c r="G5" s="1" t="s">
        <v>199</v>
      </c>
      <c r="H5" s="1" t="s">
        <v>195</v>
      </c>
      <c r="I5" s="1">
        <v>2</v>
      </c>
      <c r="J5" s="1">
        <v>8</v>
      </c>
      <c r="K5" s="1" t="s">
        <v>302</v>
      </c>
      <c r="L5" s="9" t="s">
        <v>181</v>
      </c>
      <c r="M5" s="1" t="s">
        <v>190</v>
      </c>
      <c r="N5" s="1" t="s">
        <v>378</v>
      </c>
      <c r="O5" s="1" t="str">
        <f t="shared" si="0"/>
        <v>d-dis-bbicltap01-osdisk</v>
      </c>
      <c r="P5" s="1">
        <v>64</v>
      </c>
      <c r="Q5" s="1" t="s">
        <v>290</v>
      </c>
      <c r="R5" s="1"/>
      <c r="S5" s="1"/>
      <c r="T5" s="1"/>
      <c r="U5" s="1" t="str">
        <f t="shared" si="1"/>
        <v>d-dis-bbicltap01-nic</v>
      </c>
      <c r="V5" s="1" t="b">
        <v>1</v>
      </c>
      <c r="W5" s="1" t="b">
        <v>1</v>
      </c>
      <c r="X5" s="1" t="s">
        <v>49</v>
      </c>
      <c r="Y5" s="1" t="s">
        <v>187</v>
      </c>
      <c r="Z5" s="1" t="s">
        <v>188</v>
      </c>
      <c r="AA5" s="1" t="b">
        <v>1</v>
      </c>
      <c r="AB5" s="1" t="s">
        <v>49</v>
      </c>
      <c r="AC5" s="1" t="s">
        <v>311</v>
      </c>
      <c r="AD5" s="1">
        <v>1</v>
      </c>
      <c r="AE5" s="1"/>
      <c r="AF5" s="1"/>
    </row>
    <row r="6" spans="1:32" x14ac:dyDescent="0.3">
      <c r="A6" s="27"/>
      <c r="B6" s="1" t="s">
        <v>31</v>
      </c>
      <c r="C6" s="1" t="str" cm="1">
        <f t="array" ref="C6">UPPER(INDEX(_xlfn.TEXTSPLIT($D6, "-"), 3))</f>
        <v>DIS</v>
      </c>
      <c r="D6" s="1" t="s">
        <v>185</v>
      </c>
      <c r="E6" s="1" t="s">
        <v>23</v>
      </c>
      <c r="F6" s="1" t="s">
        <v>200</v>
      </c>
      <c r="G6" s="1" t="s">
        <v>201</v>
      </c>
      <c r="H6" s="10" t="s">
        <v>195</v>
      </c>
      <c r="I6" s="1">
        <v>2</v>
      </c>
      <c r="J6" s="1">
        <v>8</v>
      </c>
      <c r="K6" s="1" t="s">
        <v>302</v>
      </c>
      <c r="L6" s="1" t="s">
        <v>181</v>
      </c>
      <c r="M6" s="1" t="s">
        <v>190</v>
      </c>
      <c r="N6" s="1" t="s">
        <v>378</v>
      </c>
      <c r="O6" s="1" t="str">
        <f t="shared" si="0"/>
        <v>d-dis-bbimsgap01-osdisk</v>
      </c>
      <c r="P6" s="1">
        <v>64</v>
      </c>
      <c r="Q6" s="1" t="s">
        <v>290</v>
      </c>
      <c r="R6" s="1"/>
      <c r="S6" s="1"/>
      <c r="T6" s="1"/>
      <c r="U6" s="1" t="str">
        <f t="shared" si="1"/>
        <v>d-dis-bbimsgap01-nic</v>
      </c>
      <c r="V6" s="1" t="b">
        <v>1</v>
      </c>
      <c r="W6" s="1" t="b">
        <v>1</v>
      </c>
      <c r="X6" s="1" t="s">
        <v>49</v>
      </c>
      <c r="Y6" s="1" t="s">
        <v>187</v>
      </c>
      <c r="Z6" s="1" t="s">
        <v>188</v>
      </c>
      <c r="AA6" s="1" t="b">
        <v>1</v>
      </c>
      <c r="AB6" s="1" t="s">
        <v>49</v>
      </c>
      <c r="AC6" s="1" t="s">
        <v>311</v>
      </c>
      <c r="AD6" s="1">
        <v>1</v>
      </c>
      <c r="AE6" s="1"/>
      <c r="AF6" s="1"/>
    </row>
    <row r="7" spans="1:32" x14ac:dyDescent="0.3">
      <c r="A7" s="27"/>
      <c r="B7" s="1" t="s">
        <v>31</v>
      </c>
      <c r="C7" s="1" t="str" cm="1">
        <f t="array" ref="C7">UPPER(INDEX(_xlfn.TEXTSPLIT($D7, "-"), 3))</f>
        <v>DIS</v>
      </c>
      <c r="D7" s="1" t="s">
        <v>185</v>
      </c>
      <c r="E7" s="1" t="s">
        <v>23</v>
      </c>
      <c r="F7" s="1" t="s">
        <v>202</v>
      </c>
      <c r="G7" s="1" t="s">
        <v>203</v>
      </c>
      <c r="H7" s="10" t="s">
        <v>195</v>
      </c>
      <c r="I7" s="1">
        <v>2</v>
      </c>
      <c r="J7" s="1">
        <v>8</v>
      </c>
      <c r="K7" s="1" t="s">
        <v>302</v>
      </c>
      <c r="L7" s="1" t="s">
        <v>181</v>
      </c>
      <c r="M7" s="1" t="s">
        <v>190</v>
      </c>
      <c r="N7" s="1" t="s">
        <v>378</v>
      </c>
      <c r="O7" s="1" t="str">
        <f t="shared" si="0"/>
        <v>d-dis-bat01-osdisk</v>
      </c>
      <c r="P7" s="1">
        <v>64</v>
      </c>
      <c r="Q7" s="1" t="s">
        <v>290</v>
      </c>
      <c r="R7" s="1"/>
      <c r="S7" s="1"/>
      <c r="T7" s="1"/>
      <c r="U7" s="1" t="str">
        <f t="shared" si="1"/>
        <v>d-dis-bat01-nic</v>
      </c>
      <c r="V7" s="1" t="b">
        <v>1</v>
      </c>
      <c r="W7" s="1" t="b">
        <v>1</v>
      </c>
      <c r="X7" s="1" t="s">
        <v>49</v>
      </c>
      <c r="Y7" s="1" t="s">
        <v>187</v>
      </c>
      <c r="Z7" s="1" t="s">
        <v>188</v>
      </c>
      <c r="AA7" s="1" t="b">
        <v>1</v>
      </c>
      <c r="AB7" s="1" t="s">
        <v>49</v>
      </c>
      <c r="AC7" s="1" t="s">
        <v>311</v>
      </c>
      <c r="AD7" s="1">
        <v>1</v>
      </c>
      <c r="AE7" s="1"/>
      <c r="AF7" s="1"/>
    </row>
    <row r="8" spans="1:32" x14ac:dyDescent="0.3">
      <c r="A8" s="26"/>
      <c r="B8" s="1" t="s">
        <v>31</v>
      </c>
      <c r="C8" s="1" t="str" cm="1">
        <f t="array" ref="C8">UPPER(INDEX(_xlfn.TEXTSPLIT($D8, "-"), 3))</f>
        <v>DIS</v>
      </c>
      <c r="D8" s="1" t="s">
        <v>185</v>
      </c>
      <c r="E8" s="1" t="s">
        <v>323</v>
      </c>
      <c r="F8" s="1" t="s">
        <v>325</v>
      </c>
      <c r="G8" s="1" t="s">
        <v>205</v>
      </c>
      <c r="H8" s="10" t="s">
        <v>195</v>
      </c>
      <c r="I8" s="1">
        <v>2</v>
      </c>
      <c r="J8" s="1">
        <v>8</v>
      </c>
      <c r="K8" s="1" t="s">
        <v>302</v>
      </c>
      <c r="L8" s="1" t="s">
        <v>181</v>
      </c>
      <c r="M8" s="1" t="s">
        <v>190</v>
      </c>
      <c r="N8" s="1" t="s">
        <v>378</v>
      </c>
      <c r="O8" s="1" t="str">
        <f t="shared" si="0"/>
        <v>d-dis-drvcltap01-osdisk</v>
      </c>
      <c r="P8" s="1">
        <v>64</v>
      </c>
      <c r="Q8" s="1" t="s">
        <v>290</v>
      </c>
      <c r="R8" s="1"/>
      <c r="S8" s="1"/>
      <c r="T8" s="1"/>
      <c r="U8" s="1" t="str">
        <f t="shared" si="1"/>
        <v>d-dis-drvcltap01-nic</v>
      </c>
      <c r="V8" s="1" t="b">
        <v>1</v>
      </c>
      <c r="W8" s="1" t="b">
        <v>1</v>
      </c>
      <c r="X8" s="1" t="s">
        <v>49</v>
      </c>
      <c r="Y8" s="1" t="s">
        <v>187</v>
      </c>
      <c r="Z8" s="1" t="s">
        <v>188</v>
      </c>
      <c r="AA8" s="1" t="b">
        <v>1</v>
      </c>
      <c r="AB8" s="1" t="s">
        <v>49</v>
      </c>
      <c r="AC8" s="1" t="s">
        <v>311</v>
      </c>
      <c r="AD8" s="1">
        <v>1</v>
      </c>
      <c r="AE8" s="1"/>
      <c r="AF8" s="1"/>
    </row>
    <row r="9" spans="1:32" x14ac:dyDescent="0.3">
      <c r="A9" s="26"/>
      <c r="B9" s="1" t="s">
        <v>31</v>
      </c>
      <c r="C9" s="1" t="str" cm="1">
        <f t="array" ref="C9">UPPER(INDEX(_xlfn.TEXTSPLIT($D9, "-"), 3))</f>
        <v>DIS</v>
      </c>
      <c r="D9" s="1" t="s">
        <v>185</v>
      </c>
      <c r="E9" s="1" t="s">
        <v>23</v>
      </c>
      <c r="F9" s="1" t="s">
        <v>206</v>
      </c>
      <c r="G9" s="1" t="s">
        <v>207</v>
      </c>
      <c r="H9" s="10" t="s">
        <v>195</v>
      </c>
      <c r="I9" s="1">
        <v>2</v>
      </c>
      <c r="J9" s="1">
        <v>8</v>
      </c>
      <c r="K9" s="1" t="s">
        <v>302</v>
      </c>
      <c r="L9" s="1" t="s">
        <v>181</v>
      </c>
      <c r="M9" s="1" t="s">
        <v>190</v>
      </c>
      <c r="N9" s="1" t="s">
        <v>378</v>
      </c>
      <c r="O9" s="1" t="str">
        <f t="shared" si="0"/>
        <v>d-dis-drvmsgap01-osdisk</v>
      </c>
      <c r="P9" s="1">
        <v>64</v>
      </c>
      <c r="Q9" s="1" t="s">
        <v>290</v>
      </c>
      <c r="R9" s="1"/>
      <c r="S9" s="1"/>
      <c r="T9" s="1"/>
      <c r="U9" s="1" t="str">
        <f t="shared" si="1"/>
        <v>d-dis-drvmsgap01-nic</v>
      </c>
      <c r="V9" s="1" t="b">
        <v>1</v>
      </c>
      <c r="W9" s="1" t="b">
        <v>1</v>
      </c>
      <c r="X9" s="1" t="s">
        <v>49</v>
      </c>
      <c r="Y9" s="1" t="s">
        <v>187</v>
      </c>
      <c r="Z9" s="1" t="s">
        <v>188</v>
      </c>
      <c r="AA9" s="1" t="b">
        <v>1</v>
      </c>
      <c r="AB9" s="1" t="s">
        <v>49</v>
      </c>
      <c r="AC9" s="1" t="s">
        <v>311</v>
      </c>
      <c r="AD9" s="1">
        <v>1</v>
      </c>
      <c r="AE9" s="1"/>
      <c r="AF9" s="1"/>
    </row>
    <row r="10" spans="1:32" x14ac:dyDescent="0.3">
      <c r="A10" s="26"/>
      <c r="B10" s="1" t="s">
        <v>31</v>
      </c>
      <c r="C10" s="1" t="str" cm="1">
        <f t="array" ref="C10">UPPER(INDEX(_xlfn.TEXTSPLIT($D10, "-"), 3))</f>
        <v>DIS</v>
      </c>
      <c r="D10" s="1" t="s">
        <v>185</v>
      </c>
      <c r="E10" s="1" t="s">
        <v>23</v>
      </c>
      <c r="F10" s="1" t="s">
        <v>326</v>
      </c>
      <c r="G10" s="1" t="s">
        <v>209</v>
      </c>
      <c r="H10" s="1" t="s">
        <v>195</v>
      </c>
      <c r="I10" s="1">
        <v>2</v>
      </c>
      <c r="J10" s="1">
        <v>8</v>
      </c>
      <c r="K10" s="1" t="s">
        <v>302</v>
      </c>
      <c r="L10" s="9" t="s">
        <v>181</v>
      </c>
      <c r="M10" s="1" t="s">
        <v>190</v>
      </c>
      <c r="N10" s="1" t="s">
        <v>380</v>
      </c>
      <c r="O10" s="1" t="str">
        <f t="shared" si="0"/>
        <v>d-dis-web01-osdisk</v>
      </c>
      <c r="P10" s="1">
        <v>64</v>
      </c>
      <c r="Q10" s="1" t="s">
        <v>290</v>
      </c>
      <c r="R10" s="1"/>
      <c r="S10" s="1"/>
      <c r="T10" s="1"/>
      <c r="U10" s="1" t="str">
        <f t="shared" si="1"/>
        <v>d-dis-web01-nic</v>
      </c>
      <c r="V10" s="1" t="b">
        <v>1</v>
      </c>
      <c r="W10" s="1" t="b">
        <v>1</v>
      </c>
      <c r="X10" s="1" t="s">
        <v>49</v>
      </c>
      <c r="Y10" s="1" t="s">
        <v>196</v>
      </c>
      <c r="Z10" s="1" t="s">
        <v>197</v>
      </c>
      <c r="AA10" s="1" t="b">
        <v>1</v>
      </c>
      <c r="AB10" s="1" t="s">
        <v>49</v>
      </c>
      <c r="AC10" s="1" t="s">
        <v>311</v>
      </c>
      <c r="AD10" s="1">
        <v>1</v>
      </c>
      <c r="AE10" s="1"/>
      <c r="AF10" s="1"/>
    </row>
    <row r="11" spans="1:32" x14ac:dyDescent="0.3">
      <c r="A11" s="27"/>
      <c r="B11" s="1" t="s">
        <v>31</v>
      </c>
      <c r="C11" s="1" t="str" cm="1">
        <f t="array" ref="C11">UPPER(INDEX(_xlfn.TEXTSPLIT($D11, "-"), 3))</f>
        <v>DIS</v>
      </c>
      <c r="D11" s="1" t="s">
        <v>185</v>
      </c>
      <c r="E11" s="1" t="s">
        <v>23</v>
      </c>
      <c r="F11" s="1" t="s">
        <v>327</v>
      </c>
      <c r="G11" s="1" t="s">
        <v>211</v>
      </c>
      <c r="H11" s="10" t="s">
        <v>195</v>
      </c>
      <c r="I11" s="1">
        <v>2</v>
      </c>
      <c r="J11" s="1">
        <v>8</v>
      </c>
      <c r="K11" s="1" t="s">
        <v>302</v>
      </c>
      <c r="L11" s="1" t="s">
        <v>181</v>
      </c>
      <c r="M11" s="1" t="s">
        <v>190</v>
      </c>
      <c r="N11" s="1" t="s">
        <v>380</v>
      </c>
      <c r="O11" s="1" t="str">
        <f t="shared" si="0"/>
        <v>d-dis-cmsadm01-osdisk</v>
      </c>
      <c r="P11" s="1">
        <v>64</v>
      </c>
      <c r="Q11" s="1" t="s">
        <v>290</v>
      </c>
      <c r="R11" s="1"/>
      <c r="S11" s="1"/>
      <c r="T11" s="1"/>
      <c r="U11" s="1" t="str">
        <f t="shared" si="1"/>
        <v>d-dis-cmsadm01-nic</v>
      </c>
      <c r="V11" s="1" t="b">
        <v>1</v>
      </c>
      <c r="W11" s="1" t="b">
        <v>1</v>
      </c>
      <c r="X11" s="1" t="s">
        <v>49</v>
      </c>
      <c r="Y11" s="1" t="s">
        <v>187</v>
      </c>
      <c r="Z11" s="1" t="s">
        <v>188</v>
      </c>
      <c r="AA11" s="1" t="b">
        <v>1</v>
      </c>
      <c r="AB11" s="1" t="s">
        <v>49</v>
      </c>
      <c r="AC11" s="1" t="s">
        <v>311</v>
      </c>
      <c r="AD11" s="1">
        <v>1</v>
      </c>
      <c r="AE11" s="1"/>
      <c r="AF11" s="1"/>
    </row>
    <row r="12" spans="1:32" x14ac:dyDescent="0.3">
      <c r="A12" s="27"/>
      <c r="B12" s="1" t="s">
        <v>31</v>
      </c>
      <c r="C12" s="1" t="str" cm="1">
        <f t="array" ref="C12">UPPER(INDEX(_xlfn.TEXTSPLIT($D12, "-"), 3))</f>
        <v>DIS</v>
      </c>
      <c r="D12" s="1" t="s">
        <v>185</v>
      </c>
      <c r="E12" s="1" t="s">
        <v>23</v>
      </c>
      <c r="F12" s="1" t="s">
        <v>212</v>
      </c>
      <c r="G12" s="1" t="s">
        <v>213</v>
      </c>
      <c r="H12" s="1" t="s">
        <v>195</v>
      </c>
      <c r="I12" s="1">
        <v>2</v>
      </c>
      <c r="J12" s="1">
        <v>8</v>
      </c>
      <c r="K12" s="1" t="s">
        <v>302</v>
      </c>
      <c r="L12" s="9" t="s">
        <v>181</v>
      </c>
      <c r="M12" s="1" t="s">
        <v>190</v>
      </c>
      <c r="N12" s="1" t="s">
        <v>378</v>
      </c>
      <c r="O12" s="1" t="str">
        <f t="shared" si="0"/>
        <v>d-dis-cmsap01-osdisk</v>
      </c>
      <c r="P12" s="1">
        <v>64</v>
      </c>
      <c r="Q12" s="1" t="s">
        <v>290</v>
      </c>
      <c r="R12" s="1"/>
      <c r="S12" s="1"/>
      <c r="T12" s="1"/>
      <c r="U12" s="1" t="str">
        <f t="shared" si="1"/>
        <v>d-dis-cmsap01-nic</v>
      </c>
      <c r="V12" s="1" t="b">
        <v>1</v>
      </c>
      <c r="W12" s="1" t="b">
        <v>1</v>
      </c>
      <c r="X12" s="1" t="s">
        <v>49</v>
      </c>
      <c r="Y12" s="1" t="s">
        <v>187</v>
      </c>
      <c r="Z12" s="1" t="s">
        <v>188</v>
      </c>
      <c r="AA12" s="1" t="b">
        <v>1</v>
      </c>
      <c r="AB12" s="1" t="s">
        <v>49</v>
      </c>
      <c r="AC12" s="1" t="s">
        <v>311</v>
      </c>
      <c r="AD12" s="1">
        <v>1</v>
      </c>
      <c r="AE12" s="1"/>
      <c r="AF12" s="1"/>
    </row>
    <row r="13" spans="1:32" x14ac:dyDescent="0.3">
      <c r="A13" s="27"/>
      <c r="B13" s="1" t="s">
        <v>31</v>
      </c>
      <c r="C13" s="1" t="str" cm="1">
        <f t="array" ref="C13">UPPER(INDEX(_xlfn.TEXTSPLIT($D13, "-"), 3))</f>
        <v>DIS</v>
      </c>
      <c r="D13" s="1" t="s">
        <v>185</v>
      </c>
      <c r="E13" s="1" t="s">
        <v>23</v>
      </c>
      <c r="F13" s="1" t="s">
        <v>324</v>
      </c>
      <c r="G13" s="1" t="s">
        <v>215</v>
      </c>
      <c r="H13" s="10" t="s">
        <v>195</v>
      </c>
      <c r="I13" s="1">
        <v>2</v>
      </c>
      <c r="J13" s="1">
        <v>8</v>
      </c>
      <c r="K13" s="1" t="s">
        <v>302</v>
      </c>
      <c r="L13" s="1" t="s">
        <v>181</v>
      </c>
      <c r="M13" s="1" t="s">
        <v>190</v>
      </c>
      <c r="N13" s="1" t="s">
        <v>380</v>
      </c>
      <c r="O13" s="1" t="str">
        <f t="shared" si="0"/>
        <v>d-dis-cmsweb01-osdisk</v>
      </c>
      <c r="P13" s="1">
        <v>64</v>
      </c>
      <c r="Q13" s="1" t="s">
        <v>290</v>
      </c>
      <c r="R13" s="1"/>
      <c r="S13" s="1"/>
      <c r="T13" s="1"/>
      <c r="U13" s="1" t="str">
        <f t="shared" si="1"/>
        <v>d-dis-cmsweb01-nic</v>
      </c>
      <c r="V13" s="1" t="b">
        <v>1</v>
      </c>
      <c r="W13" s="1" t="b">
        <v>1</v>
      </c>
      <c r="X13" s="1" t="s">
        <v>49</v>
      </c>
      <c r="Y13" s="1" t="s">
        <v>196</v>
      </c>
      <c r="Z13" s="1" t="s">
        <v>197</v>
      </c>
      <c r="AA13" s="1" t="b">
        <v>1</v>
      </c>
      <c r="AB13" s="1" t="s">
        <v>49</v>
      </c>
      <c r="AC13" s="1" t="s">
        <v>311</v>
      </c>
      <c r="AD13" s="1">
        <v>1</v>
      </c>
      <c r="AE13" s="1"/>
      <c r="AF13" s="1"/>
    </row>
    <row r="14" spans="1:32" x14ac:dyDescent="0.3">
      <c r="A14" s="27"/>
      <c r="B14" s="1" t="s">
        <v>31</v>
      </c>
      <c r="C14" s="1" t="str" cm="1">
        <f t="array" ref="C14">UPPER(INDEX(_xlfn.TEXTSPLIT($D14, "-"), 3))</f>
        <v>DIS</v>
      </c>
      <c r="D14" s="1" t="s">
        <v>185</v>
      </c>
      <c r="E14" s="1" t="s">
        <v>23</v>
      </c>
      <c r="F14" s="1" t="s">
        <v>340</v>
      </c>
      <c r="G14" s="1" t="s">
        <v>217</v>
      </c>
      <c r="H14" s="1" t="s">
        <v>195</v>
      </c>
      <c r="I14" s="1">
        <v>2</v>
      </c>
      <c r="J14" s="1">
        <v>8</v>
      </c>
      <c r="K14" s="1" t="s">
        <v>302</v>
      </c>
      <c r="L14" s="9" t="s">
        <v>181</v>
      </c>
      <c r="M14" s="1" t="s">
        <v>190</v>
      </c>
      <c r="N14" s="1" t="s">
        <v>378</v>
      </c>
      <c r="O14" s="1" t="str">
        <f t="shared" si="0"/>
        <v>d-dis-cmbsap01-osdisk</v>
      </c>
      <c r="P14" s="1">
        <v>64</v>
      </c>
      <c r="Q14" s="1" t="s">
        <v>290</v>
      </c>
      <c r="R14" s="1"/>
      <c r="S14" s="1"/>
      <c r="T14" s="1"/>
      <c r="U14" s="1" t="str">
        <f t="shared" si="1"/>
        <v>d-dis-cmbsap01-nic</v>
      </c>
      <c r="V14" s="1" t="b">
        <v>1</v>
      </c>
      <c r="W14" s="1" t="b">
        <v>1</v>
      </c>
      <c r="X14" s="1" t="s">
        <v>49</v>
      </c>
      <c r="Y14" s="1" t="s">
        <v>187</v>
      </c>
      <c r="Z14" s="1" t="s">
        <v>188</v>
      </c>
      <c r="AA14" s="1" t="b">
        <v>1</v>
      </c>
      <c r="AB14" s="1" t="s">
        <v>49</v>
      </c>
      <c r="AC14" s="1" t="s">
        <v>311</v>
      </c>
      <c r="AD14" s="1">
        <v>1</v>
      </c>
      <c r="AE14" s="1"/>
      <c r="AF14" s="1"/>
    </row>
    <row r="15" spans="1:32" x14ac:dyDescent="0.3">
      <c r="A15" s="27"/>
      <c r="B15" s="1" t="s">
        <v>31</v>
      </c>
      <c r="C15" s="1" t="str" cm="1">
        <f t="array" ref="C15">UPPER(INDEX(_xlfn.TEXTSPLIT($D15, "-"), 3))</f>
        <v>DTG</v>
      </c>
      <c r="D15" s="1" t="s">
        <v>218</v>
      </c>
      <c r="E15" s="1" t="s">
        <v>23</v>
      </c>
      <c r="F15" s="1" t="s">
        <v>219</v>
      </c>
      <c r="G15" s="1" t="s">
        <v>220</v>
      </c>
      <c r="H15" s="1" t="s">
        <v>195</v>
      </c>
      <c r="I15" s="1">
        <v>2</v>
      </c>
      <c r="J15" s="1">
        <v>8</v>
      </c>
      <c r="K15" s="1" t="s">
        <v>302</v>
      </c>
      <c r="L15" s="9" t="s">
        <v>181</v>
      </c>
      <c r="M15" s="1" t="s">
        <v>190</v>
      </c>
      <c r="N15" s="1" t="s">
        <v>378</v>
      </c>
      <c r="O15" s="1" t="str">
        <f t="shared" si="0"/>
        <v>d-dtg-ingap01-osdisk</v>
      </c>
      <c r="P15" s="1">
        <v>64</v>
      </c>
      <c r="Q15" s="1" t="s">
        <v>290</v>
      </c>
      <c r="R15" s="1"/>
      <c r="S15" s="1"/>
      <c r="T15" s="1"/>
      <c r="U15" s="1" t="str">
        <f t="shared" si="1"/>
        <v>d-dtg-ingap01-nic</v>
      </c>
      <c r="V15" s="1" t="b">
        <v>1</v>
      </c>
      <c r="W15" s="1" t="b">
        <v>1</v>
      </c>
      <c r="X15" s="1" t="s">
        <v>49</v>
      </c>
      <c r="Y15" s="1" t="s">
        <v>187</v>
      </c>
      <c r="Z15" s="1" t="s">
        <v>221</v>
      </c>
      <c r="AA15" s="1" t="b">
        <v>1</v>
      </c>
      <c r="AB15" s="1" t="s">
        <v>49</v>
      </c>
      <c r="AC15" s="1" t="s">
        <v>311</v>
      </c>
      <c r="AD15" s="1">
        <v>1</v>
      </c>
      <c r="AE15" s="1"/>
      <c r="AF15" s="1"/>
    </row>
    <row r="16" spans="1:32" x14ac:dyDescent="0.3">
      <c r="A16" s="27"/>
      <c r="B16" s="1" t="s">
        <v>31</v>
      </c>
      <c r="C16" s="1" t="str" cm="1">
        <f t="array" ref="C16">UPPER(INDEX(_xlfn.TEXTSPLIT($D16, "-"), 3))</f>
        <v>DTG</v>
      </c>
      <c r="D16" s="1" t="s">
        <v>218</v>
      </c>
      <c r="E16" s="1" t="s">
        <v>23</v>
      </c>
      <c r="F16" s="1" t="s">
        <v>222</v>
      </c>
      <c r="G16" s="1" t="s">
        <v>223</v>
      </c>
      <c r="H16" s="10" t="s">
        <v>195</v>
      </c>
      <c r="I16" s="1">
        <v>2</v>
      </c>
      <c r="J16" s="1">
        <v>8</v>
      </c>
      <c r="K16" s="1" t="s">
        <v>302</v>
      </c>
      <c r="L16" s="1" t="s">
        <v>181</v>
      </c>
      <c r="M16" s="1" t="s">
        <v>190</v>
      </c>
      <c r="N16" s="1" t="s">
        <v>378</v>
      </c>
      <c r="O16" s="1" t="str">
        <f t="shared" si="0"/>
        <v>d-dtg-ap01-osdisk</v>
      </c>
      <c r="P16" s="1">
        <v>64</v>
      </c>
      <c r="Q16" s="1" t="s">
        <v>290</v>
      </c>
      <c r="R16" s="1"/>
      <c r="S16" s="1"/>
      <c r="T16" s="1"/>
      <c r="U16" s="1" t="str">
        <f t="shared" si="1"/>
        <v>d-dtg-ap01-nic</v>
      </c>
      <c r="V16" s="1" t="b">
        <v>1</v>
      </c>
      <c r="W16" s="1" t="b">
        <v>1</v>
      </c>
      <c r="X16" s="1" t="s">
        <v>49</v>
      </c>
      <c r="Y16" s="1" t="s">
        <v>187</v>
      </c>
      <c r="Z16" s="1" t="s">
        <v>221</v>
      </c>
      <c r="AA16" s="1" t="b">
        <v>1</v>
      </c>
      <c r="AB16" s="1" t="s">
        <v>49</v>
      </c>
      <c r="AC16" s="1" t="s">
        <v>311</v>
      </c>
      <c r="AD16" s="1">
        <v>1</v>
      </c>
      <c r="AE16" s="1"/>
      <c r="AF16" s="1"/>
    </row>
    <row r="17" spans="1:32" x14ac:dyDescent="0.3">
      <c r="A17" s="27"/>
      <c r="B17" s="1" t="s">
        <v>31</v>
      </c>
      <c r="C17" s="1" t="str" cm="1">
        <f t="array" ref="C17">UPPER(INDEX(_xlfn.TEXTSPLIT($D17, "-"), 3))</f>
        <v>DTG</v>
      </c>
      <c r="D17" s="1" t="s">
        <v>218</v>
      </c>
      <c r="E17" s="1" t="s">
        <v>23</v>
      </c>
      <c r="F17" s="1" t="s">
        <v>224</v>
      </c>
      <c r="G17" s="1" t="s">
        <v>225</v>
      </c>
      <c r="H17" s="1" t="s">
        <v>195</v>
      </c>
      <c r="I17" s="1">
        <v>2</v>
      </c>
      <c r="J17" s="1">
        <v>8</v>
      </c>
      <c r="K17" s="1" t="s">
        <v>302</v>
      </c>
      <c r="L17" s="9" t="s">
        <v>181</v>
      </c>
      <c r="M17" s="1" t="s">
        <v>190</v>
      </c>
      <c r="N17" s="1" t="s">
        <v>378</v>
      </c>
      <c r="O17" s="1" t="str">
        <f t="shared" si="0"/>
        <v>d-dtg-extgeoap01-osdisk</v>
      </c>
      <c r="P17" s="1">
        <v>64</v>
      </c>
      <c r="Q17" s="1" t="s">
        <v>290</v>
      </c>
      <c r="R17" s="1"/>
      <c r="S17" s="1"/>
      <c r="T17" s="1"/>
      <c r="U17" s="1" t="str">
        <f t="shared" si="1"/>
        <v>d-dtg-extgeoap01-nic</v>
      </c>
      <c r="V17" s="1" t="b">
        <v>1</v>
      </c>
      <c r="W17" s="1" t="b">
        <v>1</v>
      </c>
      <c r="X17" s="1" t="s">
        <v>49</v>
      </c>
      <c r="Y17" s="1" t="s">
        <v>187</v>
      </c>
      <c r="Z17" s="1" t="s">
        <v>221</v>
      </c>
      <c r="AA17" s="1" t="b">
        <v>1</v>
      </c>
      <c r="AB17" s="1" t="s">
        <v>49</v>
      </c>
      <c r="AC17" s="1" t="s">
        <v>311</v>
      </c>
      <c r="AD17" s="1">
        <v>1</v>
      </c>
      <c r="AE17" s="1"/>
      <c r="AF17" s="1"/>
    </row>
    <row r="18" spans="1:32" x14ac:dyDescent="0.3">
      <c r="A18" s="27"/>
      <c r="B18" s="1" t="s">
        <v>31</v>
      </c>
      <c r="C18" s="1" t="str" cm="1">
        <f t="array" ref="C18">UPPER(INDEX(_xlfn.TEXTSPLIT($D18, "-"), 3))</f>
        <v>DTG</v>
      </c>
      <c r="D18" s="1" t="s">
        <v>218</v>
      </c>
      <c r="E18" s="1" t="s">
        <v>23</v>
      </c>
      <c r="F18" s="1" t="s">
        <v>226</v>
      </c>
      <c r="G18" s="1" t="s">
        <v>227</v>
      </c>
      <c r="H18" s="10" t="s">
        <v>195</v>
      </c>
      <c r="I18" s="1">
        <v>2</v>
      </c>
      <c r="J18" s="1">
        <v>8</v>
      </c>
      <c r="K18" s="1" t="s">
        <v>302</v>
      </c>
      <c r="L18" s="1" t="s">
        <v>181</v>
      </c>
      <c r="M18" s="1" t="s">
        <v>190</v>
      </c>
      <c r="N18" s="1" t="s">
        <v>378</v>
      </c>
      <c r="O18" s="1" t="str">
        <f t="shared" si="0"/>
        <v>d-dtg-geoap01-osdisk</v>
      </c>
      <c r="P18" s="1">
        <v>64</v>
      </c>
      <c r="Q18" s="1" t="s">
        <v>290</v>
      </c>
      <c r="R18" s="1"/>
      <c r="S18" s="1"/>
      <c r="T18" s="1"/>
      <c r="U18" s="1" t="str">
        <f t="shared" si="1"/>
        <v>d-dtg-geoap01-nic</v>
      </c>
      <c r="V18" s="1" t="b">
        <v>1</v>
      </c>
      <c r="W18" s="1" t="b">
        <v>1</v>
      </c>
      <c r="X18" s="1" t="s">
        <v>49</v>
      </c>
      <c r="Y18" s="1" t="s">
        <v>187</v>
      </c>
      <c r="Z18" s="1" t="s">
        <v>221</v>
      </c>
      <c r="AA18" s="1" t="b">
        <v>1</v>
      </c>
      <c r="AB18" s="1" t="s">
        <v>49</v>
      </c>
      <c r="AC18" s="1" t="s">
        <v>311</v>
      </c>
      <c r="AD18" s="1">
        <v>1</v>
      </c>
      <c r="AE18" s="1"/>
      <c r="AF18" s="1"/>
    </row>
    <row r="19" spans="1:32" x14ac:dyDescent="0.3">
      <c r="A19" s="27"/>
      <c r="B19" s="1" t="s">
        <v>31</v>
      </c>
      <c r="C19" s="1" t="str" cm="1">
        <f t="array" ref="C19">UPPER(INDEX(_xlfn.TEXTSPLIT($D19, "-"), 3))</f>
        <v>DTG</v>
      </c>
      <c r="D19" s="1" t="s">
        <v>218</v>
      </c>
      <c r="E19" s="1" t="s">
        <v>23</v>
      </c>
      <c r="F19" s="1" t="s">
        <v>228</v>
      </c>
      <c r="G19" s="1" t="s">
        <v>229</v>
      </c>
      <c r="H19" s="1" t="s">
        <v>195</v>
      </c>
      <c r="I19" s="1">
        <v>2</v>
      </c>
      <c r="J19" s="1">
        <v>8</v>
      </c>
      <c r="K19" s="1" t="s">
        <v>302</v>
      </c>
      <c r="L19" s="9" t="s">
        <v>181</v>
      </c>
      <c r="M19" s="1" t="s">
        <v>190</v>
      </c>
      <c r="N19" s="1" t="s">
        <v>378</v>
      </c>
      <c r="O19" s="1" t="str">
        <f t="shared" si="0"/>
        <v>d-dtg-mq01-osdisk</v>
      </c>
      <c r="P19" s="1">
        <v>64</v>
      </c>
      <c r="Q19" s="1" t="s">
        <v>290</v>
      </c>
      <c r="R19" s="1"/>
      <c r="S19" s="1"/>
      <c r="T19" s="1"/>
      <c r="U19" s="1" t="str">
        <f t="shared" si="1"/>
        <v>d-dtg-mq01-nic</v>
      </c>
      <c r="V19" s="1" t="b">
        <v>1</v>
      </c>
      <c r="W19" s="1" t="b">
        <v>1</v>
      </c>
      <c r="X19" s="1" t="s">
        <v>49</v>
      </c>
      <c r="Y19" s="1" t="s">
        <v>196</v>
      </c>
      <c r="Z19" s="1" t="s">
        <v>230</v>
      </c>
      <c r="AA19" s="1" t="b">
        <v>1</v>
      </c>
      <c r="AB19" s="1" t="s">
        <v>49</v>
      </c>
      <c r="AC19" s="1" t="s">
        <v>311</v>
      </c>
      <c r="AD19" s="1">
        <v>1</v>
      </c>
      <c r="AE19" s="1"/>
      <c r="AF19" s="1"/>
    </row>
    <row r="20" spans="1:32" x14ac:dyDescent="0.3">
      <c r="A20" s="27"/>
      <c r="B20" s="1" t="s">
        <v>31</v>
      </c>
      <c r="C20" s="1" t="str" cm="1">
        <f t="array" ref="C20">UPPER(INDEX(_xlfn.TEXTSPLIT($D20, "-"), 3))</f>
        <v>DTG</v>
      </c>
      <c r="D20" s="1" t="s">
        <v>218</v>
      </c>
      <c r="E20" s="1" t="s">
        <v>23</v>
      </c>
      <c r="F20" s="1" t="s">
        <v>328</v>
      </c>
      <c r="G20" s="1" t="s">
        <v>232</v>
      </c>
      <c r="H20" s="10" t="s">
        <v>195</v>
      </c>
      <c r="I20" s="1">
        <v>2</v>
      </c>
      <c r="J20" s="1">
        <v>8</v>
      </c>
      <c r="K20" s="1" t="s">
        <v>302</v>
      </c>
      <c r="L20" s="1" t="s">
        <v>181</v>
      </c>
      <c r="M20" s="1" t="s">
        <v>190</v>
      </c>
      <c r="N20" s="1" t="s">
        <v>380</v>
      </c>
      <c r="O20" s="1" t="str">
        <f t="shared" si="0"/>
        <v>d-dtg-admweb01-osdisk</v>
      </c>
      <c r="P20" s="1">
        <v>64</v>
      </c>
      <c r="Q20" s="1" t="s">
        <v>290</v>
      </c>
      <c r="R20" s="1"/>
      <c r="S20" s="1"/>
      <c r="T20" s="1"/>
      <c r="U20" s="1" t="str">
        <f t="shared" si="1"/>
        <v>d-dtg-admweb01-nic</v>
      </c>
      <c r="V20" s="1" t="b">
        <v>1</v>
      </c>
      <c r="W20" s="1" t="b">
        <v>1</v>
      </c>
      <c r="X20" s="1" t="s">
        <v>49</v>
      </c>
      <c r="Y20" s="1" t="s">
        <v>187</v>
      </c>
      <c r="Z20" s="1" t="s">
        <v>221</v>
      </c>
      <c r="AA20" s="1" t="b">
        <v>1</v>
      </c>
      <c r="AB20" s="1" t="s">
        <v>49</v>
      </c>
      <c r="AC20" s="1" t="s">
        <v>311</v>
      </c>
      <c r="AD20" s="1">
        <v>1</v>
      </c>
      <c r="AE20" s="1"/>
      <c r="AF20" s="1"/>
    </row>
    <row r="21" spans="1:32" x14ac:dyDescent="0.3">
      <c r="A21" s="27"/>
      <c r="B21" s="1" t="s">
        <v>31</v>
      </c>
      <c r="C21" s="1" t="str" cm="1">
        <f t="array" ref="C21">UPPER(INDEX(_xlfn.TEXTSPLIT($D21, "-"), 3))</f>
        <v>DTG</v>
      </c>
      <c r="D21" s="1" t="s">
        <v>218</v>
      </c>
      <c r="E21" s="1" t="s">
        <v>23</v>
      </c>
      <c r="F21" s="1" t="s">
        <v>329</v>
      </c>
      <c r="G21" s="1" t="s">
        <v>234</v>
      </c>
      <c r="H21" s="1" t="s">
        <v>195</v>
      </c>
      <c r="I21" s="1">
        <v>2</v>
      </c>
      <c r="J21" s="1">
        <v>8</v>
      </c>
      <c r="K21" s="1" t="s">
        <v>302</v>
      </c>
      <c r="L21" s="9" t="s">
        <v>181</v>
      </c>
      <c r="M21" s="1" t="s">
        <v>190</v>
      </c>
      <c r="N21" s="1" t="s">
        <v>380</v>
      </c>
      <c r="O21" s="1" t="str">
        <f t="shared" si="0"/>
        <v>d-dtg-admap01-osdisk</v>
      </c>
      <c r="P21" s="1">
        <v>64</v>
      </c>
      <c r="Q21" s="1" t="s">
        <v>290</v>
      </c>
      <c r="R21" s="1"/>
      <c r="S21" s="1"/>
      <c r="T21" s="1"/>
      <c r="U21" s="1" t="str">
        <f t="shared" si="1"/>
        <v>d-dtg-admap01-nic</v>
      </c>
      <c r="V21" s="1" t="b">
        <v>1</v>
      </c>
      <c r="W21" s="1" t="b">
        <v>1</v>
      </c>
      <c r="X21" s="1" t="s">
        <v>49</v>
      </c>
      <c r="Y21" s="1" t="s">
        <v>187</v>
      </c>
      <c r="Z21" s="1" t="s">
        <v>221</v>
      </c>
      <c r="AA21" s="1" t="b">
        <v>1</v>
      </c>
      <c r="AB21" s="1" t="s">
        <v>49</v>
      </c>
      <c r="AC21" s="1" t="s">
        <v>311</v>
      </c>
      <c r="AD21" s="1">
        <v>1</v>
      </c>
      <c r="AE21" s="1"/>
      <c r="AF21" s="1"/>
    </row>
    <row r="22" spans="1:32" x14ac:dyDescent="0.3">
      <c r="A22" s="27"/>
      <c r="B22" s="1" t="s">
        <v>31</v>
      </c>
      <c r="C22" s="1" t="str" cm="1">
        <f t="array" ref="C22">UPPER(INDEX(_xlfn.TEXTSPLIT($D22, "-"), 3))</f>
        <v>DTG</v>
      </c>
      <c r="D22" s="1" t="s">
        <v>218</v>
      </c>
      <c r="E22" s="1" t="s">
        <v>23</v>
      </c>
      <c r="F22" s="1" t="s">
        <v>235</v>
      </c>
      <c r="G22" s="1" t="s">
        <v>236</v>
      </c>
      <c r="H22" s="10" t="s">
        <v>195</v>
      </c>
      <c r="I22" s="1">
        <v>2</v>
      </c>
      <c r="J22" s="1">
        <v>8</v>
      </c>
      <c r="K22" s="1" t="s">
        <v>302</v>
      </c>
      <c r="L22" s="1" t="s">
        <v>181</v>
      </c>
      <c r="M22" s="1" t="s">
        <v>190</v>
      </c>
      <c r="N22" s="1" t="s">
        <v>378</v>
      </c>
      <c r="O22" s="1" t="str">
        <f t="shared" si="0"/>
        <v>d-dtg-dtoms01-osdisk</v>
      </c>
      <c r="P22" s="1">
        <v>64</v>
      </c>
      <c r="Q22" s="1" t="s">
        <v>290</v>
      </c>
      <c r="R22" s="1"/>
      <c r="S22" s="1"/>
      <c r="T22" s="1"/>
      <c r="U22" s="1" t="str">
        <f t="shared" si="1"/>
        <v>d-dtg-dtoms01-nic</v>
      </c>
      <c r="V22" s="1" t="b">
        <v>1</v>
      </c>
      <c r="W22" s="1" t="b">
        <v>1</v>
      </c>
      <c r="X22" s="1" t="s">
        <v>49</v>
      </c>
      <c r="Y22" s="1" t="s">
        <v>187</v>
      </c>
      <c r="Z22" s="1" t="s">
        <v>221</v>
      </c>
      <c r="AA22" s="1" t="b">
        <v>1</v>
      </c>
      <c r="AB22" s="1" t="s">
        <v>49</v>
      </c>
      <c r="AC22" s="1" t="s">
        <v>311</v>
      </c>
      <c r="AD22" s="1">
        <v>1</v>
      </c>
      <c r="AE22" s="1"/>
      <c r="AF22" s="1"/>
    </row>
    <row r="23" spans="1:32" x14ac:dyDescent="0.3">
      <c r="A23" s="27"/>
      <c r="B23" s="1" t="s">
        <v>31</v>
      </c>
      <c r="C23" s="1" t="str" cm="1">
        <f t="array" ref="C23">UPPER(INDEX(_xlfn.TEXTSPLIT($D23, "-"), 3))</f>
        <v>DTG</v>
      </c>
      <c r="D23" s="1" t="s">
        <v>218</v>
      </c>
      <c r="E23" s="1" t="s">
        <v>23</v>
      </c>
      <c r="F23" s="1" t="s">
        <v>330</v>
      </c>
      <c r="G23" s="1" t="s">
        <v>238</v>
      </c>
      <c r="H23" s="10" t="s">
        <v>239</v>
      </c>
      <c r="I23" s="1">
        <v>4</v>
      </c>
      <c r="J23" s="1">
        <v>32</v>
      </c>
      <c r="K23" s="1" t="s">
        <v>302</v>
      </c>
      <c r="L23" s="9" t="s">
        <v>181</v>
      </c>
      <c r="M23" s="1" t="s">
        <v>190</v>
      </c>
      <c r="N23" s="1" t="s">
        <v>378</v>
      </c>
      <c r="O23" s="1" t="str">
        <f t="shared" si="0"/>
        <v>d-dtg-tsdb01-osdisk</v>
      </c>
      <c r="P23" s="1">
        <v>64</v>
      </c>
      <c r="Q23" s="1" t="s">
        <v>290</v>
      </c>
      <c r="R23" s="1"/>
      <c r="S23" s="1"/>
      <c r="T23" s="1"/>
      <c r="U23" s="1" t="str">
        <f t="shared" si="1"/>
        <v>d-dtg-tsdb01-nic</v>
      </c>
      <c r="V23" s="1" t="b">
        <v>1</v>
      </c>
      <c r="W23" s="1" t="b">
        <v>1</v>
      </c>
      <c r="X23" s="1" t="s">
        <v>49</v>
      </c>
      <c r="Y23" s="1" t="s">
        <v>187</v>
      </c>
      <c r="Z23" s="1" t="s">
        <v>240</v>
      </c>
      <c r="AA23" s="1" t="b">
        <v>1</v>
      </c>
      <c r="AB23" s="1" t="s">
        <v>49</v>
      </c>
      <c r="AC23" s="1" t="s">
        <v>311</v>
      </c>
      <c r="AD23" s="1">
        <v>1</v>
      </c>
      <c r="AE23" s="1"/>
      <c r="AF23" s="1"/>
    </row>
    <row r="24" spans="1:32" x14ac:dyDescent="0.3">
      <c r="A24" s="27"/>
      <c r="B24" s="1" t="s">
        <v>31</v>
      </c>
      <c r="C24" s="1" t="str" cm="1">
        <f t="array" ref="C24">UPPER(INDEX(_xlfn.TEXTSPLIT($D24, "-"), 3))</f>
        <v>DTG</v>
      </c>
      <c r="D24" s="1" t="s">
        <v>218</v>
      </c>
      <c r="E24" s="1" t="s">
        <v>23</v>
      </c>
      <c r="F24" s="1" t="s">
        <v>331</v>
      </c>
      <c r="G24" s="10" t="s">
        <v>242</v>
      </c>
      <c r="H24" s="10" t="s">
        <v>195</v>
      </c>
      <c r="I24" s="1">
        <v>2</v>
      </c>
      <c r="J24" s="1">
        <v>8</v>
      </c>
      <c r="K24" s="1" t="s">
        <v>302</v>
      </c>
      <c r="L24" s="1" t="s">
        <v>181</v>
      </c>
      <c r="M24" s="1" t="s">
        <v>190</v>
      </c>
      <c r="N24" s="1" t="s">
        <v>380</v>
      </c>
      <c r="O24" s="1" t="str">
        <f t="shared" si="0"/>
        <v>d-dtg-web01-osdisk</v>
      </c>
      <c r="P24" s="1">
        <v>64</v>
      </c>
      <c r="Q24" s="1" t="s">
        <v>290</v>
      </c>
      <c r="R24" s="1"/>
      <c r="S24" s="1"/>
      <c r="T24" s="1"/>
      <c r="U24" s="1" t="str">
        <f t="shared" si="1"/>
        <v>d-dtg-web01-nic</v>
      </c>
      <c r="V24" s="1" t="b">
        <v>1</v>
      </c>
      <c r="W24" s="1" t="b">
        <v>1</v>
      </c>
      <c r="X24" s="1" t="s">
        <v>49</v>
      </c>
      <c r="Y24" s="1" t="s">
        <v>196</v>
      </c>
      <c r="Z24" s="1" t="s">
        <v>230</v>
      </c>
      <c r="AA24" s="1" t="b">
        <v>1</v>
      </c>
      <c r="AB24" s="1" t="s">
        <v>49</v>
      </c>
      <c r="AC24" s="1" t="s">
        <v>311</v>
      </c>
      <c r="AD24" s="1">
        <v>1</v>
      </c>
      <c r="AE24" s="1"/>
      <c r="AF24" s="1"/>
    </row>
    <row r="25" spans="1:32" x14ac:dyDescent="0.3">
      <c r="A25" s="27"/>
      <c r="B25" s="1" t="s">
        <v>31</v>
      </c>
      <c r="C25" s="1" t="str" cm="1">
        <f t="array" ref="C25">UPPER(INDEX(_xlfn.TEXTSPLIT($D25, "-"), 3))</f>
        <v>DTG</v>
      </c>
      <c r="D25" s="1" t="s">
        <v>218</v>
      </c>
      <c r="E25" s="1" t="s">
        <v>23</v>
      </c>
      <c r="F25" s="1" t="s">
        <v>243</v>
      </c>
      <c r="G25" s="1" t="s">
        <v>244</v>
      </c>
      <c r="H25" s="1" t="s">
        <v>195</v>
      </c>
      <c r="I25" s="1">
        <v>2</v>
      </c>
      <c r="J25" s="1">
        <v>8</v>
      </c>
      <c r="K25" s="1" t="s">
        <v>302</v>
      </c>
      <c r="L25" s="9" t="s">
        <v>181</v>
      </c>
      <c r="M25" s="1" t="s">
        <v>190</v>
      </c>
      <c r="N25" s="1" t="s">
        <v>378</v>
      </c>
      <c r="O25" s="1" t="str">
        <f t="shared" si="0"/>
        <v>d-dtg-zkp01-osdisk</v>
      </c>
      <c r="P25" s="1">
        <v>64</v>
      </c>
      <c r="Q25" s="1" t="s">
        <v>290</v>
      </c>
      <c r="R25" s="1"/>
      <c r="S25" s="1"/>
      <c r="T25" s="1"/>
      <c r="U25" s="1" t="str">
        <f t="shared" si="1"/>
        <v>d-dtg-zkp01-nic</v>
      </c>
      <c r="V25" s="1" t="b">
        <v>1</v>
      </c>
      <c r="W25" s="1" t="b">
        <v>1</v>
      </c>
      <c r="X25" s="1" t="s">
        <v>49</v>
      </c>
      <c r="Y25" s="1" t="s">
        <v>187</v>
      </c>
      <c r="Z25" s="1" t="s">
        <v>221</v>
      </c>
      <c r="AA25" s="1" t="b">
        <v>1</v>
      </c>
      <c r="AB25" s="1" t="s">
        <v>49</v>
      </c>
      <c r="AC25" s="1" t="s">
        <v>311</v>
      </c>
      <c r="AD25" s="1">
        <v>1</v>
      </c>
      <c r="AE25" s="1"/>
      <c r="AF25" s="1"/>
    </row>
    <row r="26" spans="1:32" x14ac:dyDescent="0.3">
      <c r="A26" s="27"/>
      <c r="B26" s="1" t="s">
        <v>31</v>
      </c>
      <c r="C26" s="1" t="str" cm="1">
        <f t="array" ref="C26">UPPER(INDEX(_xlfn.TEXTSPLIT($D26, "-"), 3))</f>
        <v>DTG</v>
      </c>
      <c r="D26" s="1" t="s">
        <v>218</v>
      </c>
      <c r="E26" s="1" t="s">
        <v>23</v>
      </c>
      <c r="F26" s="1" t="s">
        <v>245</v>
      </c>
      <c r="G26" s="1" t="s">
        <v>246</v>
      </c>
      <c r="H26" s="10" t="s">
        <v>195</v>
      </c>
      <c r="I26" s="1">
        <v>2</v>
      </c>
      <c r="J26" s="1">
        <v>8</v>
      </c>
      <c r="K26" s="1" t="s">
        <v>302</v>
      </c>
      <c r="L26" s="1" t="s">
        <v>181</v>
      </c>
      <c r="M26" s="1" t="s">
        <v>190</v>
      </c>
      <c r="N26" s="1" t="s">
        <v>378</v>
      </c>
      <c r="O26" s="1" t="str">
        <f t="shared" si="0"/>
        <v>d-dtg-zkp02-osdisk</v>
      </c>
      <c r="P26" s="1">
        <v>64</v>
      </c>
      <c r="Q26" s="1" t="s">
        <v>290</v>
      </c>
      <c r="R26" s="1"/>
      <c r="S26" s="1"/>
      <c r="T26" s="1"/>
      <c r="U26" s="1" t="str">
        <f t="shared" si="1"/>
        <v>d-dtg-zkp02-nic</v>
      </c>
      <c r="V26" s="1" t="b">
        <v>1</v>
      </c>
      <c r="W26" s="1" t="b">
        <v>1</v>
      </c>
      <c r="X26" s="1" t="s">
        <v>49</v>
      </c>
      <c r="Y26" s="1" t="s">
        <v>187</v>
      </c>
      <c r="Z26" s="1" t="s">
        <v>221</v>
      </c>
      <c r="AA26" s="1" t="b">
        <v>1</v>
      </c>
      <c r="AB26" s="1" t="s">
        <v>49</v>
      </c>
      <c r="AC26" s="1" t="s">
        <v>311</v>
      </c>
      <c r="AD26" s="1">
        <v>1</v>
      </c>
      <c r="AE26" s="1"/>
      <c r="AF26" s="1"/>
    </row>
    <row r="27" spans="1:32" x14ac:dyDescent="0.3">
      <c r="A27" s="27"/>
      <c r="B27" s="1" t="s">
        <v>31</v>
      </c>
      <c r="C27" s="1" t="str" cm="1">
        <f t="array" ref="C27">UPPER(INDEX(_xlfn.TEXTSPLIT($D27, "-"), 3))</f>
        <v>DTG</v>
      </c>
      <c r="D27" s="1" t="s">
        <v>218</v>
      </c>
      <c r="E27" s="1" t="s">
        <v>23</v>
      </c>
      <c r="F27" s="1" t="s">
        <v>247</v>
      </c>
      <c r="G27" s="1" t="s">
        <v>248</v>
      </c>
      <c r="H27" s="10" t="s">
        <v>195</v>
      </c>
      <c r="I27" s="1">
        <v>2</v>
      </c>
      <c r="J27" s="1">
        <v>8</v>
      </c>
      <c r="K27" s="1" t="s">
        <v>302</v>
      </c>
      <c r="L27" s="9" t="s">
        <v>181</v>
      </c>
      <c r="M27" s="1" t="s">
        <v>190</v>
      </c>
      <c r="N27" s="1" t="s">
        <v>378</v>
      </c>
      <c r="O27" s="1" t="str">
        <f t="shared" si="0"/>
        <v>d-dtg-zkp03-osdisk</v>
      </c>
      <c r="P27" s="1">
        <v>64</v>
      </c>
      <c r="Q27" s="1" t="s">
        <v>290</v>
      </c>
      <c r="R27" s="1"/>
      <c r="S27" s="1"/>
      <c r="T27" s="1"/>
      <c r="U27" s="1" t="str">
        <f t="shared" si="1"/>
        <v>d-dtg-zkp03-nic</v>
      </c>
      <c r="V27" s="1" t="b">
        <v>1</v>
      </c>
      <c r="W27" s="1" t="b">
        <v>1</v>
      </c>
      <c r="X27" s="1" t="s">
        <v>49</v>
      </c>
      <c r="Y27" s="1" t="s">
        <v>187</v>
      </c>
      <c r="Z27" s="1" t="s">
        <v>221</v>
      </c>
      <c r="AA27" s="1" t="b">
        <v>1</v>
      </c>
      <c r="AB27" s="1" t="s">
        <v>49</v>
      </c>
      <c r="AC27" s="1" t="s">
        <v>311</v>
      </c>
      <c r="AD27" s="1">
        <v>1</v>
      </c>
      <c r="AE27" s="1"/>
      <c r="AF27" s="1"/>
    </row>
    <row r="28" spans="1:32" x14ac:dyDescent="0.3">
      <c r="A28" s="27"/>
      <c r="B28" s="1" t="s">
        <v>31</v>
      </c>
      <c r="C28" s="1" t="str" cm="1">
        <f t="array" ref="C28">UPPER(INDEX(_xlfn.TEXTSPLIT($D28, "-"), 3))</f>
        <v>DTG</v>
      </c>
      <c r="D28" s="1" t="s">
        <v>218</v>
      </c>
      <c r="E28" s="1" t="s">
        <v>23</v>
      </c>
      <c r="F28" s="1" t="s">
        <v>249</v>
      </c>
      <c r="G28" s="1" t="s">
        <v>250</v>
      </c>
      <c r="H28" s="1" t="s">
        <v>195</v>
      </c>
      <c r="I28" s="1">
        <v>2</v>
      </c>
      <c r="J28" s="1">
        <v>8</v>
      </c>
      <c r="K28" s="1" t="s">
        <v>302</v>
      </c>
      <c r="L28" s="1" t="s">
        <v>181</v>
      </c>
      <c r="M28" s="1" t="s">
        <v>190</v>
      </c>
      <c r="N28" s="1" t="s">
        <v>378</v>
      </c>
      <c r="O28" s="1" t="str">
        <f t="shared" si="0"/>
        <v>d-dtg-kfk01-osdisk</v>
      </c>
      <c r="P28" s="1">
        <v>64</v>
      </c>
      <c r="Q28" s="1" t="s">
        <v>290</v>
      </c>
      <c r="R28" s="1"/>
      <c r="S28" s="1"/>
      <c r="T28" s="1"/>
      <c r="U28" s="1" t="str">
        <f t="shared" si="1"/>
        <v>d-dtg-kfk01-nic</v>
      </c>
      <c r="V28" s="1" t="b">
        <v>1</v>
      </c>
      <c r="W28" s="1" t="b">
        <v>1</v>
      </c>
      <c r="X28" s="1" t="s">
        <v>49</v>
      </c>
      <c r="Y28" s="1" t="s">
        <v>187</v>
      </c>
      <c r="Z28" s="1" t="s">
        <v>221</v>
      </c>
      <c r="AA28" s="1" t="b">
        <v>1</v>
      </c>
      <c r="AB28" s="1" t="s">
        <v>49</v>
      </c>
      <c r="AC28" s="1" t="s">
        <v>311</v>
      </c>
      <c r="AD28" s="1">
        <v>1</v>
      </c>
      <c r="AE28" s="1"/>
      <c r="AF28" s="1"/>
    </row>
    <row r="29" spans="1:32" x14ac:dyDescent="0.3">
      <c r="A29" s="27"/>
      <c r="B29" s="1" t="s">
        <v>31</v>
      </c>
      <c r="C29" s="1" t="str" cm="1">
        <f t="array" ref="C29">UPPER(INDEX(_xlfn.TEXTSPLIT($D29, "-"), 3))</f>
        <v>DTG</v>
      </c>
      <c r="D29" s="1" t="s">
        <v>218</v>
      </c>
      <c r="E29" s="1" t="s">
        <v>23</v>
      </c>
      <c r="F29" s="1" t="s">
        <v>251</v>
      </c>
      <c r="G29" s="1" t="s">
        <v>252</v>
      </c>
      <c r="H29" s="10" t="s">
        <v>195</v>
      </c>
      <c r="I29" s="1">
        <v>2</v>
      </c>
      <c r="J29" s="1">
        <v>8</v>
      </c>
      <c r="K29" s="1" t="s">
        <v>302</v>
      </c>
      <c r="L29" s="9" t="s">
        <v>181</v>
      </c>
      <c r="M29" s="1" t="s">
        <v>190</v>
      </c>
      <c r="N29" s="1" t="s">
        <v>378</v>
      </c>
      <c r="O29" s="1" t="str">
        <f t="shared" si="0"/>
        <v>d-dtg-kfk02-osdisk</v>
      </c>
      <c r="P29" s="1">
        <v>64</v>
      </c>
      <c r="Q29" s="1" t="s">
        <v>290</v>
      </c>
      <c r="R29" s="1"/>
      <c r="S29" s="1"/>
      <c r="T29" s="1"/>
      <c r="U29" s="1" t="str">
        <f t="shared" si="1"/>
        <v>d-dtg-kfk02-nic</v>
      </c>
      <c r="V29" s="1" t="b">
        <v>1</v>
      </c>
      <c r="W29" s="1" t="b">
        <v>1</v>
      </c>
      <c r="X29" s="1" t="s">
        <v>49</v>
      </c>
      <c r="Y29" s="1" t="s">
        <v>187</v>
      </c>
      <c r="Z29" s="1" t="s">
        <v>221</v>
      </c>
      <c r="AA29" s="1" t="b">
        <v>1</v>
      </c>
      <c r="AB29" s="1" t="s">
        <v>49</v>
      </c>
      <c r="AC29" s="1" t="s">
        <v>311</v>
      </c>
      <c r="AD29" s="1">
        <v>1</v>
      </c>
      <c r="AE29" s="1"/>
      <c r="AF29" s="1"/>
    </row>
    <row r="30" spans="1:32" x14ac:dyDescent="0.3">
      <c r="A30" s="27"/>
      <c r="B30" s="1" t="s">
        <v>31</v>
      </c>
      <c r="C30" s="1" t="str" cm="1">
        <f t="array" ref="C30">UPPER(INDEX(_xlfn.TEXTSPLIT($D30, "-"), 3))</f>
        <v>DTG</v>
      </c>
      <c r="D30" s="1" t="s">
        <v>218</v>
      </c>
      <c r="E30" s="1" t="s">
        <v>23</v>
      </c>
      <c r="F30" s="1" t="s">
        <v>253</v>
      </c>
      <c r="G30" s="1" t="s">
        <v>254</v>
      </c>
      <c r="H30" s="10" t="s">
        <v>195</v>
      </c>
      <c r="I30" s="1">
        <v>2</v>
      </c>
      <c r="J30" s="1">
        <v>8</v>
      </c>
      <c r="K30" s="1" t="s">
        <v>302</v>
      </c>
      <c r="L30" s="1" t="s">
        <v>181</v>
      </c>
      <c r="M30" s="1" t="s">
        <v>190</v>
      </c>
      <c r="N30" s="1" t="s">
        <v>378</v>
      </c>
      <c r="O30" s="1" t="str">
        <f t="shared" si="0"/>
        <v>d-dtg-kfk03-osdisk</v>
      </c>
      <c r="P30" s="1">
        <v>64</v>
      </c>
      <c r="Q30" s="1" t="s">
        <v>290</v>
      </c>
      <c r="R30" s="1"/>
      <c r="S30" s="1"/>
      <c r="T30" s="1"/>
      <c r="U30" s="1" t="str">
        <f t="shared" si="1"/>
        <v>d-dtg-kfk03-nic</v>
      </c>
      <c r="V30" s="1" t="b">
        <v>1</v>
      </c>
      <c r="W30" s="1" t="b">
        <v>1</v>
      </c>
      <c r="X30" s="1" t="s">
        <v>49</v>
      </c>
      <c r="Y30" s="1" t="s">
        <v>187</v>
      </c>
      <c r="Z30" s="1" t="s">
        <v>221</v>
      </c>
      <c r="AA30" s="1" t="b">
        <v>1</v>
      </c>
      <c r="AB30" s="1" t="s">
        <v>49</v>
      </c>
      <c r="AC30" s="1" t="s">
        <v>311</v>
      </c>
      <c r="AD30" s="1">
        <v>1</v>
      </c>
      <c r="AE30" s="1"/>
      <c r="AF30" s="1"/>
    </row>
    <row r="31" spans="1:32" x14ac:dyDescent="0.3">
      <c r="A31" s="27"/>
      <c r="B31" s="1" t="s">
        <v>31</v>
      </c>
      <c r="C31" s="1" t="str" cm="1">
        <f t="array" ref="C31">UPPER(INDEX(_xlfn.TEXTSPLIT($D31, "-"), 3))</f>
        <v>DTG</v>
      </c>
      <c r="D31" s="1" t="s">
        <v>218</v>
      </c>
      <c r="E31" s="1" t="s">
        <v>23</v>
      </c>
      <c r="F31" s="1" t="s">
        <v>332</v>
      </c>
      <c r="G31" s="1" t="s">
        <v>256</v>
      </c>
      <c r="H31" s="1" t="s">
        <v>195</v>
      </c>
      <c r="I31" s="1">
        <v>2</v>
      </c>
      <c r="J31" s="1">
        <v>8</v>
      </c>
      <c r="K31" s="1" t="s">
        <v>302</v>
      </c>
      <c r="L31" s="9" t="s">
        <v>181</v>
      </c>
      <c r="M31" s="1" t="s">
        <v>190</v>
      </c>
      <c r="N31" s="1" t="s">
        <v>380</v>
      </c>
      <c r="O31" s="1" t="str">
        <f t="shared" ref="O31:O44" si="2">SUBSTITUTE(F31,"hazr-","")&amp;"-osdisk"</f>
        <v>d-dtg-mdoms01-osdisk</v>
      </c>
      <c r="P31" s="1">
        <v>64</v>
      </c>
      <c r="Q31" s="1" t="s">
        <v>290</v>
      </c>
      <c r="R31" s="1"/>
      <c r="S31" s="1"/>
      <c r="T31" s="1"/>
      <c r="U31" s="1" t="str">
        <f t="shared" si="1"/>
        <v>d-dtg-mdoms01-nic</v>
      </c>
      <c r="V31" s="1" t="b">
        <v>1</v>
      </c>
      <c r="W31" s="1" t="b">
        <v>1</v>
      </c>
      <c r="X31" s="1" t="s">
        <v>49</v>
      </c>
      <c r="Y31" s="1" t="s">
        <v>187</v>
      </c>
      <c r="Z31" s="1" t="s">
        <v>221</v>
      </c>
      <c r="AA31" s="1" t="b">
        <v>1</v>
      </c>
      <c r="AB31" s="1" t="s">
        <v>49</v>
      </c>
      <c r="AC31" s="1" t="s">
        <v>311</v>
      </c>
      <c r="AD31" s="1">
        <v>1</v>
      </c>
      <c r="AE31" s="1"/>
      <c r="AF31" s="1"/>
    </row>
    <row r="32" spans="1:32" x14ac:dyDescent="0.3">
      <c r="A32" s="27"/>
      <c r="B32" s="1" t="s">
        <v>31</v>
      </c>
      <c r="C32" s="1" t="str" cm="1">
        <f t="array" ref="C32">UPPER(INDEX(_xlfn.TEXTSPLIT($D32, "-"), 3))</f>
        <v>DTG</v>
      </c>
      <c r="D32" s="1" t="s">
        <v>218</v>
      </c>
      <c r="E32" s="1" t="s">
        <v>23</v>
      </c>
      <c r="F32" s="1" t="s">
        <v>257</v>
      </c>
      <c r="G32" s="1" t="s">
        <v>258</v>
      </c>
      <c r="H32" s="10" t="s">
        <v>195</v>
      </c>
      <c r="I32" s="1">
        <v>2</v>
      </c>
      <c r="J32" s="1">
        <v>8</v>
      </c>
      <c r="K32" s="1" t="s">
        <v>302</v>
      </c>
      <c r="L32" s="1" t="s">
        <v>181</v>
      </c>
      <c r="M32" s="1" t="s">
        <v>190</v>
      </c>
      <c r="N32" s="1" t="s">
        <v>378</v>
      </c>
      <c r="O32" s="1" t="str">
        <f t="shared" si="2"/>
        <v>d-dtg-cdmlap01-osdisk</v>
      </c>
      <c r="P32" s="1">
        <v>64</v>
      </c>
      <c r="Q32" s="1" t="s">
        <v>290</v>
      </c>
      <c r="R32" s="1"/>
      <c r="S32" s="1"/>
      <c r="T32" s="1"/>
      <c r="U32" s="1" t="str">
        <f t="shared" ref="U32:U44" si="3">SUBSTITUTE(F32,"hazr-","")&amp;"-nic"</f>
        <v>d-dtg-cdmlap01-nic</v>
      </c>
      <c r="V32" s="1" t="b">
        <v>1</v>
      </c>
      <c r="W32" s="1" t="b">
        <v>1</v>
      </c>
      <c r="X32" s="1" t="s">
        <v>49</v>
      </c>
      <c r="Y32" s="1" t="s">
        <v>187</v>
      </c>
      <c r="Z32" s="1" t="s">
        <v>221</v>
      </c>
      <c r="AA32" s="1" t="b">
        <v>1</v>
      </c>
      <c r="AB32" s="1" t="s">
        <v>49</v>
      </c>
      <c r="AC32" s="1" t="s">
        <v>311</v>
      </c>
      <c r="AD32" s="1">
        <v>1</v>
      </c>
      <c r="AE32" s="1"/>
      <c r="AF32" s="1"/>
    </row>
    <row r="33" spans="1:32" x14ac:dyDescent="0.3">
      <c r="A33" s="27"/>
      <c r="B33" s="1" t="s">
        <v>31</v>
      </c>
      <c r="C33" s="1" t="str" cm="1">
        <f t="array" ref="C33">UPPER(INDEX(_xlfn.TEXTSPLIT($D33, "-"), 3))</f>
        <v>DTG</v>
      </c>
      <c r="D33" s="1" t="s">
        <v>218</v>
      </c>
      <c r="E33" s="1" t="s">
        <v>23</v>
      </c>
      <c r="F33" s="1" t="s">
        <v>259</v>
      </c>
      <c r="G33" s="1" t="s">
        <v>260</v>
      </c>
      <c r="H33" s="10" t="s">
        <v>195</v>
      </c>
      <c r="I33" s="1">
        <v>2</v>
      </c>
      <c r="J33" s="1">
        <v>8</v>
      </c>
      <c r="K33" s="1" t="s">
        <v>302</v>
      </c>
      <c r="L33" s="9" t="s">
        <v>181</v>
      </c>
      <c r="M33" s="1" t="s">
        <v>190</v>
      </c>
      <c r="N33" s="1" t="s">
        <v>378</v>
      </c>
      <c r="O33" s="1" t="str">
        <f t="shared" si="2"/>
        <v>d-dtg-cdstap01-osdisk</v>
      </c>
      <c r="P33" s="1">
        <v>64</v>
      </c>
      <c r="Q33" s="1" t="s">
        <v>290</v>
      </c>
      <c r="R33" s="1"/>
      <c r="S33" s="1"/>
      <c r="T33" s="1"/>
      <c r="U33" s="1" t="str">
        <f t="shared" si="3"/>
        <v>d-dtg-cdstap01-nic</v>
      </c>
      <c r="V33" s="1" t="b">
        <v>1</v>
      </c>
      <c r="W33" s="1" t="b">
        <v>1</v>
      </c>
      <c r="X33" s="1" t="s">
        <v>49</v>
      </c>
      <c r="Y33" s="1" t="s">
        <v>187</v>
      </c>
      <c r="Z33" s="1" t="s">
        <v>221</v>
      </c>
      <c r="AA33" s="1" t="b">
        <v>1</v>
      </c>
      <c r="AB33" s="1" t="s">
        <v>49</v>
      </c>
      <c r="AC33" s="1" t="s">
        <v>311</v>
      </c>
      <c r="AD33" s="1">
        <v>1</v>
      </c>
      <c r="AE33" s="1"/>
      <c r="AF33" s="1"/>
    </row>
    <row r="34" spans="1:32" x14ac:dyDescent="0.3">
      <c r="A34" s="27"/>
      <c r="B34" s="1" t="s">
        <v>31</v>
      </c>
      <c r="C34" s="1" t="str" cm="1">
        <f t="array" ref="C34">UPPER(INDEX(_xlfn.TEXTSPLIT($D34, "-"), 3))</f>
        <v>DTG</v>
      </c>
      <c r="D34" s="1" t="s">
        <v>218</v>
      </c>
      <c r="E34" s="1" t="s">
        <v>23</v>
      </c>
      <c r="F34" s="1" t="s">
        <v>319</v>
      </c>
      <c r="G34" s="1" t="s">
        <v>261</v>
      </c>
      <c r="H34" s="1" t="s">
        <v>195</v>
      </c>
      <c r="I34" s="1">
        <v>2</v>
      </c>
      <c r="J34" s="1">
        <v>8</v>
      </c>
      <c r="K34" s="1" t="s">
        <v>302</v>
      </c>
      <c r="L34" s="1" t="s">
        <v>181</v>
      </c>
      <c r="M34" s="1" t="s">
        <v>190</v>
      </c>
      <c r="N34" s="1" t="s">
        <v>380</v>
      </c>
      <c r="O34" s="1" t="str">
        <f t="shared" si="2"/>
        <v>d-dtg-cdsvadm01-osdisk</v>
      </c>
      <c r="P34" s="1">
        <v>64</v>
      </c>
      <c r="Q34" s="1" t="s">
        <v>290</v>
      </c>
      <c r="R34" s="1"/>
      <c r="S34" s="1"/>
      <c r="T34" s="1"/>
      <c r="U34" s="1" t="str">
        <f t="shared" si="3"/>
        <v>d-dtg-cdsvadm01-nic</v>
      </c>
      <c r="V34" s="1" t="b">
        <v>1</v>
      </c>
      <c r="W34" s="1" t="b">
        <v>1</v>
      </c>
      <c r="X34" s="1" t="s">
        <v>49</v>
      </c>
      <c r="Y34" s="1" t="s">
        <v>187</v>
      </c>
      <c r="Z34" s="1" t="s">
        <v>221</v>
      </c>
      <c r="AA34" s="1" t="b">
        <v>1</v>
      </c>
      <c r="AB34" s="1" t="s">
        <v>49</v>
      </c>
      <c r="AC34" s="1" t="s">
        <v>311</v>
      </c>
      <c r="AD34" s="1">
        <v>1</v>
      </c>
      <c r="AE34" s="1"/>
      <c r="AF34" s="1"/>
    </row>
    <row r="35" spans="1:32" x14ac:dyDescent="0.3">
      <c r="A35" s="27"/>
      <c r="B35" s="1" t="s">
        <v>31</v>
      </c>
      <c r="C35" s="1" t="str" cm="1">
        <f t="array" ref="C35">UPPER(INDEX(_xlfn.TEXTSPLIT($D35, "-"), 3))</f>
        <v>DTG</v>
      </c>
      <c r="D35" s="1" t="s">
        <v>218</v>
      </c>
      <c r="E35" s="1" t="s">
        <v>23</v>
      </c>
      <c r="F35" s="1" t="s">
        <v>262</v>
      </c>
      <c r="G35" s="1" t="s">
        <v>263</v>
      </c>
      <c r="H35" s="10" t="s">
        <v>195</v>
      </c>
      <c r="I35" s="1">
        <v>2</v>
      </c>
      <c r="J35" s="1">
        <v>8</v>
      </c>
      <c r="K35" s="1" t="s">
        <v>302</v>
      </c>
      <c r="L35" s="9" t="s">
        <v>181</v>
      </c>
      <c r="M35" s="1" t="s">
        <v>190</v>
      </c>
      <c r="N35" s="1" t="s">
        <v>378</v>
      </c>
      <c r="O35" s="1" t="str">
        <f t="shared" si="2"/>
        <v>d-dtg-diosap01-osdisk</v>
      </c>
      <c r="P35" s="1">
        <v>64</v>
      </c>
      <c r="Q35" s="1" t="s">
        <v>290</v>
      </c>
      <c r="R35" s="1"/>
      <c r="S35" s="1"/>
      <c r="T35" s="1"/>
      <c r="U35" s="1" t="str">
        <f t="shared" si="3"/>
        <v>d-dtg-diosap01-nic</v>
      </c>
      <c r="V35" s="1" t="b">
        <v>1</v>
      </c>
      <c r="W35" s="1" t="b">
        <v>1</v>
      </c>
      <c r="X35" s="1" t="s">
        <v>49</v>
      </c>
      <c r="Y35" s="1" t="s">
        <v>187</v>
      </c>
      <c r="Z35" s="1" t="s">
        <v>221</v>
      </c>
      <c r="AA35" s="1" t="b">
        <v>1</v>
      </c>
      <c r="AB35" s="1" t="s">
        <v>49</v>
      </c>
      <c r="AC35" s="1" t="s">
        <v>311</v>
      </c>
      <c r="AD35" s="1">
        <v>1</v>
      </c>
      <c r="AE35" s="1"/>
      <c r="AF35" s="1"/>
    </row>
    <row r="36" spans="1:32" x14ac:dyDescent="0.3">
      <c r="A36" s="27"/>
      <c r="B36" s="1" t="s">
        <v>31</v>
      </c>
      <c r="C36" s="1" t="str" cm="1">
        <f t="array" ref="C36">UPPER(INDEX(_xlfn.TEXTSPLIT($D36, "-"), 3))</f>
        <v>DTG</v>
      </c>
      <c r="D36" s="1" t="s">
        <v>218</v>
      </c>
      <c r="E36" s="1" t="s">
        <v>23</v>
      </c>
      <c r="F36" s="1" t="s">
        <v>333</v>
      </c>
      <c r="G36" s="1" t="s">
        <v>265</v>
      </c>
      <c r="H36" s="10" t="s">
        <v>195</v>
      </c>
      <c r="I36" s="1">
        <v>2</v>
      </c>
      <c r="J36" s="1">
        <v>8</v>
      </c>
      <c r="K36" s="1" t="s">
        <v>302</v>
      </c>
      <c r="L36" s="1" t="s">
        <v>181</v>
      </c>
      <c r="M36" s="1" t="s">
        <v>190</v>
      </c>
      <c r="N36" s="1" t="s">
        <v>380</v>
      </c>
      <c r="O36" s="1" t="str">
        <f t="shared" si="2"/>
        <v>d-dtg-diosweb01-osdisk</v>
      </c>
      <c r="P36" s="1">
        <v>64</v>
      </c>
      <c r="Q36" s="1" t="s">
        <v>290</v>
      </c>
      <c r="R36" s="1"/>
      <c r="S36" s="1"/>
      <c r="T36" s="1"/>
      <c r="U36" s="1" t="str">
        <f t="shared" si="3"/>
        <v>d-dtg-diosweb01-nic</v>
      </c>
      <c r="V36" s="1" t="b">
        <v>1</v>
      </c>
      <c r="W36" s="1" t="b">
        <v>1</v>
      </c>
      <c r="X36" s="1" t="s">
        <v>49</v>
      </c>
      <c r="Y36" s="1" t="s">
        <v>187</v>
      </c>
      <c r="Z36" s="1" t="s">
        <v>221</v>
      </c>
      <c r="AA36" s="1" t="b">
        <v>1</v>
      </c>
      <c r="AB36" s="1" t="s">
        <v>49</v>
      </c>
      <c r="AC36" s="1" t="s">
        <v>311</v>
      </c>
      <c r="AD36" s="1">
        <v>1</v>
      </c>
      <c r="AE36" s="1"/>
      <c r="AF36" s="1"/>
    </row>
    <row r="37" spans="1:32" x14ac:dyDescent="0.3">
      <c r="A37" s="27"/>
      <c r="B37" s="1" t="s">
        <v>31</v>
      </c>
      <c r="C37" s="1" t="str" cm="1">
        <f t="array" ref="C37">UPPER(INDEX(_xlfn.TEXTSPLIT($D37, "-"), 3))</f>
        <v>DTG</v>
      </c>
      <c r="D37" s="1" t="s">
        <v>218</v>
      </c>
      <c r="E37" s="1" t="s">
        <v>23</v>
      </c>
      <c r="F37" s="1" t="s">
        <v>334</v>
      </c>
      <c r="G37" s="1" t="s">
        <v>267</v>
      </c>
      <c r="H37" s="1" t="s">
        <v>195</v>
      </c>
      <c r="I37" s="1">
        <v>2</v>
      </c>
      <c r="J37" s="1">
        <v>8</v>
      </c>
      <c r="K37" s="1" t="s">
        <v>302</v>
      </c>
      <c r="L37" s="9" t="s">
        <v>181</v>
      </c>
      <c r="M37" s="1" t="s">
        <v>190</v>
      </c>
      <c r="N37" s="1" t="s">
        <v>380</v>
      </c>
      <c r="O37" s="1" t="str">
        <f t="shared" si="2"/>
        <v>d-dtg-dprweb01-osdisk</v>
      </c>
      <c r="P37" s="1">
        <v>64</v>
      </c>
      <c r="Q37" s="1" t="s">
        <v>290</v>
      </c>
      <c r="R37" s="1"/>
      <c r="S37" s="1"/>
      <c r="T37" s="1"/>
      <c r="U37" s="1" t="str">
        <f t="shared" si="3"/>
        <v>d-dtg-dprweb01-nic</v>
      </c>
      <c r="V37" s="1" t="b">
        <v>1</v>
      </c>
      <c r="W37" s="1" t="b">
        <v>1</v>
      </c>
      <c r="X37" s="1" t="s">
        <v>49</v>
      </c>
      <c r="Y37" s="1" t="s">
        <v>196</v>
      </c>
      <c r="Z37" s="1" t="s">
        <v>230</v>
      </c>
      <c r="AA37" s="1" t="b">
        <v>1</v>
      </c>
      <c r="AB37" s="1" t="s">
        <v>49</v>
      </c>
      <c r="AC37" s="1" t="s">
        <v>311</v>
      </c>
      <c r="AD37" s="1">
        <v>1</v>
      </c>
      <c r="AE37" s="1"/>
      <c r="AF37" s="1"/>
    </row>
    <row r="38" spans="1:32" x14ac:dyDescent="0.3">
      <c r="A38" s="27"/>
      <c r="B38" s="1" t="s">
        <v>31</v>
      </c>
      <c r="C38" s="1" t="str" cm="1">
        <f t="array" ref="C38">UPPER(INDEX(_xlfn.TEXTSPLIT($D38, "-"), 3))</f>
        <v>DTG</v>
      </c>
      <c r="D38" s="1" t="s">
        <v>218</v>
      </c>
      <c r="E38" s="1" t="s">
        <v>23</v>
      </c>
      <c r="F38" s="1" t="s">
        <v>268</v>
      </c>
      <c r="G38" s="1" t="s">
        <v>269</v>
      </c>
      <c r="H38" s="10" t="s">
        <v>195</v>
      </c>
      <c r="I38" s="1">
        <v>2</v>
      </c>
      <c r="J38" s="1">
        <v>8</v>
      </c>
      <c r="K38" s="1" t="s">
        <v>302</v>
      </c>
      <c r="L38" s="1" t="s">
        <v>181</v>
      </c>
      <c r="M38" s="1" t="s">
        <v>190</v>
      </c>
      <c r="N38" s="1" t="s">
        <v>378</v>
      </c>
      <c r="O38" s="1" t="str">
        <f t="shared" si="2"/>
        <v>d-dtg-dprap01-osdisk</v>
      </c>
      <c r="P38" s="1">
        <v>64</v>
      </c>
      <c r="Q38" s="1" t="s">
        <v>290</v>
      </c>
      <c r="R38" s="1"/>
      <c r="S38" s="1"/>
      <c r="T38" s="1"/>
      <c r="U38" s="1" t="str">
        <f t="shared" si="3"/>
        <v>d-dtg-dprap01-nic</v>
      </c>
      <c r="V38" s="1" t="b">
        <v>1</v>
      </c>
      <c r="W38" s="1" t="b">
        <v>1</v>
      </c>
      <c r="X38" s="1" t="s">
        <v>49</v>
      </c>
      <c r="Y38" s="1" t="s">
        <v>187</v>
      </c>
      <c r="Z38" s="1" t="s">
        <v>221</v>
      </c>
      <c r="AA38" s="1" t="b">
        <v>1</v>
      </c>
      <c r="AB38" s="1" t="s">
        <v>49</v>
      </c>
      <c r="AC38" s="1" t="s">
        <v>311</v>
      </c>
      <c r="AD38" s="1">
        <v>1</v>
      </c>
      <c r="AE38" s="1"/>
      <c r="AF38" s="1"/>
    </row>
    <row r="39" spans="1:32" x14ac:dyDescent="0.3">
      <c r="A39" s="27"/>
      <c r="B39" s="1" t="s">
        <v>31</v>
      </c>
      <c r="C39" s="1" t="str" cm="1">
        <f t="array" ref="C39">UPPER(INDEX(_xlfn.TEXTSPLIT($D39, "-"), 3))</f>
        <v>BDP</v>
      </c>
      <c r="D39" s="1" t="s">
        <v>270</v>
      </c>
      <c r="E39" s="1" t="s">
        <v>23</v>
      </c>
      <c r="F39" s="1" t="s">
        <v>335</v>
      </c>
      <c r="G39" s="1" t="s">
        <v>272</v>
      </c>
      <c r="H39" s="10" t="s">
        <v>195</v>
      </c>
      <c r="I39" s="1">
        <v>2</v>
      </c>
      <c r="J39" s="1">
        <v>8</v>
      </c>
      <c r="K39" s="1" t="s">
        <v>302</v>
      </c>
      <c r="L39" s="9" t="s">
        <v>181</v>
      </c>
      <c r="M39" s="1" t="s">
        <v>190</v>
      </c>
      <c r="N39" s="1" t="s">
        <v>380</v>
      </c>
      <c r="O39" s="1" t="str">
        <f t="shared" si="2"/>
        <v>d-bdp-airfw01-osdisk</v>
      </c>
      <c r="P39" s="1">
        <v>64</v>
      </c>
      <c r="Q39" s="1" t="s">
        <v>290</v>
      </c>
      <c r="R39" s="1"/>
      <c r="S39" s="1"/>
      <c r="T39" s="1"/>
      <c r="U39" s="1" t="str">
        <f t="shared" si="3"/>
        <v>d-bdp-airfw01-nic</v>
      </c>
      <c r="V39" s="1" t="b">
        <v>1</v>
      </c>
      <c r="W39" s="1" t="b">
        <v>1</v>
      </c>
      <c r="X39" s="1" t="s">
        <v>49</v>
      </c>
      <c r="Y39" s="1" t="s">
        <v>187</v>
      </c>
      <c r="Z39" s="1" t="s">
        <v>273</v>
      </c>
      <c r="AA39" s="1" t="b">
        <v>1</v>
      </c>
      <c r="AB39" s="1" t="s">
        <v>49</v>
      </c>
      <c r="AC39" s="1" t="s">
        <v>311</v>
      </c>
      <c r="AD39" s="1">
        <v>1</v>
      </c>
      <c r="AE39" s="1"/>
      <c r="AF39" s="1"/>
    </row>
    <row r="40" spans="1:32" x14ac:dyDescent="0.3">
      <c r="A40" s="27"/>
      <c r="B40" s="1" t="s">
        <v>31</v>
      </c>
      <c r="C40" s="1" t="str" cm="1">
        <f t="array" ref="C40">UPPER(INDEX(_xlfn.TEXTSPLIT($D40, "-"), 3))</f>
        <v>BDP</v>
      </c>
      <c r="D40" s="1" t="s">
        <v>270</v>
      </c>
      <c r="E40" s="1" t="s">
        <v>23</v>
      </c>
      <c r="F40" s="1" t="s">
        <v>336</v>
      </c>
      <c r="G40" s="1" t="s">
        <v>275</v>
      </c>
      <c r="H40" s="1" t="s">
        <v>195</v>
      </c>
      <c r="I40" s="1">
        <v>2</v>
      </c>
      <c r="J40" s="1">
        <v>8</v>
      </c>
      <c r="K40" s="1" t="s">
        <v>302</v>
      </c>
      <c r="L40" s="1" t="s">
        <v>181</v>
      </c>
      <c r="M40" s="1" t="s">
        <v>190</v>
      </c>
      <c r="N40" s="1" t="s">
        <v>380</v>
      </c>
      <c r="O40" s="1" t="str">
        <f t="shared" si="2"/>
        <v>d-bdp-kepler01-osdisk</v>
      </c>
      <c r="P40" s="1">
        <v>64</v>
      </c>
      <c r="Q40" s="1" t="s">
        <v>290</v>
      </c>
      <c r="R40" s="1"/>
      <c r="S40" s="1"/>
      <c r="T40" s="1"/>
      <c r="U40" s="1" t="str">
        <f t="shared" si="3"/>
        <v>d-bdp-kepler01-nic</v>
      </c>
      <c r="V40" s="1" t="b">
        <v>1</v>
      </c>
      <c r="W40" s="1" t="b">
        <v>1</v>
      </c>
      <c r="X40" s="1" t="s">
        <v>49</v>
      </c>
      <c r="Y40" s="1" t="s">
        <v>187</v>
      </c>
      <c r="Z40" s="1" t="s">
        <v>273</v>
      </c>
      <c r="AA40" s="1" t="b">
        <v>1</v>
      </c>
      <c r="AB40" s="1" t="s">
        <v>49</v>
      </c>
      <c r="AC40" s="1" t="s">
        <v>311</v>
      </c>
      <c r="AD40" s="1">
        <v>1</v>
      </c>
      <c r="AE40" s="1"/>
      <c r="AF40" s="1"/>
    </row>
    <row r="41" spans="1:32" x14ac:dyDescent="0.3">
      <c r="A41" s="27"/>
      <c r="B41" s="1" t="s">
        <v>31</v>
      </c>
      <c r="C41" s="1" t="str" cm="1">
        <f t="array" ref="C41">UPPER(INDEX(_xlfn.TEXTSPLIT($D41, "-"), 3))</f>
        <v>BDP</v>
      </c>
      <c r="D41" s="1" t="s">
        <v>270</v>
      </c>
      <c r="E41" s="1" t="s">
        <v>23</v>
      </c>
      <c r="F41" s="1" t="s">
        <v>320</v>
      </c>
      <c r="G41" s="1" t="s">
        <v>276</v>
      </c>
      <c r="H41" s="10" t="s">
        <v>195</v>
      </c>
      <c r="I41" s="1">
        <v>2</v>
      </c>
      <c r="J41" s="1">
        <v>8</v>
      </c>
      <c r="K41" s="1" t="s">
        <v>302</v>
      </c>
      <c r="L41" s="9" t="s">
        <v>181</v>
      </c>
      <c r="M41" s="1" t="s">
        <v>190</v>
      </c>
      <c r="N41" s="1" t="s">
        <v>380</v>
      </c>
      <c r="O41" s="1" t="str">
        <f t="shared" si="2"/>
        <v>d-bdp-cxmadm01-osdisk</v>
      </c>
      <c r="P41" s="1">
        <v>64</v>
      </c>
      <c r="Q41" s="1" t="s">
        <v>290</v>
      </c>
      <c r="R41" s="1"/>
      <c r="S41" s="1"/>
      <c r="T41" s="1"/>
      <c r="U41" s="1" t="str">
        <f t="shared" si="3"/>
        <v>d-bdp-cxmadm01-nic</v>
      </c>
      <c r="V41" s="1" t="b">
        <v>1</v>
      </c>
      <c r="W41" s="1" t="b">
        <v>1</v>
      </c>
      <c r="X41" s="1" t="s">
        <v>49</v>
      </c>
      <c r="Y41" s="1" t="s">
        <v>187</v>
      </c>
      <c r="Z41" s="1" t="s">
        <v>273</v>
      </c>
      <c r="AA41" s="1" t="b">
        <v>1</v>
      </c>
      <c r="AB41" s="1" t="s">
        <v>49</v>
      </c>
      <c r="AC41" s="1" t="s">
        <v>311</v>
      </c>
      <c r="AD41" s="1">
        <v>1</v>
      </c>
      <c r="AE41" s="1"/>
      <c r="AF41" s="1"/>
    </row>
    <row r="42" spans="1:32" x14ac:dyDescent="0.3">
      <c r="A42" s="27"/>
      <c r="B42" s="1" t="s">
        <v>31</v>
      </c>
      <c r="C42" s="1" t="str" cm="1">
        <f t="array" ref="C42">UPPER(INDEX(_xlfn.TEXTSPLIT($D42, "-"), 3))</f>
        <v>BDP</v>
      </c>
      <c r="D42" s="1" t="s">
        <v>270</v>
      </c>
      <c r="E42" s="1" t="s">
        <v>23</v>
      </c>
      <c r="F42" s="1" t="s">
        <v>337</v>
      </c>
      <c r="G42" s="1" t="s">
        <v>278</v>
      </c>
      <c r="H42" s="10" t="s">
        <v>195</v>
      </c>
      <c r="I42" s="1">
        <v>2</v>
      </c>
      <c r="J42" s="1">
        <v>8</v>
      </c>
      <c r="K42" s="1" t="s">
        <v>302</v>
      </c>
      <c r="L42" s="1" t="s">
        <v>181</v>
      </c>
      <c r="M42" s="1" t="s">
        <v>190</v>
      </c>
      <c r="N42" s="1" t="s">
        <v>380</v>
      </c>
      <c r="O42" s="1" t="str">
        <f t="shared" si="2"/>
        <v>d-bdp-slap01-osdisk</v>
      </c>
      <c r="P42" s="1">
        <v>64</v>
      </c>
      <c r="Q42" s="1" t="s">
        <v>290</v>
      </c>
      <c r="R42" s="1"/>
      <c r="S42" s="1"/>
      <c r="T42" s="1"/>
      <c r="U42" s="1" t="str">
        <f t="shared" si="3"/>
        <v>d-bdp-slap01-nic</v>
      </c>
      <c r="V42" s="1" t="b">
        <v>1</v>
      </c>
      <c r="W42" s="1" t="b">
        <v>1</v>
      </c>
      <c r="X42" s="1" t="s">
        <v>49</v>
      </c>
      <c r="Y42" s="1" t="s">
        <v>187</v>
      </c>
      <c r="Z42" s="1" t="s">
        <v>273</v>
      </c>
      <c r="AA42" s="1" t="b">
        <v>1</v>
      </c>
      <c r="AB42" s="1" t="s">
        <v>49</v>
      </c>
      <c r="AC42" s="1" t="s">
        <v>311</v>
      </c>
      <c r="AD42" s="1">
        <v>1</v>
      </c>
      <c r="AE42" s="1"/>
      <c r="AF42" s="1"/>
    </row>
    <row r="43" spans="1:32" x14ac:dyDescent="0.3">
      <c r="A43" s="27"/>
      <c r="B43" s="1" t="s">
        <v>31</v>
      </c>
      <c r="C43" s="1" t="str" cm="1">
        <f t="array" ref="C43">UPPER(INDEX(_xlfn.TEXTSPLIT($D43, "-"), 3))</f>
        <v>IF</v>
      </c>
      <c r="D43" s="1" t="s">
        <v>55</v>
      </c>
      <c r="E43" s="1" t="s">
        <v>23</v>
      </c>
      <c r="F43" s="1" t="s">
        <v>372</v>
      </c>
      <c r="G43" s="1" t="s">
        <v>373</v>
      </c>
      <c r="H43" s="10" t="s">
        <v>195</v>
      </c>
      <c r="I43" s="1">
        <v>2</v>
      </c>
      <c r="J43" s="1">
        <v>8</v>
      </c>
      <c r="K43" s="1" t="s">
        <v>302</v>
      </c>
      <c r="L43" s="1" t="s">
        <v>181</v>
      </c>
      <c r="M43" s="1" t="s">
        <v>190</v>
      </c>
      <c r="N43" s="1" t="s">
        <v>380</v>
      </c>
      <c r="O43" s="1" t="str">
        <f t="shared" si="2"/>
        <v>d-if-auth01-osdisk</v>
      </c>
      <c r="P43" s="1">
        <v>64</v>
      </c>
      <c r="Q43" s="1" t="s">
        <v>290</v>
      </c>
      <c r="R43" s="1"/>
      <c r="S43" s="1"/>
      <c r="T43" s="1"/>
      <c r="U43" s="1" t="str">
        <f>SUBSTITUTE(F43,"hazr-","")&amp;"-nic"</f>
        <v>d-if-auth01-nic</v>
      </c>
      <c r="V43" s="1" t="b">
        <v>1</v>
      </c>
      <c r="W43" s="1" t="b">
        <v>1</v>
      </c>
      <c r="X43" s="1" t="s">
        <v>49</v>
      </c>
      <c r="Y43" s="1" t="s">
        <v>187</v>
      </c>
      <c r="Z43" s="1" t="s">
        <v>166</v>
      </c>
      <c r="AA43" s="1" t="b">
        <v>1</v>
      </c>
      <c r="AB43" s="1" t="s">
        <v>49</v>
      </c>
      <c r="AC43" s="1" t="s">
        <v>311</v>
      </c>
      <c r="AD43" s="1">
        <v>1</v>
      </c>
      <c r="AE43" s="1"/>
      <c r="AF43" s="1"/>
    </row>
    <row r="44" spans="1:32" x14ac:dyDescent="0.3">
      <c r="A44" s="27"/>
      <c r="B44" s="1" t="s">
        <v>31</v>
      </c>
      <c r="C44" s="1" t="str" cm="1">
        <f t="array" ref="C44">UPPER(INDEX(_xlfn.TEXTSPLIT($D44, "-"), 3))</f>
        <v>IF</v>
      </c>
      <c r="D44" s="1" t="s">
        <v>279</v>
      </c>
      <c r="E44" s="1" t="s">
        <v>23</v>
      </c>
      <c r="F44" s="1" t="s">
        <v>280</v>
      </c>
      <c r="G44" s="1" t="s">
        <v>281</v>
      </c>
      <c r="H44" s="1" t="s">
        <v>195</v>
      </c>
      <c r="I44" s="1">
        <v>2</v>
      </c>
      <c r="J44" s="1">
        <v>8</v>
      </c>
      <c r="K44" s="1" t="s">
        <v>302</v>
      </c>
      <c r="L44" s="1" t="s">
        <v>181</v>
      </c>
      <c r="M44" s="1" t="s">
        <v>190</v>
      </c>
      <c r="N44" s="1" t="s">
        <v>378</v>
      </c>
      <c r="O44" s="1" t="str">
        <f t="shared" si="2"/>
        <v>d-if-gramon01-osdisk</v>
      </c>
      <c r="P44" s="1">
        <v>64</v>
      </c>
      <c r="Q44" s="1" t="s">
        <v>290</v>
      </c>
      <c r="R44" s="1"/>
      <c r="S44" s="1"/>
      <c r="T44" s="1"/>
      <c r="U44" s="1" t="str">
        <f t="shared" si="3"/>
        <v>d-if-gramon01-nic</v>
      </c>
      <c r="V44" s="1" t="b">
        <v>1</v>
      </c>
      <c r="W44" s="1" t="b">
        <v>1</v>
      </c>
      <c r="X44" s="1" t="s">
        <v>49</v>
      </c>
      <c r="Y44" s="1" t="s">
        <v>187</v>
      </c>
      <c r="Z44" s="1" t="s">
        <v>282</v>
      </c>
      <c r="AA44" s="1" t="b">
        <v>1</v>
      </c>
      <c r="AB44" s="1" t="s">
        <v>49</v>
      </c>
      <c r="AC44" s="1" t="s">
        <v>311</v>
      </c>
      <c r="AD44" s="1">
        <v>1</v>
      </c>
      <c r="AE44" s="1"/>
      <c r="AF44" s="1"/>
    </row>
    <row r="45" spans="1:32" x14ac:dyDescent="0.3">
      <c r="A45" s="27"/>
      <c r="B45" s="1" t="s">
        <v>31</v>
      </c>
      <c r="C45" s="1" t="str" cm="1">
        <f t="array" ref="C45">UPPER(INDEX(_xlfn.TEXTSPLIT($D45, "-"), 3))</f>
        <v>BDP</v>
      </c>
      <c r="D45" s="1" t="s">
        <v>270</v>
      </c>
      <c r="E45" s="1" t="s">
        <v>23</v>
      </c>
      <c r="F45" s="1" t="s">
        <v>339</v>
      </c>
      <c r="G45" s="1" t="s">
        <v>284</v>
      </c>
      <c r="H45" s="10" t="s">
        <v>195</v>
      </c>
      <c r="I45" s="1">
        <v>2</v>
      </c>
      <c r="J45" s="1">
        <v>8</v>
      </c>
      <c r="K45" s="1" t="s">
        <v>302</v>
      </c>
      <c r="L45" s="9" t="s">
        <v>181</v>
      </c>
      <c r="M45" s="1" t="s">
        <v>190</v>
      </c>
      <c r="N45" s="1" t="s">
        <v>380</v>
      </c>
      <c r="O45" s="1" t="str">
        <f t="shared" ref="O45:O47" si="4">SUBSTITUTE(F45,"hazr-","")&amp;"-osdisk"</f>
        <v>d-bdp-crkweb01-osdisk</v>
      </c>
      <c r="P45" s="1">
        <v>64</v>
      </c>
      <c r="Q45" s="1" t="s">
        <v>290</v>
      </c>
      <c r="R45" s="1"/>
      <c r="S45" s="1"/>
      <c r="T45" s="1"/>
      <c r="U45" s="1" t="str">
        <f t="shared" ref="U45:U47" si="5">SUBSTITUTE(F45,"hazr-","")&amp;"-nic"</f>
        <v>d-bdp-crkweb01-nic</v>
      </c>
      <c r="V45" s="1" t="b">
        <v>1</v>
      </c>
      <c r="W45" s="1" t="b">
        <v>1</v>
      </c>
      <c r="X45" s="1" t="s">
        <v>49</v>
      </c>
      <c r="Y45" s="1" t="s">
        <v>196</v>
      </c>
      <c r="Z45" s="1" t="s">
        <v>285</v>
      </c>
      <c r="AA45" s="1" t="b">
        <v>1</v>
      </c>
      <c r="AB45" s="1" t="s">
        <v>49</v>
      </c>
      <c r="AC45" s="1" t="s">
        <v>311</v>
      </c>
      <c r="AD45" s="1">
        <v>1</v>
      </c>
      <c r="AE45" s="1"/>
      <c r="AF45" s="1"/>
    </row>
    <row r="46" spans="1:32" x14ac:dyDescent="0.3">
      <c r="A46" s="27"/>
      <c r="B46" s="1" t="s">
        <v>31</v>
      </c>
      <c r="C46" s="1" t="str" cm="1">
        <f t="array" ref="C46">UPPER(INDEX(_xlfn.TEXTSPLIT($D46, "-"), 3))</f>
        <v>BDP</v>
      </c>
      <c r="D46" s="1" t="s">
        <v>270</v>
      </c>
      <c r="E46" s="1" t="s">
        <v>23</v>
      </c>
      <c r="F46" s="1" t="s">
        <v>286</v>
      </c>
      <c r="G46" s="1" t="s">
        <v>287</v>
      </c>
      <c r="H46" s="10" t="s">
        <v>195</v>
      </c>
      <c r="I46" s="1">
        <v>2</v>
      </c>
      <c r="J46" s="1">
        <v>8</v>
      </c>
      <c r="K46" s="1" t="s">
        <v>302</v>
      </c>
      <c r="L46" s="1" t="s">
        <v>181</v>
      </c>
      <c r="M46" s="1" t="s">
        <v>190</v>
      </c>
      <c r="N46" s="1" t="s">
        <v>378</v>
      </c>
      <c r="O46" s="1" t="str">
        <f t="shared" si="4"/>
        <v>d-bdp-crkap01-osdisk</v>
      </c>
      <c r="P46" s="1">
        <v>64</v>
      </c>
      <c r="Q46" s="1" t="s">
        <v>290</v>
      </c>
      <c r="R46" s="1"/>
      <c r="S46" s="1"/>
      <c r="T46" s="1"/>
      <c r="U46" s="1" t="str">
        <f t="shared" si="5"/>
        <v>d-bdp-crkap01-nic</v>
      </c>
      <c r="V46" s="1" t="b">
        <v>1</v>
      </c>
      <c r="W46" s="1" t="b">
        <v>1</v>
      </c>
      <c r="X46" s="1" t="s">
        <v>49</v>
      </c>
      <c r="Y46" s="1" t="s">
        <v>187</v>
      </c>
      <c r="Z46" s="1" t="s">
        <v>273</v>
      </c>
      <c r="AA46" s="1" t="b">
        <v>1</v>
      </c>
      <c r="AB46" s="1" t="s">
        <v>49</v>
      </c>
      <c r="AC46" s="1" t="s">
        <v>311</v>
      </c>
      <c r="AD46" s="1">
        <v>1</v>
      </c>
      <c r="AE46" s="1"/>
      <c r="AF46" s="1"/>
    </row>
    <row r="47" spans="1:32" x14ac:dyDescent="0.3">
      <c r="A47" s="27"/>
      <c r="B47" s="1" t="s">
        <v>31</v>
      </c>
      <c r="C47" s="1" t="str" cm="1">
        <f t="array" ref="C47">UPPER(INDEX(_xlfn.TEXTSPLIT($D47, "-"), 3))</f>
        <v>BDP</v>
      </c>
      <c r="D47" s="1" t="s">
        <v>270</v>
      </c>
      <c r="E47" s="1" t="s">
        <v>23</v>
      </c>
      <c r="F47" s="1" t="s">
        <v>288</v>
      </c>
      <c r="G47" s="1" t="s">
        <v>289</v>
      </c>
      <c r="H47" s="1" t="s">
        <v>195</v>
      </c>
      <c r="I47" s="1">
        <v>2</v>
      </c>
      <c r="J47" s="1">
        <v>8</v>
      </c>
      <c r="K47" s="1" t="s">
        <v>302</v>
      </c>
      <c r="L47" s="9" t="s">
        <v>181</v>
      </c>
      <c r="M47" s="1" t="s">
        <v>190</v>
      </c>
      <c r="N47" s="1" t="s">
        <v>378</v>
      </c>
      <c r="O47" s="1" t="str">
        <f t="shared" si="4"/>
        <v>d-bdp-crkml01-osdisk</v>
      </c>
      <c r="P47" s="1">
        <v>64</v>
      </c>
      <c r="Q47" s="1" t="s">
        <v>290</v>
      </c>
      <c r="R47" s="1"/>
      <c r="S47" s="1"/>
      <c r="T47" s="1"/>
      <c r="U47" s="1" t="str">
        <f t="shared" si="5"/>
        <v>d-bdp-crkml01-nic</v>
      </c>
      <c r="V47" s="1" t="b">
        <v>1</v>
      </c>
      <c r="W47" s="1" t="b">
        <v>1</v>
      </c>
      <c r="X47" s="1" t="s">
        <v>49</v>
      </c>
      <c r="Y47" s="1" t="s">
        <v>187</v>
      </c>
      <c r="Z47" s="1" t="s">
        <v>273</v>
      </c>
      <c r="AA47" s="1" t="b">
        <v>1</v>
      </c>
      <c r="AB47" s="1" t="s">
        <v>49</v>
      </c>
      <c r="AC47" s="1" t="s">
        <v>311</v>
      </c>
      <c r="AD47" s="1">
        <v>1</v>
      </c>
      <c r="AE47" s="1"/>
      <c r="AF47" s="1"/>
    </row>
    <row r="48" spans="1:32" x14ac:dyDescent="0.3">
      <c r="A48" s="27"/>
      <c r="B48" s="1" t="s">
        <v>31</v>
      </c>
      <c r="C48" s="1" t="str" cm="1">
        <f t="array" ref="C48">UPPER(INDEX(_xlfn.TEXTSPLIT($D48, "-"), 3))</f>
        <v>COM</v>
      </c>
      <c r="D48" s="1" t="s">
        <v>50</v>
      </c>
      <c r="E48" s="1" t="s">
        <v>23</v>
      </c>
      <c r="F48" s="1" t="s">
        <v>374</v>
      </c>
      <c r="G48" s="1" t="s">
        <v>375</v>
      </c>
      <c r="H48" s="10" t="s">
        <v>376</v>
      </c>
      <c r="I48" s="1">
        <v>2</v>
      </c>
      <c r="J48" s="1">
        <v>8</v>
      </c>
      <c r="K48" s="1" t="s">
        <v>302</v>
      </c>
      <c r="L48" s="9" t="s">
        <v>182</v>
      </c>
      <c r="M48" s="9" t="s">
        <v>377</v>
      </c>
      <c r="N48" s="1" t="s">
        <v>379</v>
      </c>
      <c r="O48" s="1" t="str">
        <f t="shared" ref="O48:O53" si="6">SUBSTITUTE(F48,"hazr-","")&amp;"-osdisk"</f>
        <v>d-com-esnweb01-osdisk</v>
      </c>
      <c r="P48" s="1">
        <v>64</v>
      </c>
      <c r="Q48" s="1" t="s">
        <v>290</v>
      </c>
      <c r="R48" s="1"/>
      <c r="S48" s="1"/>
      <c r="T48" s="1"/>
      <c r="U48" s="1" t="str">
        <f t="shared" ref="U48:U53" si="7">SUBSTITUTE(F48,"hazr-","")&amp;"-nic"</f>
        <v>d-com-esnweb01-nic</v>
      </c>
      <c r="V48" s="1" t="b">
        <v>1</v>
      </c>
      <c r="W48" s="1" t="b">
        <v>1</v>
      </c>
      <c r="X48" s="1" t="s">
        <v>49</v>
      </c>
      <c r="Y48" s="1" t="s">
        <v>56</v>
      </c>
      <c r="Z48" s="1" t="s">
        <v>82</v>
      </c>
      <c r="AA48" s="1" t="b">
        <v>1</v>
      </c>
      <c r="AB48" s="1" t="s">
        <v>49</v>
      </c>
      <c r="AC48" s="1" t="s">
        <v>311</v>
      </c>
      <c r="AD48" s="1">
        <v>1</v>
      </c>
      <c r="AE48" s="1"/>
      <c r="AF48" s="1"/>
    </row>
    <row r="49" spans="1:32" x14ac:dyDescent="0.3">
      <c r="A49" s="27"/>
      <c r="B49" s="1" t="s">
        <v>31</v>
      </c>
      <c r="C49" s="1" t="str" cm="1">
        <f t="array" ref="C49">UPPER(INDEX(_xlfn.TEXTSPLIT($D49, "-"), 3))</f>
        <v>COM</v>
      </c>
      <c r="D49" s="1" t="s">
        <v>50</v>
      </c>
      <c r="E49" s="1" t="s">
        <v>23</v>
      </c>
      <c r="F49" s="1" t="s">
        <v>392</v>
      </c>
      <c r="G49" s="1" t="s">
        <v>381</v>
      </c>
      <c r="H49" s="10" t="s">
        <v>184</v>
      </c>
      <c r="I49" s="1">
        <v>2</v>
      </c>
      <c r="J49" s="1">
        <v>8</v>
      </c>
      <c r="K49" s="1" t="s">
        <v>302</v>
      </c>
      <c r="L49" s="9" t="s">
        <v>182</v>
      </c>
      <c r="M49" s="9" t="s">
        <v>377</v>
      </c>
      <c r="N49" s="1" t="s">
        <v>379</v>
      </c>
      <c r="O49" s="1" t="str">
        <f t="shared" si="6"/>
        <v>d-com-esnap01-osdisk</v>
      </c>
      <c r="P49" s="1">
        <v>64</v>
      </c>
      <c r="Q49" s="1" t="s">
        <v>290</v>
      </c>
      <c r="R49" s="1"/>
      <c r="S49" s="1"/>
      <c r="T49" s="1"/>
      <c r="U49" s="1" t="str">
        <f t="shared" si="7"/>
        <v>d-com-esnap01-nic</v>
      </c>
      <c r="V49" s="1" t="b">
        <v>1</v>
      </c>
      <c r="W49" s="1" t="b">
        <v>1</v>
      </c>
      <c r="X49" s="1" t="s">
        <v>49</v>
      </c>
      <c r="Y49" s="1" t="s">
        <v>57</v>
      </c>
      <c r="Z49" s="1" t="s">
        <v>160</v>
      </c>
      <c r="AA49" s="1" t="b">
        <v>1</v>
      </c>
      <c r="AB49" s="1" t="s">
        <v>49</v>
      </c>
      <c r="AC49" s="1" t="s">
        <v>311</v>
      </c>
      <c r="AD49" s="1">
        <v>1</v>
      </c>
      <c r="AE49" s="1"/>
      <c r="AF49" s="1"/>
    </row>
    <row r="50" spans="1:32" x14ac:dyDescent="0.3">
      <c r="A50" s="27"/>
      <c r="B50" s="1" t="s">
        <v>31</v>
      </c>
      <c r="C50" s="1" t="str" cm="1">
        <f t="array" ref="C50">UPPER(INDEX(_xlfn.TEXTSPLIT($D50, "-"), 3))</f>
        <v>COM</v>
      </c>
      <c r="D50" s="1" t="s">
        <v>50</v>
      </c>
      <c r="E50" s="1" t="s">
        <v>23</v>
      </c>
      <c r="F50" s="1" t="s">
        <v>382</v>
      </c>
      <c r="G50" s="1" t="s">
        <v>383</v>
      </c>
      <c r="H50" s="10" t="s">
        <v>184</v>
      </c>
      <c r="I50" s="1">
        <v>2</v>
      </c>
      <c r="J50" s="1">
        <v>8</v>
      </c>
      <c r="K50" s="1" t="s">
        <v>302</v>
      </c>
      <c r="L50" s="9" t="s">
        <v>182</v>
      </c>
      <c r="M50" s="9" t="s">
        <v>377</v>
      </c>
      <c r="N50" s="1" t="s">
        <v>379</v>
      </c>
      <c r="O50" s="1" t="str">
        <f t="shared" si="6"/>
        <v>d-com-scmsol01-osdisk</v>
      </c>
      <c r="P50" s="1">
        <v>64</v>
      </c>
      <c r="Q50" s="1" t="s">
        <v>290</v>
      </c>
      <c r="R50" s="1"/>
      <c r="S50" s="1"/>
      <c r="T50" s="1"/>
      <c r="U50" s="1" t="str">
        <f t="shared" si="7"/>
        <v>d-com-scmsol01-nic</v>
      </c>
      <c r="V50" s="1" t="b">
        <v>1</v>
      </c>
      <c r="W50" s="1" t="b">
        <v>1</v>
      </c>
      <c r="X50" s="1" t="s">
        <v>49</v>
      </c>
      <c r="Y50" s="1" t="s">
        <v>57</v>
      </c>
      <c r="Z50" s="1" t="s">
        <v>160</v>
      </c>
      <c r="AA50" s="1" t="b">
        <v>1</v>
      </c>
      <c r="AB50" s="1" t="s">
        <v>49</v>
      </c>
      <c r="AC50" s="1" t="s">
        <v>311</v>
      </c>
      <c r="AD50" s="1">
        <v>1</v>
      </c>
      <c r="AE50" s="1"/>
      <c r="AF50" s="1"/>
    </row>
    <row r="51" spans="1:32" x14ac:dyDescent="0.3">
      <c r="A51" s="27"/>
      <c r="B51" s="1" t="s">
        <v>31</v>
      </c>
      <c r="C51" s="1" t="str" cm="1">
        <f t="array" ref="C51">UPPER(INDEX(_xlfn.TEXTSPLIT($D51, "-"), 3))</f>
        <v>DTG</v>
      </c>
      <c r="D51" s="1" t="s">
        <v>54</v>
      </c>
      <c r="E51" s="1" t="s">
        <v>23</v>
      </c>
      <c r="F51" s="1" t="s">
        <v>384</v>
      </c>
      <c r="G51" s="1" t="s">
        <v>385</v>
      </c>
      <c r="H51" s="10" t="s">
        <v>184</v>
      </c>
      <c r="I51" s="1">
        <v>2</v>
      </c>
      <c r="J51" s="1">
        <v>8</v>
      </c>
      <c r="K51" s="1" t="s">
        <v>302</v>
      </c>
      <c r="L51" s="9" t="s">
        <v>182</v>
      </c>
      <c r="M51" s="9" t="s">
        <v>377</v>
      </c>
      <c r="N51" s="1" t="s">
        <v>379</v>
      </c>
      <c r="O51" s="1" t="str">
        <f t="shared" si="6"/>
        <v>d-dtg-bbigeoap01-osdisk</v>
      </c>
      <c r="P51" s="1">
        <v>64</v>
      </c>
      <c r="Q51" s="1" t="s">
        <v>290</v>
      </c>
      <c r="R51" s="1"/>
      <c r="S51" s="1"/>
      <c r="T51" s="1"/>
      <c r="U51" s="1" t="str">
        <f t="shared" si="7"/>
        <v>d-dtg-bbigeoap01-nic</v>
      </c>
      <c r="V51" s="1" t="b">
        <v>1</v>
      </c>
      <c r="W51" s="1" t="b">
        <v>1</v>
      </c>
      <c r="X51" s="1" t="s">
        <v>49</v>
      </c>
      <c r="Y51" s="1" t="s">
        <v>57</v>
      </c>
      <c r="Z51" s="1" t="s">
        <v>119</v>
      </c>
      <c r="AA51" s="1" t="b">
        <v>1</v>
      </c>
      <c r="AB51" s="1" t="s">
        <v>49</v>
      </c>
      <c r="AC51" s="1" t="s">
        <v>311</v>
      </c>
      <c r="AD51" s="1">
        <v>1</v>
      </c>
      <c r="AE51" s="1"/>
      <c r="AF51" s="1"/>
    </row>
    <row r="52" spans="1:32" x14ac:dyDescent="0.3">
      <c r="A52" s="27"/>
      <c r="B52" s="1" t="s">
        <v>31</v>
      </c>
      <c r="C52" s="1" t="str" cm="1">
        <f t="array" ref="C52">UPPER(INDEX(_xlfn.TEXTSPLIT($D52, "-"), 3))</f>
        <v>BDP</v>
      </c>
      <c r="D52" s="1" t="s">
        <v>183</v>
      </c>
      <c r="E52" s="1" t="s">
        <v>23</v>
      </c>
      <c r="F52" s="1" t="s">
        <v>386</v>
      </c>
      <c r="G52" s="1" t="s">
        <v>388</v>
      </c>
      <c r="H52" s="10" t="s">
        <v>390</v>
      </c>
      <c r="I52" s="1">
        <v>4</v>
      </c>
      <c r="J52" s="1">
        <v>16</v>
      </c>
      <c r="K52" s="1" t="s">
        <v>302</v>
      </c>
      <c r="L52" s="9" t="s">
        <v>182</v>
      </c>
      <c r="M52" s="9" t="s">
        <v>377</v>
      </c>
      <c r="N52" s="1" t="s">
        <v>393</v>
      </c>
      <c r="O52" s="1" t="str">
        <f t="shared" si="6"/>
        <v>d-bdp-rlgcweb01-osdisk</v>
      </c>
      <c r="P52" s="1">
        <v>64</v>
      </c>
      <c r="Q52" s="1" t="s">
        <v>290</v>
      </c>
      <c r="R52" s="1"/>
      <c r="S52" s="1"/>
      <c r="T52" s="1"/>
      <c r="U52" s="1" t="str">
        <f t="shared" si="7"/>
        <v>d-bdp-rlgcweb01-nic</v>
      </c>
      <c r="V52" s="1" t="b">
        <v>1</v>
      </c>
      <c r="W52" s="1" t="b">
        <v>1</v>
      </c>
      <c r="X52" s="1" t="s">
        <v>49</v>
      </c>
      <c r="Y52" s="1" t="s">
        <v>56</v>
      </c>
      <c r="Z52" s="1" t="s">
        <v>78</v>
      </c>
      <c r="AA52" s="1" t="b">
        <v>1</v>
      </c>
      <c r="AB52" s="1" t="s">
        <v>49</v>
      </c>
      <c r="AC52" s="1" t="s">
        <v>311</v>
      </c>
      <c r="AD52" s="1">
        <v>1</v>
      </c>
      <c r="AE52" s="1"/>
      <c r="AF52" s="1"/>
    </row>
    <row r="53" spans="1:32" x14ac:dyDescent="0.3">
      <c r="A53" s="27"/>
      <c r="B53" s="1" t="s">
        <v>31</v>
      </c>
      <c r="C53" s="1" t="str" cm="1">
        <f t="array" ref="C53">UPPER(INDEX(_xlfn.TEXTSPLIT($D53, "-"), 3))</f>
        <v>BDP</v>
      </c>
      <c r="D53" s="1" t="s">
        <v>183</v>
      </c>
      <c r="E53" s="1" t="s">
        <v>23</v>
      </c>
      <c r="F53" s="1" t="s">
        <v>387</v>
      </c>
      <c r="G53" s="1" t="s">
        <v>389</v>
      </c>
      <c r="H53" s="10" t="s">
        <v>391</v>
      </c>
      <c r="I53" s="1">
        <v>8</v>
      </c>
      <c r="J53" s="1">
        <v>32</v>
      </c>
      <c r="K53" s="1" t="s">
        <v>302</v>
      </c>
      <c r="L53" s="9" t="s">
        <v>182</v>
      </c>
      <c r="M53" s="9" t="s">
        <v>377</v>
      </c>
      <c r="N53" s="1" t="s">
        <v>393</v>
      </c>
      <c r="O53" s="1" t="str">
        <f t="shared" si="6"/>
        <v>d-bdp-rlgcap01-osdisk</v>
      </c>
      <c r="P53" s="1">
        <v>64</v>
      </c>
      <c r="Q53" s="1" t="s">
        <v>290</v>
      </c>
      <c r="R53" s="1"/>
      <c r="S53" s="1"/>
      <c r="T53" s="1"/>
      <c r="U53" s="1" t="str">
        <f t="shared" si="7"/>
        <v>d-bdp-rlgcap01-nic</v>
      </c>
      <c r="V53" s="1" t="b">
        <v>1</v>
      </c>
      <c r="W53" s="1" t="b">
        <v>1</v>
      </c>
      <c r="X53" s="1" t="s">
        <v>49</v>
      </c>
      <c r="Y53" s="1" t="s">
        <v>57</v>
      </c>
      <c r="Z53" s="1" t="s">
        <v>127</v>
      </c>
      <c r="AA53" s="1" t="b">
        <v>1</v>
      </c>
      <c r="AB53" s="1" t="s">
        <v>49</v>
      </c>
      <c r="AC53" s="1" t="s">
        <v>311</v>
      </c>
      <c r="AD53" s="1">
        <v>1</v>
      </c>
      <c r="AE53" s="1"/>
      <c r="AF53" s="1"/>
    </row>
    <row r="54" spans="1:32" x14ac:dyDescent="0.3">
      <c r="B54" s="1" t="s">
        <v>31</v>
      </c>
      <c r="C54" s="1" t="s">
        <v>394</v>
      </c>
      <c r="D54" s="1" t="s">
        <v>301</v>
      </c>
      <c r="E54" s="1" t="s">
        <v>23</v>
      </c>
      <c r="F54" s="1" t="s">
        <v>395</v>
      </c>
      <c r="G54" s="1" t="s">
        <v>399</v>
      </c>
      <c r="H54" s="10" t="s">
        <v>184</v>
      </c>
      <c r="I54" s="1">
        <v>2</v>
      </c>
      <c r="J54" s="1">
        <v>8</v>
      </c>
      <c r="K54" s="1" t="s">
        <v>302</v>
      </c>
      <c r="L54" s="9" t="s">
        <v>182</v>
      </c>
      <c r="M54" s="9" t="s">
        <v>377</v>
      </c>
      <c r="N54" s="1" t="s">
        <v>403</v>
      </c>
      <c r="O54" s="1" t="str">
        <f>SUBSTITUTE(F54,"hazr-","")&amp;"-osdisk"</f>
        <v>az-d-int-host1-osdisk</v>
      </c>
      <c r="P54" s="1">
        <v>64</v>
      </c>
      <c r="Q54" s="1" t="s">
        <v>290</v>
      </c>
      <c r="R54" s="1"/>
      <c r="S54" s="1"/>
      <c r="T54" s="1"/>
      <c r="U54" s="1" t="str">
        <f>SUBSTITUTE(F54,"hazr-","")&amp;"-nic"</f>
        <v>az-d-int-host1-nic</v>
      </c>
      <c r="V54" s="1" t="b">
        <v>1</v>
      </c>
      <c r="W54" s="1" t="b">
        <v>1</v>
      </c>
      <c r="X54" s="1" t="s">
        <v>49</v>
      </c>
      <c r="Y54" s="1" t="s">
        <v>57</v>
      </c>
      <c r="Z54" s="1" t="s">
        <v>98</v>
      </c>
      <c r="AA54" s="1" t="b">
        <v>1</v>
      </c>
      <c r="AB54" s="1" t="s">
        <v>49</v>
      </c>
      <c r="AC54" s="1" t="s">
        <v>311</v>
      </c>
      <c r="AD54" s="1">
        <v>1</v>
      </c>
      <c r="AE54" s="1"/>
      <c r="AF54" s="1"/>
    </row>
    <row r="55" spans="1:32" x14ac:dyDescent="0.3">
      <c r="B55" s="1" t="s">
        <v>31</v>
      </c>
      <c r="C55" s="1" t="s">
        <v>394</v>
      </c>
      <c r="D55" s="1" t="s">
        <v>301</v>
      </c>
      <c r="E55" s="1" t="s">
        <v>23</v>
      </c>
      <c r="F55" s="1" t="s">
        <v>396</v>
      </c>
      <c r="G55" s="1" t="s">
        <v>400</v>
      </c>
      <c r="H55" s="10" t="s">
        <v>184</v>
      </c>
      <c r="I55" s="1">
        <v>2</v>
      </c>
      <c r="J55" s="1">
        <v>8</v>
      </c>
      <c r="K55" s="1" t="s">
        <v>302</v>
      </c>
      <c r="L55" s="9" t="s">
        <v>182</v>
      </c>
      <c r="M55" s="9" t="s">
        <v>377</v>
      </c>
      <c r="N55" s="1" t="s">
        <v>403</v>
      </c>
      <c r="O55" s="1" t="str">
        <f>SUBSTITUTE(F55,"hazr-","")&amp;"-osdisk"</f>
        <v>az-d-int-host2-osdisk</v>
      </c>
      <c r="P55" s="1">
        <v>64</v>
      </c>
      <c r="Q55" s="1" t="s">
        <v>290</v>
      </c>
      <c r="R55" s="1"/>
      <c r="S55" s="1"/>
      <c r="T55" s="1"/>
      <c r="U55" s="1" t="str">
        <f>SUBSTITUTE(F55,"hazr-","")&amp;"-nic"</f>
        <v>az-d-int-host2-nic</v>
      </c>
      <c r="V55" s="1" t="b">
        <v>1</v>
      </c>
      <c r="W55" s="1" t="b">
        <v>1</v>
      </c>
      <c r="X55" s="1" t="s">
        <v>49</v>
      </c>
      <c r="Y55" s="1" t="s">
        <v>57</v>
      </c>
      <c r="Z55" s="1" t="s">
        <v>404</v>
      </c>
      <c r="AA55" s="1" t="b">
        <v>1</v>
      </c>
      <c r="AB55" s="1" t="s">
        <v>49</v>
      </c>
      <c r="AC55" s="1" t="s">
        <v>311</v>
      </c>
      <c r="AD55" s="1">
        <v>1</v>
      </c>
      <c r="AE55" s="1"/>
      <c r="AF55" s="1"/>
    </row>
    <row r="56" spans="1:32" x14ac:dyDescent="0.3">
      <c r="B56" s="1" t="s">
        <v>31</v>
      </c>
      <c r="C56" s="1" t="s">
        <v>394</v>
      </c>
      <c r="D56" s="1" t="s">
        <v>301</v>
      </c>
      <c r="E56" s="1" t="s">
        <v>23</v>
      </c>
      <c r="F56" s="1" t="s">
        <v>397</v>
      </c>
      <c r="G56" s="1" t="s">
        <v>401</v>
      </c>
      <c r="H56" s="10" t="s">
        <v>184</v>
      </c>
      <c r="I56" s="1">
        <v>2</v>
      </c>
      <c r="J56" s="1">
        <v>8</v>
      </c>
      <c r="K56" s="1" t="s">
        <v>302</v>
      </c>
      <c r="L56" s="9" t="s">
        <v>182</v>
      </c>
      <c r="M56" s="9" t="s">
        <v>377</v>
      </c>
      <c r="N56" s="1" t="s">
        <v>403</v>
      </c>
      <c r="O56" s="1" t="str">
        <f>SUBSTITUTE(F56,"hazr-","")&amp;"-osdisk"</f>
        <v>az-d-int-host3-osdisk</v>
      </c>
      <c r="P56" s="1">
        <v>64</v>
      </c>
      <c r="Q56" s="1" t="s">
        <v>290</v>
      </c>
      <c r="R56" s="1"/>
      <c r="S56" s="1"/>
      <c r="T56" s="1"/>
      <c r="U56" s="1" t="str">
        <f>SUBSTITUTE(F56,"hazr-","")&amp;"-nic"</f>
        <v>az-d-int-host3-nic</v>
      </c>
      <c r="V56" s="1" t="b">
        <v>1</v>
      </c>
      <c r="W56" s="1" t="b">
        <v>1</v>
      </c>
      <c r="X56" s="1" t="s">
        <v>49</v>
      </c>
      <c r="Y56" s="1" t="s">
        <v>57</v>
      </c>
      <c r="Z56" s="1" t="s">
        <v>404</v>
      </c>
      <c r="AA56" s="1" t="b">
        <v>1</v>
      </c>
      <c r="AB56" s="1" t="s">
        <v>49</v>
      </c>
      <c r="AC56" s="1" t="s">
        <v>311</v>
      </c>
      <c r="AD56" s="1">
        <v>1</v>
      </c>
      <c r="AE56" s="1"/>
      <c r="AF56" s="1"/>
    </row>
    <row r="57" spans="1:32" x14ac:dyDescent="0.3">
      <c r="B57" s="1" t="s">
        <v>31</v>
      </c>
      <c r="C57" s="1" t="s">
        <v>394</v>
      </c>
      <c r="D57" s="1" t="s">
        <v>301</v>
      </c>
      <c r="E57" s="1" t="s">
        <v>23</v>
      </c>
      <c r="F57" s="1" t="s">
        <v>398</v>
      </c>
      <c r="G57" s="1" t="s">
        <v>402</v>
      </c>
      <c r="H57" s="10" t="s">
        <v>184</v>
      </c>
      <c r="I57" s="1">
        <v>2</v>
      </c>
      <c r="J57" s="1">
        <v>8</v>
      </c>
      <c r="K57" s="1" t="s">
        <v>302</v>
      </c>
      <c r="L57" s="9" t="s">
        <v>182</v>
      </c>
      <c r="M57" s="9" t="s">
        <v>377</v>
      </c>
      <c r="N57" s="1" t="s">
        <v>403</v>
      </c>
      <c r="O57" s="1" t="str">
        <f>SUBSTITUTE(F57,"hazr-","")&amp;"-osdisk"</f>
        <v>az-d-int-host4-osdisk</v>
      </c>
      <c r="P57" s="1">
        <v>64</v>
      </c>
      <c r="Q57" s="1" t="s">
        <v>290</v>
      </c>
      <c r="R57" s="1"/>
      <c r="S57" s="1"/>
      <c r="T57" s="1"/>
      <c r="U57" s="1" t="str">
        <f>SUBSTITUTE(F57,"hazr-","")&amp;"-nic"</f>
        <v>az-d-int-host4-nic</v>
      </c>
      <c r="V57" s="1" t="b">
        <v>1</v>
      </c>
      <c r="W57" s="1" t="b">
        <v>1</v>
      </c>
      <c r="X57" s="1" t="s">
        <v>49</v>
      </c>
      <c r="Y57" s="1" t="s">
        <v>57</v>
      </c>
      <c r="Z57" s="1" t="s">
        <v>98</v>
      </c>
      <c r="AA57" s="1" t="b">
        <v>1</v>
      </c>
      <c r="AB57" s="1" t="s">
        <v>49</v>
      </c>
      <c r="AC57" s="1" t="s">
        <v>311</v>
      </c>
      <c r="AD57" s="1">
        <v>1</v>
      </c>
      <c r="AE57" s="1"/>
      <c r="AF57" s="1"/>
    </row>
  </sheetData>
  <phoneticPr fontId="1" type="noConversion"/>
  <pageMargins left="0.7" right="0.7" top="0.75" bottom="0.75" header="0.3" footer="0.3"/>
  <pageSetup paperSize="9" scale="63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81E7-0665-4BB7-80DB-4208A01A998B}">
  <sheetPr>
    <tabColor rgb="FF00B050"/>
  </sheetPr>
  <dimension ref="A1:R53"/>
  <sheetViews>
    <sheetView topLeftCell="A31" workbookViewId="0">
      <selection activeCell="A47" sqref="A47:A53"/>
    </sheetView>
  </sheetViews>
  <sheetFormatPr defaultRowHeight="16.5" x14ac:dyDescent="0.3"/>
  <cols>
    <col min="1" max="1" width="4.625" style="18" customWidth="1"/>
    <col min="2" max="2" width="5.75" style="18" bestFit="1" customWidth="1"/>
    <col min="3" max="3" width="9.375" style="18" bestFit="1" customWidth="1"/>
    <col min="4" max="4" width="17.625" style="18" bestFit="1" customWidth="1"/>
    <col min="5" max="5" width="17.625" style="18" customWidth="1"/>
    <col min="6" max="6" width="19.875" style="18" bestFit="1" customWidth="1"/>
    <col min="7" max="7" width="21.5" style="18" bestFit="1" customWidth="1"/>
    <col min="8" max="8" width="15" style="18" bestFit="1" customWidth="1"/>
    <col min="9" max="9" width="12.25" style="18" customWidth="1"/>
    <col min="10" max="10" width="21.5" style="18" bestFit="1" customWidth="1"/>
    <col min="11" max="11" width="15" style="18" bestFit="1" customWidth="1"/>
    <col min="12" max="17" width="14.125" style="18" customWidth="1"/>
  </cols>
  <sheetData>
    <row r="1" spans="1:18" x14ac:dyDescent="0.3">
      <c r="A1" s="19"/>
      <c r="B1" s="20" t="s">
        <v>0</v>
      </c>
      <c r="C1" s="20" t="s">
        <v>1</v>
      </c>
      <c r="D1" s="15" t="s">
        <v>2</v>
      </c>
      <c r="E1" s="15" t="s">
        <v>3</v>
      </c>
      <c r="F1" s="15" t="s">
        <v>303</v>
      </c>
      <c r="G1" s="15" t="s">
        <v>305</v>
      </c>
      <c r="H1" s="15" t="s">
        <v>307</v>
      </c>
      <c r="I1" s="15" t="s">
        <v>308</v>
      </c>
      <c r="J1" s="15" t="s">
        <v>306</v>
      </c>
      <c r="K1" s="15" t="s">
        <v>309</v>
      </c>
      <c r="L1" s="15" t="s">
        <v>310</v>
      </c>
      <c r="M1" s="15" t="s">
        <v>304</v>
      </c>
      <c r="N1" s="15" t="s">
        <v>313</v>
      </c>
      <c r="O1" s="15" t="s">
        <v>315</v>
      </c>
      <c r="P1" s="15" t="s">
        <v>48</v>
      </c>
      <c r="Q1" s="15" t="s">
        <v>312</v>
      </c>
      <c r="R1" s="7" t="s">
        <v>30</v>
      </c>
    </row>
    <row r="2" spans="1:18" x14ac:dyDescent="0.3">
      <c r="A2" s="21"/>
      <c r="B2" s="16" t="s">
        <v>31</v>
      </c>
      <c r="C2" s="16" t="str" cm="1">
        <f t="array" ref="C2">UPPER(INDEX(_xlfn.TEXTSPLIT($D2, "-"), 3))</f>
        <v>DIS</v>
      </c>
      <c r="D2" s="16" t="s">
        <v>52</v>
      </c>
      <c r="E2" s="22" t="s">
        <v>23</v>
      </c>
      <c r="F2" s="16" t="s">
        <v>186</v>
      </c>
      <c r="G2" s="16" t="str">
        <f>SUBSTITUTE($F2,"hazr-","")&amp;"-disk01"</f>
        <v>d-dis-ap01-disk01</v>
      </c>
      <c r="H2" s="16" t="s">
        <v>290</v>
      </c>
      <c r="I2" s="16">
        <v>64</v>
      </c>
      <c r="J2" s="16" t="str">
        <f>SUBSTITUTE($F2,"hazr-","")&amp;"-disk02"</f>
        <v>d-dis-ap01-disk02</v>
      </c>
      <c r="K2" s="16" t="s">
        <v>290</v>
      </c>
      <c r="L2" s="16">
        <v>64</v>
      </c>
      <c r="M2" s="16">
        <v>1</v>
      </c>
      <c r="N2" s="16" t="s">
        <v>314</v>
      </c>
      <c r="O2" s="16" t="s">
        <v>49</v>
      </c>
      <c r="P2" s="16" t="s">
        <v>311</v>
      </c>
      <c r="Q2" s="16" t="b">
        <v>1</v>
      </c>
      <c r="R2" s="14"/>
    </row>
    <row r="3" spans="1:18" x14ac:dyDescent="0.3">
      <c r="A3" s="23"/>
      <c r="B3" s="17" t="s">
        <v>31</v>
      </c>
      <c r="C3" s="17" t="str" cm="1">
        <f t="array" ref="C3">UPPER(INDEX(_xlfn.TEXTSPLIT($D3, "-"), 3))</f>
        <v>DIS</v>
      </c>
      <c r="D3" s="17" t="s">
        <v>185</v>
      </c>
      <c r="E3" s="24" t="s">
        <v>23</v>
      </c>
      <c r="F3" s="17" t="s">
        <v>191</v>
      </c>
      <c r="G3" s="17" t="str">
        <f t="shared" ref="G3:G44" si="0">SUBSTITUTE($F3,"hazr-","")&amp;"-disk01"</f>
        <v>d-dis-adm01-disk01</v>
      </c>
      <c r="H3" s="17" t="s">
        <v>290</v>
      </c>
      <c r="I3" s="17">
        <v>64</v>
      </c>
      <c r="J3" s="17" t="str">
        <f t="shared" ref="J3:J44" si="1">SUBSTITUTE($F3,"hazr-","")&amp;"-disk02"</f>
        <v>d-dis-adm01-disk02</v>
      </c>
      <c r="K3" s="17" t="s">
        <v>290</v>
      </c>
      <c r="L3" s="17">
        <v>64</v>
      </c>
      <c r="M3" s="17">
        <v>1</v>
      </c>
      <c r="N3" s="17" t="s">
        <v>314</v>
      </c>
      <c r="O3" s="17" t="s">
        <v>49</v>
      </c>
      <c r="P3" s="17" t="s">
        <v>311</v>
      </c>
      <c r="Q3" s="17" t="b">
        <v>1</v>
      </c>
      <c r="R3" s="8"/>
    </row>
    <row r="4" spans="1:18" x14ac:dyDescent="0.3">
      <c r="A4" s="21"/>
      <c r="B4" s="16" t="s">
        <v>31</v>
      </c>
      <c r="C4" s="16" t="str" cm="1">
        <f t="array" ref="C4">UPPER(INDEX(_xlfn.TEXTSPLIT($D4, "-"), 3))</f>
        <v>DIS</v>
      </c>
      <c r="D4" s="16" t="s">
        <v>185</v>
      </c>
      <c r="E4" s="22" t="s">
        <v>23</v>
      </c>
      <c r="F4" s="16" t="s">
        <v>193</v>
      </c>
      <c r="G4" s="16" t="str">
        <f t="shared" si="0"/>
        <v>d-dis-bbiweb01-disk01</v>
      </c>
      <c r="H4" s="16" t="s">
        <v>290</v>
      </c>
      <c r="I4" s="16">
        <v>64</v>
      </c>
      <c r="J4" s="16" t="str">
        <f t="shared" si="1"/>
        <v>d-dis-bbiweb01-disk02</v>
      </c>
      <c r="K4" s="16" t="s">
        <v>290</v>
      </c>
      <c r="L4" s="16">
        <v>64</v>
      </c>
      <c r="M4" s="16">
        <v>1</v>
      </c>
      <c r="N4" s="16" t="s">
        <v>314</v>
      </c>
      <c r="O4" s="16" t="s">
        <v>49</v>
      </c>
      <c r="P4" s="16" t="s">
        <v>311</v>
      </c>
      <c r="Q4" s="16" t="b">
        <v>1</v>
      </c>
      <c r="R4" s="14"/>
    </row>
    <row r="5" spans="1:18" x14ac:dyDescent="0.3">
      <c r="A5" s="23"/>
      <c r="B5" s="17" t="s">
        <v>31</v>
      </c>
      <c r="C5" s="17" t="str" cm="1">
        <f t="array" ref="C5">UPPER(INDEX(_xlfn.TEXTSPLIT($D5, "-"), 3))</f>
        <v>DIS</v>
      </c>
      <c r="D5" s="17" t="s">
        <v>185</v>
      </c>
      <c r="E5" s="24" t="s">
        <v>23</v>
      </c>
      <c r="F5" s="17" t="s">
        <v>198</v>
      </c>
      <c r="G5" s="17" t="str">
        <f t="shared" si="0"/>
        <v>d-dis-bbicltap01-disk01</v>
      </c>
      <c r="H5" s="17" t="s">
        <v>290</v>
      </c>
      <c r="I5" s="17">
        <v>64</v>
      </c>
      <c r="J5" s="17" t="str">
        <f t="shared" si="1"/>
        <v>d-dis-bbicltap01-disk02</v>
      </c>
      <c r="K5" s="17" t="s">
        <v>290</v>
      </c>
      <c r="L5" s="17">
        <v>64</v>
      </c>
      <c r="M5" s="17">
        <v>1</v>
      </c>
      <c r="N5" s="17" t="s">
        <v>314</v>
      </c>
      <c r="O5" s="17" t="s">
        <v>49</v>
      </c>
      <c r="P5" s="17" t="s">
        <v>311</v>
      </c>
      <c r="Q5" s="17" t="b">
        <v>1</v>
      </c>
      <c r="R5" s="8"/>
    </row>
    <row r="6" spans="1:18" x14ac:dyDescent="0.3">
      <c r="A6" s="21"/>
      <c r="B6" s="16" t="s">
        <v>31</v>
      </c>
      <c r="C6" s="16" t="str" cm="1">
        <f t="array" ref="C6">UPPER(INDEX(_xlfn.TEXTSPLIT($D6, "-"), 3))</f>
        <v>DIS</v>
      </c>
      <c r="D6" s="16" t="s">
        <v>185</v>
      </c>
      <c r="E6" s="22" t="s">
        <v>23</v>
      </c>
      <c r="F6" s="16" t="s">
        <v>200</v>
      </c>
      <c r="G6" s="16" t="str">
        <f t="shared" si="0"/>
        <v>d-dis-bbimsgap01-disk01</v>
      </c>
      <c r="H6" s="16" t="s">
        <v>290</v>
      </c>
      <c r="I6" s="16">
        <v>64</v>
      </c>
      <c r="J6" s="16" t="str">
        <f t="shared" si="1"/>
        <v>d-dis-bbimsgap01-disk02</v>
      </c>
      <c r="K6" s="16" t="s">
        <v>290</v>
      </c>
      <c r="L6" s="16">
        <v>64</v>
      </c>
      <c r="M6" s="16">
        <v>1</v>
      </c>
      <c r="N6" s="16" t="s">
        <v>314</v>
      </c>
      <c r="O6" s="16" t="s">
        <v>49</v>
      </c>
      <c r="P6" s="16" t="s">
        <v>311</v>
      </c>
      <c r="Q6" s="16" t="b">
        <v>1</v>
      </c>
      <c r="R6" s="14"/>
    </row>
    <row r="7" spans="1:18" x14ac:dyDescent="0.3">
      <c r="A7" s="21"/>
      <c r="B7" s="16" t="s">
        <v>31</v>
      </c>
      <c r="C7" s="16" t="str" cm="1">
        <f t="array" ref="C7">UPPER(INDEX(_xlfn.TEXTSPLIT($D7, "-"), 3))</f>
        <v>DIS</v>
      </c>
      <c r="D7" s="16" t="s">
        <v>185</v>
      </c>
      <c r="E7" s="22" t="s">
        <v>23</v>
      </c>
      <c r="F7" s="16" t="s">
        <v>202</v>
      </c>
      <c r="G7" s="16" t="str">
        <f t="shared" si="0"/>
        <v>d-dis-bat01-disk01</v>
      </c>
      <c r="H7" s="16" t="s">
        <v>290</v>
      </c>
      <c r="I7" s="16">
        <v>64</v>
      </c>
      <c r="J7" s="16" t="str">
        <f t="shared" si="1"/>
        <v>d-dis-bat01-disk02</v>
      </c>
      <c r="K7" s="16" t="s">
        <v>290</v>
      </c>
      <c r="L7" s="16">
        <v>64</v>
      </c>
      <c r="M7" s="16">
        <v>1</v>
      </c>
      <c r="N7" s="16" t="s">
        <v>314</v>
      </c>
      <c r="O7" s="16" t="s">
        <v>49</v>
      </c>
      <c r="P7" s="16" t="s">
        <v>311</v>
      </c>
      <c r="Q7" s="16" t="b">
        <v>1</v>
      </c>
      <c r="R7" s="14"/>
    </row>
    <row r="8" spans="1:18" x14ac:dyDescent="0.3">
      <c r="A8" s="23"/>
      <c r="B8" s="16" t="s">
        <v>31</v>
      </c>
      <c r="C8" s="16" t="str" cm="1">
        <f t="array" ref="C8">UPPER(INDEX(_xlfn.TEXTSPLIT($D8, "-"), 3))</f>
        <v>DIS</v>
      </c>
      <c r="D8" s="16" t="s">
        <v>185</v>
      </c>
      <c r="E8" s="22" t="s">
        <v>23</v>
      </c>
      <c r="F8" s="16" t="s">
        <v>204</v>
      </c>
      <c r="G8" s="16" t="str">
        <f t="shared" si="0"/>
        <v>d-dis-drvcltap01-disk01</v>
      </c>
      <c r="H8" s="16" t="s">
        <v>290</v>
      </c>
      <c r="I8" s="16">
        <v>64</v>
      </c>
      <c r="J8" s="16" t="str">
        <f t="shared" si="1"/>
        <v>d-dis-drvcltap01-disk02</v>
      </c>
      <c r="K8" s="16" t="s">
        <v>290</v>
      </c>
      <c r="L8" s="16">
        <v>64</v>
      </c>
      <c r="M8" s="16">
        <v>1</v>
      </c>
      <c r="N8" s="16" t="s">
        <v>314</v>
      </c>
      <c r="O8" s="16" t="s">
        <v>49</v>
      </c>
      <c r="P8" s="16" t="s">
        <v>311</v>
      </c>
      <c r="Q8" s="16" t="b">
        <v>1</v>
      </c>
      <c r="R8" s="14"/>
    </row>
    <row r="9" spans="1:18" x14ac:dyDescent="0.3">
      <c r="A9" s="23"/>
      <c r="B9" s="16" t="s">
        <v>31</v>
      </c>
      <c r="C9" s="16" t="str" cm="1">
        <f t="array" ref="C9">UPPER(INDEX(_xlfn.TEXTSPLIT($D9, "-"), 3))</f>
        <v>DIS</v>
      </c>
      <c r="D9" s="16" t="s">
        <v>185</v>
      </c>
      <c r="E9" s="22" t="s">
        <v>23</v>
      </c>
      <c r="F9" s="16" t="s">
        <v>206</v>
      </c>
      <c r="G9" s="16" t="str">
        <f t="shared" si="0"/>
        <v>d-dis-drvmsgap01-disk01</v>
      </c>
      <c r="H9" s="16" t="s">
        <v>290</v>
      </c>
      <c r="I9" s="16">
        <v>64</v>
      </c>
      <c r="J9" s="16" t="str">
        <f t="shared" si="1"/>
        <v>d-dis-drvmsgap01-disk02</v>
      </c>
      <c r="K9" s="16" t="s">
        <v>290</v>
      </c>
      <c r="L9" s="16">
        <v>64</v>
      </c>
      <c r="M9" s="16">
        <v>1</v>
      </c>
      <c r="N9" s="16" t="s">
        <v>314</v>
      </c>
      <c r="O9" s="16" t="s">
        <v>49</v>
      </c>
      <c r="P9" s="16" t="s">
        <v>311</v>
      </c>
      <c r="Q9" s="16" t="b">
        <v>1</v>
      </c>
      <c r="R9" s="14"/>
    </row>
    <row r="10" spans="1:18" x14ac:dyDescent="0.3">
      <c r="A10" s="21"/>
      <c r="B10" s="17" t="s">
        <v>31</v>
      </c>
      <c r="C10" s="17" t="str" cm="1">
        <f t="array" ref="C10">UPPER(INDEX(_xlfn.TEXTSPLIT($D10, "-"), 3))</f>
        <v>DIS</v>
      </c>
      <c r="D10" s="17" t="s">
        <v>185</v>
      </c>
      <c r="E10" s="24" t="s">
        <v>23</v>
      </c>
      <c r="F10" s="17" t="s">
        <v>208</v>
      </c>
      <c r="G10" s="17" t="str">
        <f t="shared" si="0"/>
        <v>d-dis-web01-disk01</v>
      </c>
      <c r="H10" s="17" t="s">
        <v>290</v>
      </c>
      <c r="I10" s="17">
        <v>64</v>
      </c>
      <c r="J10" s="17" t="str">
        <f t="shared" si="1"/>
        <v>d-dis-web01-disk02</v>
      </c>
      <c r="K10" s="17" t="s">
        <v>290</v>
      </c>
      <c r="L10" s="17">
        <v>64</v>
      </c>
      <c r="M10" s="17">
        <v>1</v>
      </c>
      <c r="N10" s="17" t="s">
        <v>314</v>
      </c>
      <c r="O10" s="17" t="s">
        <v>49</v>
      </c>
      <c r="P10" s="17" t="s">
        <v>311</v>
      </c>
      <c r="Q10" s="17" t="b">
        <v>1</v>
      </c>
      <c r="R10" s="8"/>
    </row>
    <row r="11" spans="1:18" x14ac:dyDescent="0.3">
      <c r="A11" s="23"/>
      <c r="B11" s="16" t="s">
        <v>31</v>
      </c>
      <c r="C11" s="16" t="str" cm="1">
        <f t="array" ref="C11">UPPER(INDEX(_xlfn.TEXTSPLIT($D11, "-"), 3))</f>
        <v>DIS</v>
      </c>
      <c r="D11" s="16" t="s">
        <v>185</v>
      </c>
      <c r="E11" s="22" t="s">
        <v>23</v>
      </c>
      <c r="F11" s="16" t="s">
        <v>210</v>
      </c>
      <c r="G11" s="16" t="str">
        <f t="shared" si="0"/>
        <v>d-dis-cmsadm01-disk01</v>
      </c>
      <c r="H11" s="16" t="s">
        <v>290</v>
      </c>
      <c r="I11" s="16">
        <v>64</v>
      </c>
      <c r="J11" s="16" t="str">
        <f t="shared" si="1"/>
        <v>d-dis-cmsadm01-disk02</v>
      </c>
      <c r="K11" s="16" t="s">
        <v>290</v>
      </c>
      <c r="L11" s="16">
        <v>64</v>
      </c>
      <c r="M11" s="16">
        <v>1</v>
      </c>
      <c r="N11" s="16" t="s">
        <v>314</v>
      </c>
      <c r="O11" s="16" t="s">
        <v>49</v>
      </c>
      <c r="P11" s="16" t="s">
        <v>311</v>
      </c>
      <c r="Q11" s="16" t="b">
        <v>1</v>
      </c>
      <c r="R11" s="14"/>
    </row>
    <row r="12" spans="1:18" x14ac:dyDescent="0.3">
      <c r="A12" s="21"/>
      <c r="B12" s="17" t="s">
        <v>31</v>
      </c>
      <c r="C12" s="17" t="str" cm="1">
        <f t="array" ref="C12">UPPER(INDEX(_xlfn.TEXTSPLIT($D12, "-"), 3))</f>
        <v>DIS</v>
      </c>
      <c r="D12" s="17" t="s">
        <v>185</v>
      </c>
      <c r="E12" s="24" t="s">
        <v>23</v>
      </c>
      <c r="F12" s="17" t="s">
        <v>212</v>
      </c>
      <c r="G12" s="17" t="str">
        <f t="shared" si="0"/>
        <v>d-dis-cmsap01-disk01</v>
      </c>
      <c r="H12" s="17" t="s">
        <v>290</v>
      </c>
      <c r="I12" s="17">
        <v>64</v>
      </c>
      <c r="J12" s="17" t="str">
        <f t="shared" si="1"/>
        <v>d-dis-cmsap01-disk02</v>
      </c>
      <c r="K12" s="17" t="s">
        <v>290</v>
      </c>
      <c r="L12" s="17">
        <v>64</v>
      </c>
      <c r="M12" s="17">
        <v>1</v>
      </c>
      <c r="N12" s="17" t="s">
        <v>314</v>
      </c>
      <c r="O12" s="17" t="s">
        <v>49</v>
      </c>
      <c r="P12" s="17" t="s">
        <v>311</v>
      </c>
      <c r="Q12" s="17" t="b">
        <v>1</v>
      </c>
      <c r="R12" s="8"/>
    </row>
    <row r="13" spans="1:18" x14ac:dyDescent="0.3">
      <c r="A13" s="23"/>
      <c r="B13" s="16" t="s">
        <v>31</v>
      </c>
      <c r="C13" s="16" t="str" cm="1">
        <f t="array" ref="C13">UPPER(INDEX(_xlfn.TEXTSPLIT($D13, "-"), 3))</f>
        <v>DIS</v>
      </c>
      <c r="D13" s="16" t="s">
        <v>185</v>
      </c>
      <c r="E13" s="22" t="s">
        <v>23</v>
      </c>
      <c r="F13" s="16" t="s">
        <v>214</v>
      </c>
      <c r="G13" s="16" t="str">
        <f t="shared" si="0"/>
        <v>d-dis-cmsweb01-disk01</v>
      </c>
      <c r="H13" s="16" t="s">
        <v>290</v>
      </c>
      <c r="I13" s="16">
        <v>64</v>
      </c>
      <c r="J13" s="16" t="str">
        <f t="shared" si="1"/>
        <v>d-dis-cmsweb01-disk02</v>
      </c>
      <c r="K13" s="16" t="s">
        <v>290</v>
      </c>
      <c r="L13" s="16">
        <v>64</v>
      </c>
      <c r="M13" s="16">
        <v>1</v>
      </c>
      <c r="N13" s="16" t="s">
        <v>314</v>
      </c>
      <c r="O13" s="16" t="s">
        <v>49</v>
      </c>
      <c r="P13" s="16" t="s">
        <v>311</v>
      </c>
      <c r="Q13" s="16" t="b">
        <v>1</v>
      </c>
      <c r="R13" s="14"/>
    </row>
    <row r="14" spans="1:18" x14ac:dyDescent="0.3">
      <c r="A14" s="21"/>
      <c r="B14" s="17" t="s">
        <v>31</v>
      </c>
      <c r="C14" s="17" t="str" cm="1">
        <f t="array" ref="C14">UPPER(INDEX(_xlfn.TEXTSPLIT($D14, "-"), 3))</f>
        <v>DIS</v>
      </c>
      <c r="D14" s="17" t="s">
        <v>185</v>
      </c>
      <c r="E14" s="24" t="s">
        <v>23</v>
      </c>
      <c r="F14" s="17" t="s">
        <v>216</v>
      </c>
      <c r="G14" s="17" t="str">
        <f t="shared" si="0"/>
        <v>d-dis-cmbsap01-disk01</v>
      </c>
      <c r="H14" s="17" t="s">
        <v>290</v>
      </c>
      <c r="I14" s="17">
        <v>64</v>
      </c>
      <c r="J14" s="17" t="str">
        <f t="shared" si="1"/>
        <v>d-dis-cmbsap01-disk02</v>
      </c>
      <c r="K14" s="17" t="s">
        <v>290</v>
      </c>
      <c r="L14" s="17">
        <v>64</v>
      </c>
      <c r="M14" s="17">
        <v>1</v>
      </c>
      <c r="N14" s="17" t="s">
        <v>314</v>
      </c>
      <c r="O14" s="17" t="s">
        <v>49</v>
      </c>
      <c r="P14" s="17" t="s">
        <v>311</v>
      </c>
      <c r="Q14" s="17" t="b">
        <v>1</v>
      </c>
      <c r="R14" s="8"/>
    </row>
    <row r="15" spans="1:18" x14ac:dyDescent="0.3">
      <c r="A15" s="21"/>
      <c r="B15" s="16" t="s">
        <v>31</v>
      </c>
      <c r="C15" s="16" t="str" cm="1">
        <f t="array" ref="C15">UPPER(INDEX(_xlfn.TEXTSPLIT($D15, "-"), 3))</f>
        <v>DTG</v>
      </c>
      <c r="D15" s="16" t="s">
        <v>218</v>
      </c>
      <c r="E15" s="22" t="s">
        <v>23</v>
      </c>
      <c r="F15" s="16" t="s">
        <v>219</v>
      </c>
      <c r="G15" s="16" t="str">
        <f t="shared" si="0"/>
        <v>d-dtg-ingap01-disk01</v>
      </c>
      <c r="H15" s="16" t="s">
        <v>290</v>
      </c>
      <c r="I15" s="16">
        <v>64</v>
      </c>
      <c r="J15" s="16" t="str">
        <f t="shared" si="1"/>
        <v>d-dtg-ingap01-disk02</v>
      </c>
      <c r="K15" s="16" t="s">
        <v>290</v>
      </c>
      <c r="L15" s="16">
        <v>64</v>
      </c>
      <c r="M15" s="16">
        <v>1</v>
      </c>
      <c r="N15" s="16" t="s">
        <v>314</v>
      </c>
      <c r="O15" s="16" t="s">
        <v>49</v>
      </c>
      <c r="P15" s="16" t="s">
        <v>311</v>
      </c>
      <c r="Q15" s="16" t="b">
        <v>1</v>
      </c>
      <c r="R15" s="14"/>
    </row>
    <row r="16" spans="1:18" x14ac:dyDescent="0.3">
      <c r="A16" s="23"/>
      <c r="B16" s="17" t="s">
        <v>31</v>
      </c>
      <c r="C16" s="17" t="str" cm="1">
        <f t="array" ref="C16">UPPER(INDEX(_xlfn.TEXTSPLIT($D16, "-"), 3))</f>
        <v>DTG</v>
      </c>
      <c r="D16" s="17" t="s">
        <v>218</v>
      </c>
      <c r="E16" s="24" t="s">
        <v>23</v>
      </c>
      <c r="F16" s="17" t="s">
        <v>222</v>
      </c>
      <c r="G16" s="17" t="str">
        <f t="shared" si="0"/>
        <v>d-dtg-ap01-disk01</v>
      </c>
      <c r="H16" s="17" t="s">
        <v>290</v>
      </c>
      <c r="I16" s="17">
        <v>64</v>
      </c>
      <c r="J16" s="17" t="str">
        <f t="shared" si="1"/>
        <v>d-dtg-ap01-disk02</v>
      </c>
      <c r="K16" s="17" t="s">
        <v>290</v>
      </c>
      <c r="L16" s="17">
        <v>64</v>
      </c>
      <c r="M16" s="17">
        <v>1</v>
      </c>
      <c r="N16" s="17" t="s">
        <v>314</v>
      </c>
      <c r="O16" s="17" t="s">
        <v>49</v>
      </c>
      <c r="P16" s="17" t="s">
        <v>311</v>
      </c>
      <c r="Q16" s="17" t="b">
        <v>1</v>
      </c>
      <c r="R16" s="8"/>
    </row>
    <row r="17" spans="1:18" x14ac:dyDescent="0.3">
      <c r="A17" s="21"/>
      <c r="B17" s="16" t="s">
        <v>31</v>
      </c>
      <c r="C17" s="16" t="str" cm="1">
        <f t="array" ref="C17">UPPER(INDEX(_xlfn.TEXTSPLIT($D17, "-"), 3))</f>
        <v>DTG</v>
      </c>
      <c r="D17" s="16" t="s">
        <v>218</v>
      </c>
      <c r="E17" s="22" t="s">
        <v>23</v>
      </c>
      <c r="F17" s="16" t="s">
        <v>224</v>
      </c>
      <c r="G17" s="16" t="str">
        <f t="shared" si="0"/>
        <v>d-dtg-extgeoap01-disk01</v>
      </c>
      <c r="H17" s="16" t="s">
        <v>290</v>
      </c>
      <c r="I17" s="16">
        <v>64</v>
      </c>
      <c r="J17" s="16" t="str">
        <f t="shared" si="1"/>
        <v>d-dtg-extgeoap01-disk02</v>
      </c>
      <c r="K17" s="16" t="s">
        <v>290</v>
      </c>
      <c r="L17" s="16">
        <v>64</v>
      </c>
      <c r="M17" s="16">
        <v>1</v>
      </c>
      <c r="N17" s="16" t="s">
        <v>314</v>
      </c>
      <c r="O17" s="16" t="s">
        <v>49</v>
      </c>
      <c r="P17" s="16" t="s">
        <v>311</v>
      </c>
      <c r="Q17" s="16" t="b">
        <v>1</v>
      </c>
      <c r="R17" s="14"/>
    </row>
    <row r="18" spans="1:18" x14ac:dyDescent="0.3">
      <c r="A18" s="23"/>
      <c r="B18" s="17" t="s">
        <v>31</v>
      </c>
      <c r="C18" s="17" t="str" cm="1">
        <f t="array" ref="C18">UPPER(INDEX(_xlfn.TEXTSPLIT($D18, "-"), 3))</f>
        <v>DTG</v>
      </c>
      <c r="D18" s="17" t="s">
        <v>218</v>
      </c>
      <c r="E18" s="24" t="s">
        <v>23</v>
      </c>
      <c r="F18" s="17" t="s">
        <v>226</v>
      </c>
      <c r="G18" s="17" t="str">
        <f t="shared" si="0"/>
        <v>d-dtg-geoap01-disk01</v>
      </c>
      <c r="H18" s="17" t="s">
        <v>290</v>
      </c>
      <c r="I18" s="17">
        <v>64</v>
      </c>
      <c r="J18" s="17" t="str">
        <f t="shared" si="1"/>
        <v>d-dtg-geoap01-disk02</v>
      </c>
      <c r="K18" s="17" t="s">
        <v>290</v>
      </c>
      <c r="L18" s="17">
        <v>64</v>
      </c>
      <c r="M18" s="17">
        <v>1</v>
      </c>
      <c r="N18" s="17" t="s">
        <v>314</v>
      </c>
      <c r="O18" s="17" t="s">
        <v>49</v>
      </c>
      <c r="P18" s="17" t="s">
        <v>311</v>
      </c>
      <c r="Q18" s="17" t="b">
        <v>1</v>
      </c>
      <c r="R18" s="8"/>
    </row>
    <row r="19" spans="1:18" x14ac:dyDescent="0.3">
      <c r="A19" s="21"/>
      <c r="B19" s="16" t="s">
        <v>31</v>
      </c>
      <c r="C19" s="16" t="str" cm="1">
        <f t="array" ref="C19">UPPER(INDEX(_xlfn.TEXTSPLIT($D19, "-"), 3))</f>
        <v>DTG</v>
      </c>
      <c r="D19" s="16" t="s">
        <v>218</v>
      </c>
      <c r="E19" s="22" t="s">
        <v>23</v>
      </c>
      <c r="F19" s="16" t="s">
        <v>228</v>
      </c>
      <c r="G19" s="16" t="str">
        <f t="shared" si="0"/>
        <v>d-dtg-mq01-disk01</v>
      </c>
      <c r="H19" s="16" t="s">
        <v>290</v>
      </c>
      <c r="I19" s="16">
        <v>64</v>
      </c>
      <c r="J19" s="16" t="str">
        <f t="shared" si="1"/>
        <v>d-dtg-mq01-disk02</v>
      </c>
      <c r="K19" s="16" t="s">
        <v>290</v>
      </c>
      <c r="L19" s="16">
        <v>64</v>
      </c>
      <c r="M19" s="16">
        <v>1</v>
      </c>
      <c r="N19" s="16" t="s">
        <v>314</v>
      </c>
      <c r="O19" s="16" t="s">
        <v>49</v>
      </c>
      <c r="P19" s="16" t="s">
        <v>311</v>
      </c>
      <c r="Q19" s="16" t="b">
        <v>1</v>
      </c>
      <c r="R19" s="14"/>
    </row>
    <row r="20" spans="1:18" x14ac:dyDescent="0.3">
      <c r="A20" s="23"/>
      <c r="B20" s="17" t="s">
        <v>31</v>
      </c>
      <c r="C20" s="17" t="str" cm="1">
        <f t="array" ref="C20">UPPER(INDEX(_xlfn.TEXTSPLIT($D20, "-"), 3))</f>
        <v>DTG</v>
      </c>
      <c r="D20" s="17" t="s">
        <v>218</v>
      </c>
      <c r="E20" s="24" t="s">
        <v>23</v>
      </c>
      <c r="F20" s="17" t="s">
        <v>231</v>
      </c>
      <c r="G20" s="17" t="str">
        <f t="shared" si="0"/>
        <v>d-dtg-admweb01-disk01</v>
      </c>
      <c r="H20" s="17" t="s">
        <v>290</v>
      </c>
      <c r="I20" s="17">
        <v>64</v>
      </c>
      <c r="J20" s="17" t="str">
        <f t="shared" si="1"/>
        <v>d-dtg-admweb01-disk02</v>
      </c>
      <c r="K20" s="17" t="s">
        <v>290</v>
      </c>
      <c r="L20" s="17">
        <v>64</v>
      </c>
      <c r="M20" s="17">
        <v>1</v>
      </c>
      <c r="N20" s="17" t="s">
        <v>314</v>
      </c>
      <c r="O20" s="17" t="s">
        <v>49</v>
      </c>
      <c r="P20" s="17" t="s">
        <v>311</v>
      </c>
      <c r="Q20" s="17" t="b">
        <v>1</v>
      </c>
      <c r="R20" s="8"/>
    </row>
    <row r="21" spans="1:18" x14ac:dyDescent="0.3">
      <c r="A21" s="21"/>
      <c r="B21" s="16" t="s">
        <v>31</v>
      </c>
      <c r="C21" s="16" t="str" cm="1">
        <f t="array" ref="C21">UPPER(INDEX(_xlfn.TEXTSPLIT($D21, "-"), 3))</f>
        <v>DTG</v>
      </c>
      <c r="D21" s="16" t="s">
        <v>218</v>
      </c>
      <c r="E21" s="22" t="s">
        <v>23</v>
      </c>
      <c r="F21" s="16" t="s">
        <v>233</v>
      </c>
      <c r="G21" s="16" t="str">
        <f t="shared" si="0"/>
        <v>d-dtg-admap01-disk01</v>
      </c>
      <c r="H21" s="16" t="s">
        <v>290</v>
      </c>
      <c r="I21" s="16">
        <v>64</v>
      </c>
      <c r="J21" s="16" t="str">
        <f t="shared" si="1"/>
        <v>d-dtg-admap01-disk02</v>
      </c>
      <c r="K21" s="16" t="s">
        <v>290</v>
      </c>
      <c r="L21" s="16">
        <v>64</v>
      </c>
      <c r="M21" s="16">
        <v>1</v>
      </c>
      <c r="N21" s="16" t="s">
        <v>314</v>
      </c>
      <c r="O21" s="16" t="s">
        <v>49</v>
      </c>
      <c r="P21" s="16" t="s">
        <v>311</v>
      </c>
      <c r="Q21" s="16" t="b">
        <v>1</v>
      </c>
      <c r="R21" s="14"/>
    </row>
    <row r="22" spans="1:18" x14ac:dyDescent="0.3">
      <c r="A22" s="23"/>
      <c r="B22" s="17" t="s">
        <v>31</v>
      </c>
      <c r="C22" s="17" t="str" cm="1">
        <f t="array" ref="C22">UPPER(INDEX(_xlfn.TEXTSPLIT($D22, "-"), 3))</f>
        <v>DTG</v>
      </c>
      <c r="D22" s="17" t="s">
        <v>218</v>
      </c>
      <c r="E22" s="24" t="s">
        <v>23</v>
      </c>
      <c r="F22" s="17" t="s">
        <v>235</v>
      </c>
      <c r="G22" s="17" t="str">
        <f t="shared" si="0"/>
        <v>d-dtg-dtoms01-disk01</v>
      </c>
      <c r="H22" s="17" t="s">
        <v>290</v>
      </c>
      <c r="I22" s="17">
        <v>64</v>
      </c>
      <c r="J22" s="17" t="str">
        <f t="shared" si="1"/>
        <v>d-dtg-dtoms01-disk02</v>
      </c>
      <c r="K22" s="17" t="s">
        <v>290</v>
      </c>
      <c r="L22" s="17">
        <v>64</v>
      </c>
      <c r="M22" s="17">
        <v>1</v>
      </c>
      <c r="N22" s="17" t="s">
        <v>314</v>
      </c>
      <c r="O22" s="17" t="s">
        <v>49</v>
      </c>
      <c r="P22" s="17" t="s">
        <v>311</v>
      </c>
      <c r="Q22" s="17" t="b">
        <v>1</v>
      </c>
      <c r="R22" s="8"/>
    </row>
    <row r="23" spans="1:18" x14ac:dyDescent="0.3">
      <c r="A23" s="21"/>
      <c r="B23" s="16" t="s">
        <v>31</v>
      </c>
      <c r="C23" s="16" t="str" cm="1">
        <f t="array" ref="C23">UPPER(INDEX(_xlfn.TEXTSPLIT($D23, "-"), 3))</f>
        <v>DTG</v>
      </c>
      <c r="D23" s="16" t="s">
        <v>218</v>
      </c>
      <c r="E23" s="22" t="s">
        <v>23</v>
      </c>
      <c r="F23" s="16" t="s">
        <v>237</v>
      </c>
      <c r="G23" s="16" t="str">
        <f t="shared" si="0"/>
        <v>d-dtg-tsdb01-disk01</v>
      </c>
      <c r="H23" s="16" t="s">
        <v>290</v>
      </c>
      <c r="I23" s="16">
        <v>256</v>
      </c>
      <c r="J23" s="16" t="str">
        <f t="shared" si="1"/>
        <v>d-dtg-tsdb01-disk02</v>
      </c>
      <c r="K23" s="16" t="s">
        <v>290</v>
      </c>
      <c r="L23" s="16">
        <v>256</v>
      </c>
      <c r="M23" s="16">
        <v>1</v>
      </c>
      <c r="N23" s="16" t="s">
        <v>314</v>
      </c>
      <c r="O23" s="16" t="s">
        <v>49</v>
      </c>
      <c r="P23" s="16" t="s">
        <v>311</v>
      </c>
      <c r="Q23" s="16" t="b">
        <v>1</v>
      </c>
      <c r="R23" s="14"/>
    </row>
    <row r="24" spans="1:18" x14ac:dyDescent="0.3">
      <c r="A24" s="21"/>
      <c r="B24" s="17" t="s">
        <v>31</v>
      </c>
      <c r="C24" s="17" t="str" cm="1">
        <f t="array" ref="C24">UPPER(INDEX(_xlfn.TEXTSPLIT($D24, "-"), 3))</f>
        <v>DTG</v>
      </c>
      <c r="D24" s="17" t="s">
        <v>218</v>
      </c>
      <c r="E24" s="24" t="s">
        <v>23</v>
      </c>
      <c r="F24" s="17" t="s">
        <v>241</v>
      </c>
      <c r="G24" s="17" t="str">
        <f t="shared" si="0"/>
        <v>d-dtg-web01-disk01</v>
      </c>
      <c r="H24" s="17" t="s">
        <v>290</v>
      </c>
      <c r="I24" s="17">
        <v>64</v>
      </c>
      <c r="J24" s="17" t="str">
        <f t="shared" si="1"/>
        <v>d-dtg-web01-disk02</v>
      </c>
      <c r="K24" s="17" t="s">
        <v>290</v>
      </c>
      <c r="L24" s="17">
        <v>64</v>
      </c>
      <c r="M24" s="17">
        <v>1</v>
      </c>
      <c r="N24" s="17" t="s">
        <v>314</v>
      </c>
      <c r="O24" s="17" t="s">
        <v>49</v>
      </c>
      <c r="P24" s="17" t="s">
        <v>311</v>
      </c>
      <c r="Q24" s="17" t="b">
        <v>1</v>
      </c>
      <c r="R24" s="8"/>
    </row>
    <row r="25" spans="1:18" x14ac:dyDescent="0.3">
      <c r="A25" s="23"/>
      <c r="B25" s="16" t="s">
        <v>31</v>
      </c>
      <c r="C25" s="16" t="str" cm="1">
        <f t="array" ref="C25">UPPER(INDEX(_xlfn.TEXTSPLIT($D25, "-"), 3))</f>
        <v>DTG</v>
      </c>
      <c r="D25" s="16" t="s">
        <v>218</v>
      </c>
      <c r="E25" s="22" t="s">
        <v>23</v>
      </c>
      <c r="F25" s="16" t="s">
        <v>243</v>
      </c>
      <c r="G25" s="16" t="str">
        <f t="shared" si="0"/>
        <v>d-dtg-zkp01-disk01</v>
      </c>
      <c r="H25" s="16" t="s">
        <v>290</v>
      </c>
      <c r="I25" s="16">
        <v>64</v>
      </c>
      <c r="J25" s="16" t="str">
        <f t="shared" si="1"/>
        <v>d-dtg-zkp01-disk02</v>
      </c>
      <c r="K25" s="16" t="s">
        <v>290</v>
      </c>
      <c r="L25" s="16">
        <v>64</v>
      </c>
      <c r="M25" s="16">
        <v>1</v>
      </c>
      <c r="N25" s="16" t="s">
        <v>314</v>
      </c>
      <c r="O25" s="16" t="s">
        <v>49</v>
      </c>
      <c r="P25" s="16" t="s">
        <v>311</v>
      </c>
      <c r="Q25" s="16" t="b">
        <v>1</v>
      </c>
      <c r="R25" s="14"/>
    </row>
    <row r="26" spans="1:18" x14ac:dyDescent="0.3">
      <c r="A26" s="21"/>
      <c r="B26" s="17" t="s">
        <v>31</v>
      </c>
      <c r="C26" s="17" t="str" cm="1">
        <f t="array" ref="C26">UPPER(INDEX(_xlfn.TEXTSPLIT($D26, "-"), 3))</f>
        <v>DTG</v>
      </c>
      <c r="D26" s="17" t="s">
        <v>218</v>
      </c>
      <c r="E26" s="24" t="s">
        <v>23</v>
      </c>
      <c r="F26" s="17" t="s">
        <v>245</v>
      </c>
      <c r="G26" s="17" t="str">
        <f t="shared" si="0"/>
        <v>d-dtg-zkp02-disk01</v>
      </c>
      <c r="H26" s="17" t="s">
        <v>290</v>
      </c>
      <c r="I26" s="17">
        <v>64</v>
      </c>
      <c r="J26" s="17" t="str">
        <f t="shared" si="1"/>
        <v>d-dtg-zkp02-disk02</v>
      </c>
      <c r="K26" s="17" t="s">
        <v>290</v>
      </c>
      <c r="L26" s="17">
        <v>64</v>
      </c>
      <c r="M26" s="17">
        <v>1</v>
      </c>
      <c r="N26" s="17" t="s">
        <v>314</v>
      </c>
      <c r="O26" s="17" t="s">
        <v>49</v>
      </c>
      <c r="P26" s="17" t="s">
        <v>311</v>
      </c>
      <c r="Q26" s="17" t="b">
        <v>1</v>
      </c>
      <c r="R26" s="8"/>
    </row>
    <row r="27" spans="1:18" x14ac:dyDescent="0.3">
      <c r="A27" s="23"/>
      <c r="B27" s="16" t="s">
        <v>31</v>
      </c>
      <c r="C27" s="16" t="str" cm="1">
        <f t="array" ref="C27">UPPER(INDEX(_xlfn.TEXTSPLIT($D27, "-"), 3))</f>
        <v>DTG</v>
      </c>
      <c r="D27" s="16" t="s">
        <v>218</v>
      </c>
      <c r="E27" s="22" t="s">
        <v>23</v>
      </c>
      <c r="F27" s="16" t="s">
        <v>247</v>
      </c>
      <c r="G27" s="16" t="str">
        <f t="shared" si="0"/>
        <v>d-dtg-zkp03-disk01</v>
      </c>
      <c r="H27" s="16" t="s">
        <v>290</v>
      </c>
      <c r="I27" s="16">
        <v>64</v>
      </c>
      <c r="J27" s="16" t="str">
        <f t="shared" si="1"/>
        <v>d-dtg-zkp03-disk02</v>
      </c>
      <c r="K27" s="16" t="s">
        <v>290</v>
      </c>
      <c r="L27" s="16">
        <v>64</v>
      </c>
      <c r="M27" s="16">
        <v>1</v>
      </c>
      <c r="N27" s="16" t="s">
        <v>314</v>
      </c>
      <c r="O27" s="16" t="s">
        <v>49</v>
      </c>
      <c r="P27" s="16" t="s">
        <v>311</v>
      </c>
      <c r="Q27" s="16" t="b">
        <v>1</v>
      </c>
      <c r="R27" s="14"/>
    </row>
    <row r="28" spans="1:18" x14ac:dyDescent="0.3">
      <c r="A28" s="21"/>
      <c r="B28" s="17" t="s">
        <v>31</v>
      </c>
      <c r="C28" s="17" t="str" cm="1">
        <f t="array" ref="C28">UPPER(INDEX(_xlfn.TEXTSPLIT($D28, "-"), 3))</f>
        <v>DTG</v>
      </c>
      <c r="D28" s="17" t="s">
        <v>218</v>
      </c>
      <c r="E28" s="24" t="s">
        <v>23</v>
      </c>
      <c r="F28" s="17" t="s">
        <v>249</v>
      </c>
      <c r="G28" s="17" t="str">
        <f t="shared" si="0"/>
        <v>d-dtg-kfk01-disk01</v>
      </c>
      <c r="H28" s="17" t="s">
        <v>290</v>
      </c>
      <c r="I28" s="17">
        <v>64</v>
      </c>
      <c r="J28" s="17" t="str">
        <f t="shared" si="1"/>
        <v>d-dtg-kfk01-disk02</v>
      </c>
      <c r="K28" s="17" t="s">
        <v>290</v>
      </c>
      <c r="L28" s="17">
        <v>64</v>
      </c>
      <c r="M28" s="17">
        <v>1</v>
      </c>
      <c r="N28" s="17" t="s">
        <v>314</v>
      </c>
      <c r="O28" s="17" t="s">
        <v>49</v>
      </c>
      <c r="P28" s="17" t="s">
        <v>311</v>
      </c>
      <c r="Q28" s="17" t="b">
        <v>1</v>
      </c>
      <c r="R28" s="8"/>
    </row>
    <row r="29" spans="1:18" x14ac:dyDescent="0.3">
      <c r="A29" s="23"/>
      <c r="B29" s="16" t="s">
        <v>31</v>
      </c>
      <c r="C29" s="16" t="str" cm="1">
        <f t="array" ref="C29">UPPER(INDEX(_xlfn.TEXTSPLIT($D29, "-"), 3))</f>
        <v>DTG</v>
      </c>
      <c r="D29" s="16" t="s">
        <v>218</v>
      </c>
      <c r="E29" s="22" t="s">
        <v>23</v>
      </c>
      <c r="F29" s="16" t="s">
        <v>251</v>
      </c>
      <c r="G29" s="16" t="str">
        <f t="shared" si="0"/>
        <v>d-dtg-kfk02-disk01</v>
      </c>
      <c r="H29" s="16" t="s">
        <v>290</v>
      </c>
      <c r="I29" s="16">
        <v>64</v>
      </c>
      <c r="J29" s="16" t="str">
        <f t="shared" si="1"/>
        <v>d-dtg-kfk02-disk02</v>
      </c>
      <c r="K29" s="16" t="s">
        <v>290</v>
      </c>
      <c r="L29" s="16">
        <v>64</v>
      </c>
      <c r="M29" s="16">
        <v>1</v>
      </c>
      <c r="N29" s="16" t="s">
        <v>314</v>
      </c>
      <c r="O29" s="16" t="s">
        <v>49</v>
      </c>
      <c r="P29" s="16" t="s">
        <v>311</v>
      </c>
      <c r="Q29" s="16" t="b">
        <v>1</v>
      </c>
      <c r="R29" s="14"/>
    </row>
    <row r="30" spans="1:18" x14ac:dyDescent="0.3">
      <c r="A30" s="21"/>
      <c r="B30" s="17" t="s">
        <v>31</v>
      </c>
      <c r="C30" s="17" t="str" cm="1">
        <f t="array" ref="C30">UPPER(INDEX(_xlfn.TEXTSPLIT($D30, "-"), 3))</f>
        <v>DTG</v>
      </c>
      <c r="D30" s="17" t="s">
        <v>218</v>
      </c>
      <c r="E30" s="24" t="s">
        <v>23</v>
      </c>
      <c r="F30" s="17" t="s">
        <v>253</v>
      </c>
      <c r="G30" s="17" t="str">
        <f t="shared" si="0"/>
        <v>d-dtg-kfk03-disk01</v>
      </c>
      <c r="H30" s="17" t="s">
        <v>290</v>
      </c>
      <c r="I30" s="17">
        <v>64</v>
      </c>
      <c r="J30" s="17" t="str">
        <f t="shared" si="1"/>
        <v>d-dtg-kfk03-disk02</v>
      </c>
      <c r="K30" s="17" t="s">
        <v>290</v>
      </c>
      <c r="L30" s="17">
        <v>64</v>
      </c>
      <c r="M30" s="17">
        <v>1</v>
      </c>
      <c r="N30" s="17" t="s">
        <v>314</v>
      </c>
      <c r="O30" s="17" t="s">
        <v>49</v>
      </c>
      <c r="P30" s="17" t="s">
        <v>311</v>
      </c>
      <c r="Q30" s="17" t="b">
        <v>1</v>
      </c>
      <c r="R30" s="8"/>
    </row>
    <row r="31" spans="1:18" x14ac:dyDescent="0.3">
      <c r="A31" s="23"/>
      <c r="B31" s="16" t="s">
        <v>31</v>
      </c>
      <c r="C31" s="16" t="str" cm="1">
        <f t="array" ref="C31">UPPER(INDEX(_xlfn.TEXTSPLIT($D31, "-"), 3))</f>
        <v>DTG</v>
      </c>
      <c r="D31" s="16" t="s">
        <v>218</v>
      </c>
      <c r="E31" s="22" t="s">
        <v>23</v>
      </c>
      <c r="F31" s="16" t="s">
        <v>255</v>
      </c>
      <c r="G31" s="16" t="str">
        <f t="shared" si="0"/>
        <v>d-dtg-mdoms01-disk01</v>
      </c>
      <c r="H31" s="16" t="s">
        <v>290</v>
      </c>
      <c r="I31" s="16">
        <v>64</v>
      </c>
      <c r="J31" s="16" t="str">
        <f t="shared" si="1"/>
        <v>d-dtg-mdoms01-disk02</v>
      </c>
      <c r="K31" s="16" t="s">
        <v>290</v>
      </c>
      <c r="L31" s="16">
        <v>64</v>
      </c>
      <c r="M31" s="16">
        <v>1</v>
      </c>
      <c r="N31" s="16" t="s">
        <v>314</v>
      </c>
      <c r="O31" s="16" t="s">
        <v>49</v>
      </c>
      <c r="P31" s="16" t="s">
        <v>311</v>
      </c>
      <c r="Q31" s="16" t="b">
        <v>1</v>
      </c>
      <c r="R31" s="14"/>
    </row>
    <row r="32" spans="1:18" x14ac:dyDescent="0.3">
      <c r="A32" s="21"/>
      <c r="B32" s="17" t="s">
        <v>31</v>
      </c>
      <c r="C32" s="17" t="str" cm="1">
        <f t="array" ref="C32">UPPER(INDEX(_xlfn.TEXTSPLIT($D32, "-"), 3))</f>
        <v>DTG</v>
      </c>
      <c r="D32" s="17" t="s">
        <v>218</v>
      </c>
      <c r="E32" s="24" t="s">
        <v>23</v>
      </c>
      <c r="F32" s="17" t="s">
        <v>257</v>
      </c>
      <c r="G32" s="17" t="str">
        <f t="shared" si="0"/>
        <v>d-dtg-cdmlap01-disk01</v>
      </c>
      <c r="H32" s="17" t="s">
        <v>290</v>
      </c>
      <c r="I32" s="17">
        <v>64</v>
      </c>
      <c r="J32" s="17" t="str">
        <f t="shared" si="1"/>
        <v>d-dtg-cdmlap01-disk02</v>
      </c>
      <c r="K32" s="17" t="s">
        <v>290</v>
      </c>
      <c r="L32" s="17">
        <v>64</v>
      </c>
      <c r="M32" s="17">
        <v>1</v>
      </c>
      <c r="N32" s="17" t="s">
        <v>314</v>
      </c>
      <c r="O32" s="17" t="s">
        <v>49</v>
      </c>
      <c r="P32" s="17" t="s">
        <v>311</v>
      </c>
      <c r="Q32" s="17" t="b">
        <v>1</v>
      </c>
      <c r="R32" s="8"/>
    </row>
    <row r="33" spans="1:18" x14ac:dyDescent="0.3">
      <c r="A33" s="21"/>
      <c r="B33" s="16" t="s">
        <v>31</v>
      </c>
      <c r="C33" s="16" t="str" cm="1">
        <f t="array" ref="C33">UPPER(INDEX(_xlfn.TEXTSPLIT($D33, "-"), 3))</f>
        <v>DTG</v>
      </c>
      <c r="D33" s="16" t="s">
        <v>218</v>
      </c>
      <c r="E33" s="22" t="s">
        <v>23</v>
      </c>
      <c r="F33" s="16" t="s">
        <v>259</v>
      </c>
      <c r="G33" s="16" t="str">
        <f t="shared" si="0"/>
        <v>d-dtg-cdstap01-disk01</v>
      </c>
      <c r="H33" s="16" t="s">
        <v>290</v>
      </c>
      <c r="I33" s="16">
        <v>64</v>
      </c>
      <c r="J33" s="16" t="str">
        <f t="shared" si="1"/>
        <v>d-dtg-cdstap01-disk02</v>
      </c>
      <c r="K33" s="16" t="s">
        <v>290</v>
      </c>
      <c r="L33" s="16">
        <v>64</v>
      </c>
      <c r="M33" s="16">
        <v>1</v>
      </c>
      <c r="N33" s="16" t="s">
        <v>314</v>
      </c>
      <c r="O33" s="16" t="s">
        <v>49</v>
      </c>
      <c r="P33" s="16" t="s">
        <v>311</v>
      </c>
      <c r="Q33" s="16" t="b">
        <v>1</v>
      </c>
      <c r="R33" s="14"/>
    </row>
    <row r="34" spans="1:18" x14ac:dyDescent="0.3">
      <c r="A34" s="23"/>
      <c r="B34" s="17" t="s">
        <v>31</v>
      </c>
      <c r="C34" s="17" t="str" cm="1">
        <f t="array" ref="C34">UPPER(INDEX(_xlfn.TEXTSPLIT($D34, "-"), 3))</f>
        <v>DTG</v>
      </c>
      <c r="D34" s="17" t="s">
        <v>218</v>
      </c>
      <c r="E34" s="24" t="s">
        <v>23</v>
      </c>
      <c r="F34" s="17" t="s">
        <v>319</v>
      </c>
      <c r="G34" s="17" t="str">
        <f t="shared" si="0"/>
        <v>d-dtg-cdsvadm01-disk01</v>
      </c>
      <c r="H34" s="17" t="s">
        <v>290</v>
      </c>
      <c r="I34" s="17">
        <v>64</v>
      </c>
      <c r="J34" s="17" t="str">
        <f t="shared" si="1"/>
        <v>d-dtg-cdsvadm01-disk02</v>
      </c>
      <c r="K34" s="17" t="s">
        <v>290</v>
      </c>
      <c r="L34" s="17">
        <v>64</v>
      </c>
      <c r="M34" s="17">
        <v>1</v>
      </c>
      <c r="N34" s="17" t="s">
        <v>314</v>
      </c>
      <c r="O34" s="17" t="s">
        <v>49</v>
      </c>
      <c r="P34" s="17" t="s">
        <v>311</v>
      </c>
      <c r="Q34" s="17" t="b">
        <v>1</v>
      </c>
      <c r="R34" s="8"/>
    </row>
    <row r="35" spans="1:18" x14ac:dyDescent="0.3">
      <c r="A35" s="21"/>
      <c r="B35" s="16" t="s">
        <v>31</v>
      </c>
      <c r="C35" s="16" t="str" cm="1">
        <f t="array" ref="C35">UPPER(INDEX(_xlfn.TEXTSPLIT($D35, "-"), 3))</f>
        <v>DTG</v>
      </c>
      <c r="D35" s="16" t="s">
        <v>218</v>
      </c>
      <c r="E35" s="22" t="s">
        <v>23</v>
      </c>
      <c r="F35" s="16" t="s">
        <v>262</v>
      </c>
      <c r="G35" s="16" t="str">
        <f t="shared" si="0"/>
        <v>d-dtg-diosap01-disk01</v>
      </c>
      <c r="H35" s="16" t="s">
        <v>290</v>
      </c>
      <c r="I35" s="16">
        <v>64</v>
      </c>
      <c r="J35" s="16" t="str">
        <f t="shared" si="1"/>
        <v>d-dtg-diosap01-disk02</v>
      </c>
      <c r="K35" s="16" t="s">
        <v>290</v>
      </c>
      <c r="L35" s="16">
        <v>64</v>
      </c>
      <c r="M35" s="16">
        <v>1</v>
      </c>
      <c r="N35" s="16" t="s">
        <v>314</v>
      </c>
      <c r="O35" s="16" t="s">
        <v>49</v>
      </c>
      <c r="P35" s="16" t="s">
        <v>311</v>
      </c>
      <c r="Q35" s="16" t="b">
        <v>1</v>
      </c>
      <c r="R35" s="14"/>
    </row>
    <row r="36" spans="1:18" x14ac:dyDescent="0.3">
      <c r="A36" s="23"/>
      <c r="B36" s="17" t="s">
        <v>31</v>
      </c>
      <c r="C36" s="17" t="str" cm="1">
        <f t="array" ref="C36">UPPER(INDEX(_xlfn.TEXTSPLIT($D36, "-"), 3))</f>
        <v>DTG</v>
      </c>
      <c r="D36" s="17" t="s">
        <v>218</v>
      </c>
      <c r="E36" s="24" t="s">
        <v>23</v>
      </c>
      <c r="F36" s="17" t="s">
        <v>264</v>
      </c>
      <c r="G36" s="17" t="str">
        <f t="shared" si="0"/>
        <v>d-dtg-diosweb01-disk01</v>
      </c>
      <c r="H36" s="17" t="s">
        <v>290</v>
      </c>
      <c r="I36" s="17">
        <v>64</v>
      </c>
      <c r="J36" s="17" t="str">
        <f t="shared" si="1"/>
        <v>d-dtg-diosweb01-disk02</v>
      </c>
      <c r="K36" s="17" t="s">
        <v>290</v>
      </c>
      <c r="L36" s="17">
        <v>64</v>
      </c>
      <c r="M36" s="17">
        <v>1</v>
      </c>
      <c r="N36" s="17" t="s">
        <v>314</v>
      </c>
      <c r="O36" s="17" t="s">
        <v>49</v>
      </c>
      <c r="P36" s="17" t="s">
        <v>311</v>
      </c>
      <c r="Q36" s="17" t="b">
        <v>1</v>
      </c>
      <c r="R36" s="8"/>
    </row>
    <row r="37" spans="1:18" x14ac:dyDescent="0.3">
      <c r="A37" s="21"/>
      <c r="B37" s="16" t="s">
        <v>31</v>
      </c>
      <c r="C37" s="16" t="str" cm="1">
        <f t="array" ref="C37">UPPER(INDEX(_xlfn.TEXTSPLIT($D37, "-"), 3))</f>
        <v>DTG</v>
      </c>
      <c r="D37" s="16" t="s">
        <v>218</v>
      </c>
      <c r="E37" s="22" t="s">
        <v>23</v>
      </c>
      <c r="F37" s="16" t="s">
        <v>266</v>
      </c>
      <c r="G37" s="16" t="str">
        <f t="shared" si="0"/>
        <v>d-dtg-dprweb01-disk01</v>
      </c>
      <c r="H37" s="16" t="s">
        <v>290</v>
      </c>
      <c r="I37" s="16">
        <v>64</v>
      </c>
      <c r="J37" s="16" t="str">
        <f t="shared" si="1"/>
        <v>d-dtg-dprweb01-disk02</v>
      </c>
      <c r="K37" s="16" t="s">
        <v>290</v>
      </c>
      <c r="L37" s="16">
        <v>64</v>
      </c>
      <c r="M37" s="16">
        <v>1</v>
      </c>
      <c r="N37" s="16" t="s">
        <v>314</v>
      </c>
      <c r="O37" s="16" t="s">
        <v>49</v>
      </c>
      <c r="P37" s="16" t="s">
        <v>311</v>
      </c>
      <c r="Q37" s="16" t="b">
        <v>1</v>
      </c>
      <c r="R37" s="14"/>
    </row>
    <row r="38" spans="1:18" x14ac:dyDescent="0.3">
      <c r="A38" s="23"/>
      <c r="B38" s="17" t="s">
        <v>31</v>
      </c>
      <c r="C38" s="17" t="str" cm="1">
        <f t="array" ref="C38">UPPER(INDEX(_xlfn.TEXTSPLIT($D38, "-"), 3))</f>
        <v>DTG</v>
      </c>
      <c r="D38" s="17" t="s">
        <v>218</v>
      </c>
      <c r="E38" s="24" t="s">
        <v>23</v>
      </c>
      <c r="F38" s="17" t="s">
        <v>268</v>
      </c>
      <c r="G38" s="17" t="str">
        <f t="shared" si="0"/>
        <v>d-dtg-dprap01-disk01</v>
      </c>
      <c r="H38" s="17" t="s">
        <v>290</v>
      </c>
      <c r="I38" s="17">
        <v>64</v>
      </c>
      <c r="J38" s="17" t="str">
        <f t="shared" si="1"/>
        <v>d-dtg-dprap01-disk02</v>
      </c>
      <c r="K38" s="17" t="s">
        <v>290</v>
      </c>
      <c r="L38" s="17">
        <v>64</v>
      </c>
      <c r="M38" s="17">
        <v>1</v>
      </c>
      <c r="N38" s="17" t="s">
        <v>314</v>
      </c>
      <c r="O38" s="17" t="s">
        <v>49</v>
      </c>
      <c r="P38" s="17" t="s">
        <v>311</v>
      </c>
      <c r="Q38" s="17" t="b">
        <v>1</v>
      </c>
      <c r="R38" s="8"/>
    </row>
    <row r="39" spans="1:18" x14ac:dyDescent="0.3">
      <c r="A39" s="21"/>
      <c r="B39" s="16" t="s">
        <v>31</v>
      </c>
      <c r="C39" s="16" t="str" cm="1">
        <f t="array" ref="C39">UPPER(INDEX(_xlfn.TEXTSPLIT($D39, "-"), 3))</f>
        <v>BDP</v>
      </c>
      <c r="D39" s="16" t="s">
        <v>270</v>
      </c>
      <c r="E39" s="22" t="s">
        <v>23</v>
      </c>
      <c r="F39" s="16" t="s">
        <v>271</v>
      </c>
      <c r="G39" s="16" t="str">
        <f t="shared" si="0"/>
        <v>d-bdp-airfw01-disk01</v>
      </c>
      <c r="H39" s="16" t="s">
        <v>290</v>
      </c>
      <c r="I39" s="16">
        <v>64</v>
      </c>
      <c r="J39" s="16" t="str">
        <f t="shared" si="1"/>
        <v>d-bdp-airfw01-disk02</v>
      </c>
      <c r="K39" s="16" t="s">
        <v>290</v>
      </c>
      <c r="L39" s="16">
        <v>64</v>
      </c>
      <c r="M39" s="16">
        <v>1</v>
      </c>
      <c r="N39" s="16" t="s">
        <v>314</v>
      </c>
      <c r="O39" s="16" t="s">
        <v>49</v>
      </c>
      <c r="P39" s="16" t="s">
        <v>311</v>
      </c>
      <c r="Q39" s="16" t="b">
        <v>1</v>
      </c>
      <c r="R39" s="14"/>
    </row>
    <row r="40" spans="1:18" x14ac:dyDescent="0.3">
      <c r="A40" s="23"/>
      <c r="B40" s="17" t="s">
        <v>31</v>
      </c>
      <c r="C40" s="17" t="str" cm="1">
        <f t="array" ref="C40">UPPER(INDEX(_xlfn.TEXTSPLIT($D40, "-"), 3))</f>
        <v>BDP</v>
      </c>
      <c r="D40" s="17" t="s">
        <v>270</v>
      </c>
      <c r="E40" s="24" t="s">
        <v>23</v>
      </c>
      <c r="F40" s="17" t="s">
        <v>274</v>
      </c>
      <c r="G40" s="17" t="str">
        <f t="shared" si="0"/>
        <v>d-bdp-kepler01-disk01</v>
      </c>
      <c r="H40" s="17" t="s">
        <v>290</v>
      </c>
      <c r="I40" s="17">
        <v>64</v>
      </c>
      <c r="J40" s="17" t="str">
        <f t="shared" si="1"/>
        <v>d-bdp-kepler01-disk02</v>
      </c>
      <c r="K40" s="17" t="s">
        <v>290</v>
      </c>
      <c r="L40" s="17">
        <v>64</v>
      </c>
      <c r="M40" s="17">
        <v>1</v>
      </c>
      <c r="N40" s="17" t="s">
        <v>314</v>
      </c>
      <c r="O40" s="17" t="s">
        <v>49</v>
      </c>
      <c r="P40" s="17" t="s">
        <v>311</v>
      </c>
      <c r="Q40" s="17" t="b">
        <v>1</v>
      </c>
      <c r="R40" s="8"/>
    </row>
    <row r="41" spans="1:18" x14ac:dyDescent="0.3">
      <c r="A41" s="21"/>
      <c r="B41" s="16" t="s">
        <v>31</v>
      </c>
      <c r="C41" s="16" t="str" cm="1">
        <f t="array" ref="C41">UPPER(INDEX(_xlfn.TEXTSPLIT($D41, "-"), 3))</f>
        <v>BDP</v>
      </c>
      <c r="D41" s="16" t="s">
        <v>270</v>
      </c>
      <c r="E41" s="22" t="s">
        <v>23</v>
      </c>
      <c r="F41" s="16" t="s">
        <v>320</v>
      </c>
      <c r="G41" s="16" t="str">
        <f t="shared" si="0"/>
        <v>d-bdp-cxmadm01-disk01</v>
      </c>
      <c r="H41" s="16" t="s">
        <v>290</v>
      </c>
      <c r="I41" s="16">
        <v>64</v>
      </c>
      <c r="J41" s="16" t="str">
        <f t="shared" si="1"/>
        <v>d-bdp-cxmadm01-disk02</v>
      </c>
      <c r="K41" s="16" t="s">
        <v>290</v>
      </c>
      <c r="L41" s="16">
        <v>64</v>
      </c>
      <c r="M41" s="16">
        <v>1</v>
      </c>
      <c r="N41" s="16" t="s">
        <v>314</v>
      </c>
      <c r="O41" s="16" t="s">
        <v>49</v>
      </c>
      <c r="P41" s="16" t="s">
        <v>311</v>
      </c>
      <c r="Q41" s="16" t="b">
        <v>1</v>
      </c>
      <c r="R41" s="14"/>
    </row>
    <row r="42" spans="1:18" x14ac:dyDescent="0.3">
      <c r="A42" s="21"/>
      <c r="B42" s="17" t="s">
        <v>31</v>
      </c>
      <c r="C42" s="17" t="str" cm="1">
        <f t="array" ref="C42">UPPER(INDEX(_xlfn.TEXTSPLIT($D42, "-"), 3))</f>
        <v>BDP</v>
      </c>
      <c r="D42" s="17" t="s">
        <v>270</v>
      </c>
      <c r="E42" s="24" t="s">
        <v>23</v>
      </c>
      <c r="F42" s="17" t="s">
        <v>277</v>
      </c>
      <c r="G42" s="17" t="str">
        <f t="shared" si="0"/>
        <v>d-bdp-slap01-disk01</v>
      </c>
      <c r="H42" s="17" t="s">
        <v>290</v>
      </c>
      <c r="I42" s="17">
        <v>64</v>
      </c>
      <c r="J42" s="17" t="str">
        <f t="shared" si="1"/>
        <v>d-bdp-slap01-disk02</v>
      </c>
      <c r="K42" s="17" t="s">
        <v>290</v>
      </c>
      <c r="L42" s="17">
        <v>64</v>
      </c>
      <c r="M42" s="17">
        <v>1</v>
      </c>
      <c r="N42" s="17" t="s">
        <v>314</v>
      </c>
      <c r="O42" s="17" t="s">
        <v>49</v>
      </c>
      <c r="P42" s="17" t="s">
        <v>311</v>
      </c>
      <c r="Q42" s="17" t="b">
        <v>1</v>
      </c>
      <c r="R42" s="8"/>
    </row>
    <row r="43" spans="1:18" x14ac:dyDescent="0.3">
      <c r="A43" s="23"/>
      <c r="B43" s="17" t="s">
        <v>31</v>
      </c>
      <c r="C43" s="17" t="str" cm="1">
        <f t="array" ref="C43">UPPER(INDEX(_xlfn.TEXTSPLIT($D43, "-"), 3))</f>
        <v>IF</v>
      </c>
      <c r="D43" s="17" t="s">
        <v>55</v>
      </c>
      <c r="E43" s="24" t="s">
        <v>23</v>
      </c>
      <c r="F43" s="17" t="s">
        <v>372</v>
      </c>
      <c r="G43" s="17" t="str">
        <f t="shared" si="0"/>
        <v>d-if-auth01-disk01</v>
      </c>
      <c r="H43" s="17" t="s">
        <v>290</v>
      </c>
      <c r="I43" s="17">
        <v>64</v>
      </c>
      <c r="J43" s="17" t="str">
        <f t="shared" si="1"/>
        <v>d-if-auth01-disk02</v>
      </c>
      <c r="K43" s="17" t="s">
        <v>290</v>
      </c>
      <c r="L43" s="17">
        <v>64</v>
      </c>
      <c r="M43" s="17">
        <v>1</v>
      </c>
      <c r="N43" s="17" t="s">
        <v>314</v>
      </c>
      <c r="O43" s="17" t="s">
        <v>49</v>
      </c>
      <c r="P43" s="17" t="s">
        <v>311</v>
      </c>
      <c r="Q43" s="17" t="b">
        <v>1</v>
      </c>
      <c r="R43" s="8"/>
    </row>
    <row r="44" spans="1:18" x14ac:dyDescent="0.3">
      <c r="A44" s="23"/>
      <c r="B44" s="17" t="s">
        <v>31</v>
      </c>
      <c r="C44" s="17" t="str" cm="1">
        <f t="array" ref="C44">UPPER(INDEX(_xlfn.TEXTSPLIT($D44, "-"), 3))</f>
        <v>IF</v>
      </c>
      <c r="D44" s="17" t="s">
        <v>279</v>
      </c>
      <c r="E44" s="24" t="s">
        <v>23</v>
      </c>
      <c r="F44" s="17" t="s">
        <v>280</v>
      </c>
      <c r="G44" s="17" t="str">
        <f t="shared" si="0"/>
        <v>d-if-gramon01-disk01</v>
      </c>
      <c r="H44" s="17" t="s">
        <v>290</v>
      </c>
      <c r="I44" s="17">
        <v>64</v>
      </c>
      <c r="J44" s="17" t="str">
        <f t="shared" si="1"/>
        <v>d-if-gramon01-disk02</v>
      </c>
      <c r="K44" s="17" t="s">
        <v>290</v>
      </c>
      <c r="L44" s="17">
        <v>64</v>
      </c>
      <c r="M44" s="17">
        <v>1</v>
      </c>
      <c r="N44" s="17" t="s">
        <v>314</v>
      </c>
      <c r="O44" s="17" t="s">
        <v>49</v>
      </c>
      <c r="P44" s="17" t="s">
        <v>311</v>
      </c>
      <c r="Q44" s="17" t="b">
        <v>1</v>
      </c>
      <c r="R44" s="8"/>
    </row>
    <row r="45" spans="1:18" x14ac:dyDescent="0.3">
      <c r="A45" s="23"/>
      <c r="B45" s="16" t="s">
        <v>31</v>
      </c>
      <c r="C45" s="16" t="str" cm="1">
        <f t="array" ref="C45">UPPER(INDEX(_xlfn.TEXTSPLIT($D45, "-"), 3))</f>
        <v>BDP</v>
      </c>
      <c r="D45" s="16" t="s">
        <v>270</v>
      </c>
      <c r="E45" s="22" t="s">
        <v>23</v>
      </c>
      <c r="F45" s="16" t="s">
        <v>283</v>
      </c>
      <c r="G45" s="16" t="str">
        <f t="shared" ref="G45:G53" si="2">SUBSTITUTE($F45,"hazr-","")&amp;"-disk01"</f>
        <v>d-bdp-crkweb01-disk01</v>
      </c>
      <c r="H45" s="16" t="s">
        <v>290</v>
      </c>
      <c r="I45" s="16">
        <v>64</v>
      </c>
      <c r="J45" s="16" t="str">
        <f t="shared" ref="J45:J53" si="3">SUBSTITUTE($F45,"hazr-","")&amp;"-disk02"</f>
        <v>d-bdp-crkweb01-disk02</v>
      </c>
      <c r="K45" s="16" t="s">
        <v>290</v>
      </c>
      <c r="L45" s="16">
        <v>64</v>
      </c>
      <c r="M45" s="16">
        <v>1</v>
      </c>
      <c r="N45" s="16" t="s">
        <v>314</v>
      </c>
      <c r="O45" s="16" t="s">
        <v>49</v>
      </c>
      <c r="P45" s="16" t="s">
        <v>311</v>
      </c>
      <c r="Q45" s="16" t="b">
        <v>1</v>
      </c>
      <c r="R45" s="14"/>
    </row>
    <row r="46" spans="1:18" x14ac:dyDescent="0.3">
      <c r="A46" s="21"/>
      <c r="B46" s="17" t="s">
        <v>31</v>
      </c>
      <c r="C46" s="17" t="str" cm="1">
        <f t="array" ref="C46">UPPER(INDEX(_xlfn.TEXTSPLIT($D46, "-"), 3))</f>
        <v>BDP</v>
      </c>
      <c r="D46" s="17" t="s">
        <v>270</v>
      </c>
      <c r="E46" s="24" t="s">
        <v>23</v>
      </c>
      <c r="F46" s="17" t="s">
        <v>318</v>
      </c>
      <c r="G46" s="17" t="str">
        <f t="shared" si="2"/>
        <v>d-bdp-crkap01-disk01</v>
      </c>
      <c r="H46" s="17" t="s">
        <v>290</v>
      </c>
      <c r="I46" s="17">
        <v>64</v>
      </c>
      <c r="J46" s="17" t="str">
        <f t="shared" si="3"/>
        <v>d-bdp-crkap01-disk02</v>
      </c>
      <c r="K46" s="17" t="s">
        <v>290</v>
      </c>
      <c r="L46" s="17">
        <v>64</v>
      </c>
      <c r="M46" s="17">
        <v>1</v>
      </c>
      <c r="N46" s="17" t="s">
        <v>314</v>
      </c>
      <c r="O46" s="17" t="s">
        <v>49</v>
      </c>
      <c r="P46" s="17" t="s">
        <v>311</v>
      </c>
      <c r="Q46" s="17" t="b">
        <v>1</v>
      </c>
      <c r="R46" s="8"/>
    </row>
    <row r="47" spans="1:18" x14ac:dyDescent="0.3">
      <c r="A47" s="23"/>
      <c r="B47" s="16" t="s">
        <v>31</v>
      </c>
      <c r="C47" s="16" t="str" cm="1">
        <f t="array" ref="C47">UPPER(INDEX(_xlfn.TEXTSPLIT($D47, "-"), 3))</f>
        <v>BDP</v>
      </c>
      <c r="D47" s="16" t="s">
        <v>270</v>
      </c>
      <c r="E47" s="22" t="s">
        <v>23</v>
      </c>
      <c r="F47" s="16" t="s">
        <v>288</v>
      </c>
      <c r="G47" s="16" t="str">
        <f t="shared" si="2"/>
        <v>d-bdp-crkml01-disk01</v>
      </c>
      <c r="H47" s="16" t="s">
        <v>290</v>
      </c>
      <c r="I47" s="16">
        <v>64</v>
      </c>
      <c r="J47" s="16" t="str">
        <f t="shared" si="3"/>
        <v>d-bdp-crkml01-disk02</v>
      </c>
      <c r="K47" s="16" t="s">
        <v>290</v>
      </c>
      <c r="L47" s="16">
        <v>64</v>
      </c>
      <c r="M47" s="16">
        <v>1</v>
      </c>
      <c r="N47" s="16" t="s">
        <v>314</v>
      </c>
      <c r="O47" s="16" t="s">
        <v>49</v>
      </c>
      <c r="P47" s="16" t="s">
        <v>311</v>
      </c>
      <c r="Q47" s="16" t="b">
        <v>1</v>
      </c>
      <c r="R47" s="14"/>
    </row>
    <row r="48" spans="1:18" x14ac:dyDescent="0.3">
      <c r="A48" s="21"/>
      <c r="B48" s="16" t="s">
        <v>31</v>
      </c>
      <c r="C48" s="16" t="str" cm="1">
        <f t="array" ref="C48">UPPER(INDEX(_xlfn.TEXTSPLIT($D48, "-"), 3))</f>
        <v>COM</v>
      </c>
      <c r="D48" s="16" t="s">
        <v>50</v>
      </c>
      <c r="E48" s="16" t="s">
        <v>23</v>
      </c>
      <c r="F48" s="16" t="s">
        <v>374</v>
      </c>
      <c r="G48" s="16" t="str">
        <f t="shared" si="2"/>
        <v>d-com-esnweb01-disk01</v>
      </c>
      <c r="H48" s="16" t="s">
        <v>290</v>
      </c>
      <c r="I48" s="16">
        <v>64</v>
      </c>
      <c r="J48" s="16" t="str">
        <f t="shared" si="3"/>
        <v>d-com-esnweb01-disk02</v>
      </c>
      <c r="K48" s="16" t="s">
        <v>290</v>
      </c>
      <c r="L48" s="16">
        <v>64</v>
      </c>
      <c r="M48" s="16">
        <v>1</v>
      </c>
      <c r="N48" s="16" t="s">
        <v>314</v>
      </c>
      <c r="O48" s="16" t="s">
        <v>49</v>
      </c>
      <c r="P48" s="16" t="s">
        <v>311</v>
      </c>
      <c r="Q48" s="16" t="b">
        <v>1</v>
      </c>
      <c r="R48" s="16"/>
    </row>
    <row r="49" spans="1:18" x14ac:dyDescent="0.3">
      <c r="A49" s="23"/>
      <c r="B49" s="17" t="s">
        <v>31</v>
      </c>
      <c r="C49" s="17" t="str" cm="1">
        <f t="array" ref="C49">UPPER(INDEX(_xlfn.TEXTSPLIT($D49, "-"), 3))</f>
        <v>COM</v>
      </c>
      <c r="D49" s="17" t="s">
        <v>50</v>
      </c>
      <c r="E49" s="17" t="s">
        <v>23</v>
      </c>
      <c r="F49" s="17" t="s">
        <v>392</v>
      </c>
      <c r="G49" s="17" t="str">
        <f t="shared" si="2"/>
        <v>d-com-esnap01-disk01</v>
      </c>
      <c r="H49" s="17" t="s">
        <v>290</v>
      </c>
      <c r="I49" s="17">
        <v>64</v>
      </c>
      <c r="J49" s="17" t="str">
        <f t="shared" si="3"/>
        <v>d-com-esnap01-disk02</v>
      </c>
      <c r="K49" s="17" t="s">
        <v>290</v>
      </c>
      <c r="L49" s="17">
        <v>64</v>
      </c>
      <c r="M49" s="17">
        <v>1</v>
      </c>
      <c r="N49" s="17" t="s">
        <v>314</v>
      </c>
      <c r="O49" s="17" t="s">
        <v>49</v>
      </c>
      <c r="P49" s="17" t="s">
        <v>311</v>
      </c>
      <c r="Q49" s="17" t="b">
        <v>1</v>
      </c>
      <c r="R49" s="17"/>
    </row>
    <row r="50" spans="1:18" x14ac:dyDescent="0.3">
      <c r="A50" s="21"/>
      <c r="B50" s="16" t="s">
        <v>31</v>
      </c>
      <c r="C50" s="16" t="str" cm="1">
        <f t="array" ref="C50">UPPER(INDEX(_xlfn.TEXTSPLIT($D50, "-"), 3))</f>
        <v>COM</v>
      </c>
      <c r="D50" s="16" t="s">
        <v>50</v>
      </c>
      <c r="E50" s="16" t="s">
        <v>23</v>
      </c>
      <c r="F50" s="16" t="s">
        <v>382</v>
      </c>
      <c r="G50" s="16" t="str">
        <f t="shared" si="2"/>
        <v>d-com-scmsol01-disk01</v>
      </c>
      <c r="H50" s="16" t="s">
        <v>290</v>
      </c>
      <c r="I50" s="16">
        <v>64</v>
      </c>
      <c r="J50" s="16" t="str">
        <f t="shared" si="3"/>
        <v>d-com-scmsol01-disk02</v>
      </c>
      <c r="K50" s="16" t="s">
        <v>290</v>
      </c>
      <c r="L50" s="16">
        <v>64</v>
      </c>
      <c r="M50" s="16">
        <v>1</v>
      </c>
      <c r="N50" s="16" t="s">
        <v>314</v>
      </c>
      <c r="O50" s="16" t="s">
        <v>49</v>
      </c>
      <c r="P50" s="16" t="s">
        <v>311</v>
      </c>
      <c r="Q50" s="14" t="b">
        <v>1</v>
      </c>
      <c r="R50" s="14"/>
    </row>
    <row r="51" spans="1:18" x14ac:dyDescent="0.3">
      <c r="A51" s="23"/>
      <c r="B51" s="17" t="s">
        <v>31</v>
      </c>
      <c r="C51" s="17" t="str" cm="1">
        <f t="array" ref="C51">UPPER(INDEX(_xlfn.TEXTSPLIT($D51, "-"), 3))</f>
        <v>DTG</v>
      </c>
      <c r="D51" s="17" t="s">
        <v>54</v>
      </c>
      <c r="E51" s="17" t="s">
        <v>23</v>
      </c>
      <c r="F51" s="17" t="s">
        <v>384</v>
      </c>
      <c r="G51" s="17" t="str">
        <f t="shared" si="2"/>
        <v>d-dtg-bbigeoap01-disk01</v>
      </c>
      <c r="H51" s="17" t="s">
        <v>290</v>
      </c>
      <c r="I51" s="17">
        <v>64</v>
      </c>
      <c r="J51" s="17" t="str">
        <f t="shared" si="3"/>
        <v>d-dtg-bbigeoap01-disk02</v>
      </c>
      <c r="K51" s="17" t="s">
        <v>290</v>
      </c>
      <c r="L51" s="17">
        <v>64</v>
      </c>
      <c r="M51" s="17">
        <v>1</v>
      </c>
      <c r="N51" s="17" t="s">
        <v>314</v>
      </c>
      <c r="O51" s="17" t="s">
        <v>49</v>
      </c>
      <c r="P51" s="17" t="s">
        <v>311</v>
      </c>
      <c r="Q51" s="17" t="b">
        <v>1</v>
      </c>
      <c r="R51" s="17"/>
    </row>
    <row r="52" spans="1:18" x14ac:dyDescent="0.3">
      <c r="A52" s="21"/>
      <c r="B52" s="16" t="s">
        <v>31</v>
      </c>
      <c r="C52" s="16" t="str" cm="1">
        <f t="array" ref="C52">UPPER(INDEX(_xlfn.TEXTSPLIT($D52, "-"), 3))</f>
        <v>BDP</v>
      </c>
      <c r="D52" s="16" t="s">
        <v>183</v>
      </c>
      <c r="E52" s="16" t="s">
        <v>23</v>
      </c>
      <c r="F52" s="22" t="s">
        <v>386</v>
      </c>
      <c r="G52" s="16" t="str">
        <f t="shared" si="2"/>
        <v>d-bdp-rlgcweb01-disk01</v>
      </c>
      <c r="H52" s="16" t="s">
        <v>290</v>
      </c>
      <c r="I52" s="16">
        <v>64</v>
      </c>
      <c r="J52" s="16" t="str">
        <f t="shared" si="3"/>
        <v>d-bdp-rlgcweb01-disk02</v>
      </c>
      <c r="K52" s="16" t="s">
        <v>290</v>
      </c>
      <c r="L52" s="16">
        <v>64</v>
      </c>
      <c r="M52" s="16">
        <v>1</v>
      </c>
      <c r="N52" s="16" t="s">
        <v>314</v>
      </c>
      <c r="O52" s="16" t="s">
        <v>49</v>
      </c>
      <c r="P52" s="16" t="s">
        <v>311</v>
      </c>
      <c r="Q52" s="16" t="b">
        <v>1</v>
      </c>
      <c r="R52" s="16"/>
    </row>
    <row r="53" spans="1:18" x14ac:dyDescent="0.3">
      <c r="A53" s="23"/>
      <c r="B53" s="17" t="s">
        <v>31</v>
      </c>
      <c r="C53" s="17" t="str" cm="1">
        <f t="array" ref="C53">UPPER(INDEX(_xlfn.TEXTSPLIT($D53, "-"), 3))</f>
        <v>BDP</v>
      </c>
      <c r="D53" s="17" t="s">
        <v>183</v>
      </c>
      <c r="E53" s="17" t="s">
        <v>23</v>
      </c>
      <c r="F53" s="24" t="s">
        <v>387</v>
      </c>
      <c r="G53" s="17" t="str">
        <f t="shared" si="2"/>
        <v>d-bdp-rlgcap01-disk01</v>
      </c>
      <c r="H53" s="17" t="s">
        <v>290</v>
      </c>
      <c r="I53" s="17">
        <v>1024</v>
      </c>
      <c r="J53" s="17" t="str">
        <f t="shared" si="3"/>
        <v>d-bdp-rlgcap01-disk02</v>
      </c>
      <c r="K53" s="17" t="s">
        <v>290</v>
      </c>
      <c r="L53" s="17">
        <v>64</v>
      </c>
      <c r="M53" s="17">
        <v>1</v>
      </c>
      <c r="N53" s="17" t="s">
        <v>314</v>
      </c>
      <c r="O53" s="17" t="s">
        <v>49</v>
      </c>
      <c r="P53" s="17" t="s">
        <v>311</v>
      </c>
      <c r="Q53" s="17" t="b">
        <v>1</v>
      </c>
      <c r="R53" s="17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F184-7BFC-47CB-AC71-63C76B7E3D12}">
  <sheetPr>
    <tabColor rgb="FF00B050"/>
  </sheetPr>
  <dimension ref="A1:L74"/>
  <sheetViews>
    <sheetView tabSelected="1" topLeftCell="A44" zoomScaleNormal="100" workbookViewId="0">
      <selection activeCell="E73" sqref="E73"/>
    </sheetView>
  </sheetViews>
  <sheetFormatPr defaultRowHeight="16.5" x14ac:dyDescent="0.3"/>
  <cols>
    <col min="1" max="1" width="2.75" customWidth="1"/>
    <col min="4" max="4" width="17.25" bestFit="1" customWidth="1"/>
    <col min="5" max="5" width="20.5" customWidth="1"/>
    <col min="6" max="6" width="12.25" bestFit="1" customWidth="1"/>
    <col min="7" max="7" width="20" bestFit="1" customWidth="1"/>
    <col min="8" max="8" width="18.5" bestFit="1" customWidth="1"/>
    <col min="9" max="10" width="18.5" customWidth="1"/>
    <col min="11" max="11" width="18" customWidth="1"/>
  </cols>
  <sheetData>
    <row r="1" spans="1:12" x14ac:dyDescent="0.3">
      <c r="B1" s="28" t="s">
        <v>0</v>
      </c>
      <c r="C1" s="29" t="s">
        <v>1</v>
      </c>
      <c r="D1" s="30" t="s">
        <v>27</v>
      </c>
      <c r="E1" s="31" t="s">
        <v>28</v>
      </c>
      <c r="F1" s="31" t="s">
        <v>45</v>
      </c>
      <c r="G1" s="31" t="s">
        <v>46</v>
      </c>
      <c r="H1" s="30" t="s">
        <v>47</v>
      </c>
      <c r="I1" s="30" t="s">
        <v>303</v>
      </c>
      <c r="J1" s="30" t="s">
        <v>353</v>
      </c>
      <c r="K1" s="30" t="s">
        <v>26</v>
      </c>
      <c r="L1" s="30" t="s">
        <v>29</v>
      </c>
    </row>
    <row r="2" spans="1:12" x14ac:dyDescent="0.3">
      <c r="A2" s="37"/>
      <c r="B2" s="32" t="s">
        <v>31</v>
      </c>
      <c r="C2" s="32" t="str" cm="1">
        <f t="array" ref="C2">UPPER(INDEX(_xlfn.TEXTSPLIT($I2, "-"), 3))</f>
        <v>DIS</v>
      </c>
      <c r="D2" s="32" t="s">
        <v>49</v>
      </c>
      <c r="E2" s="32" t="str">
        <f>SUBSTITUTE($I2,"hazr-","")&amp;"-nsg"</f>
        <v>d-dis-ap01-nsg</v>
      </c>
      <c r="F2" s="32" t="s">
        <v>49</v>
      </c>
      <c r="G2" s="32" t="s">
        <v>57</v>
      </c>
      <c r="H2" s="32" t="s">
        <v>91</v>
      </c>
      <c r="I2" s="22" t="s">
        <v>186</v>
      </c>
      <c r="J2" s="16" t="s">
        <v>52</v>
      </c>
      <c r="K2" s="32" t="str">
        <f>SUBSTITUTE($I2,"hazr-","")&amp;"-nic"</f>
        <v>d-dis-ap01-nic</v>
      </c>
      <c r="L2" s="33" t="s">
        <v>341</v>
      </c>
    </row>
    <row r="3" spans="1:12" x14ac:dyDescent="0.3">
      <c r="A3" s="37"/>
      <c r="B3" s="34" t="s">
        <v>31</v>
      </c>
      <c r="C3" s="34" t="str" cm="1">
        <f t="array" ref="C3">UPPER(INDEX(_xlfn.TEXTSPLIT($I3, "-"), 3))</f>
        <v>DIS</v>
      </c>
      <c r="D3" s="34" t="s">
        <v>49</v>
      </c>
      <c r="E3" s="34" t="str">
        <f>SUBSTITUTE($I3,"hazr-","")&amp;"-nsg"</f>
        <v>d-dis-adm01-nsg</v>
      </c>
      <c r="F3" s="34" t="s">
        <v>49</v>
      </c>
      <c r="G3" s="34" t="s">
        <v>57</v>
      </c>
      <c r="H3" s="34" t="s">
        <v>91</v>
      </c>
      <c r="I3" s="24" t="s">
        <v>321</v>
      </c>
      <c r="J3" s="17" t="s">
        <v>52</v>
      </c>
      <c r="K3" s="34" t="str">
        <f>SUBSTITUTE($I3,"hazr-","")&amp;"-nic"</f>
        <v>d-dis-adm01-nic</v>
      </c>
      <c r="L3" s="36" t="s">
        <v>341</v>
      </c>
    </row>
    <row r="4" spans="1:12" x14ac:dyDescent="0.3">
      <c r="A4" s="37"/>
      <c r="B4" s="32" t="s">
        <v>31</v>
      </c>
      <c r="C4" s="32" t="str" cm="1">
        <f t="array" ref="C4">UPPER(INDEX(_xlfn.TEXTSPLIT($I4, "-"), 3))</f>
        <v>DIS</v>
      </c>
      <c r="D4" s="32" t="s">
        <v>49</v>
      </c>
      <c r="E4" s="32" t="str">
        <f t="shared" ref="E4:E35" si="0">SUBSTITUTE($I4,"hazr-","")&amp;"-nsg"</f>
        <v>d-dis-bbiweb01-nsg</v>
      </c>
      <c r="F4" s="32" t="s">
        <v>49</v>
      </c>
      <c r="G4" s="32" t="s">
        <v>56</v>
      </c>
      <c r="H4" s="32" t="s">
        <v>59</v>
      </c>
      <c r="I4" s="22" t="s">
        <v>322</v>
      </c>
      <c r="J4" s="16" t="s">
        <v>52</v>
      </c>
      <c r="K4" s="32" t="str">
        <f t="shared" ref="K4:K48" si="1">SUBSTITUTE($I4,"hazr-","")&amp;"-nic"</f>
        <v>d-dis-bbiweb01-nic</v>
      </c>
      <c r="L4" s="33" t="s">
        <v>341</v>
      </c>
    </row>
    <row r="5" spans="1:12" x14ac:dyDescent="0.3">
      <c r="A5" s="37"/>
      <c r="B5" s="34" t="s">
        <v>31</v>
      </c>
      <c r="C5" s="34" t="str" cm="1">
        <f t="array" ref="C5">UPPER(INDEX(_xlfn.TEXTSPLIT($I5, "-"), 3))</f>
        <v>DIS</v>
      </c>
      <c r="D5" s="34" t="s">
        <v>49</v>
      </c>
      <c r="E5" s="34" t="str">
        <f t="shared" si="0"/>
        <v>d-dis-bbicltap01-nsg</v>
      </c>
      <c r="F5" s="34" t="s">
        <v>49</v>
      </c>
      <c r="G5" s="34" t="s">
        <v>57</v>
      </c>
      <c r="H5" s="34" t="s">
        <v>91</v>
      </c>
      <c r="I5" s="24" t="s">
        <v>342</v>
      </c>
      <c r="J5" s="17" t="s">
        <v>52</v>
      </c>
      <c r="K5" s="34" t="str">
        <f t="shared" si="1"/>
        <v>d-dis-bbicltap01-nic</v>
      </c>
      <c r="L5" s="36" t="s">
        <v>341</v>
      </c>
    </row>
    <row r="6" spans="1:12" x14ac:dyDescent="0.3">
      <c r="A6" s="37"/>
      <c r="B6" s="35" t="s">
        <v>31</v>
      </c>
      <c r="C6" s="32" t="str" cm="1">
        <f t="array" ref="C6">UPPER(INDEX(_xlfn.TEXTSPLIT($I6, "-"), 3))</f>
        <v>DIS</v>
      </c>
      <c r="D6" s="32" t="s">
        <v>49</v>
      </c>
      <c r="E6" s="32" t="str">
        <f t="shared" si="0"/>
        <v>d-dis-bbimsgap01-nsg</v>
      </c>
      <c r="F6" s="32" t="s">
        <v>49</v>
      </c>
      <c r="G6" s="32" t="s">
        <v>57</v>
      </c>
      <c r="H6" s="32" t="s">
        <v>91</v>
      </c>
      <c r="I6" s="22" t="s">
        <v>200</v>
      </c>
      <c r="J6" s="16" t="s">
        <v>52</v>
      </c>
      <c r="K6" s="32" t="str">
        <f t="shared" si="1"/>
        <v>d-dis-bbimsgap01-nic</v>
      </c>
      <c r="L6" s="33" t="s">
        <v>341</v>
      </c>
    </row>
    <row r="7" spans="1:12" x14ac:dyDescent="0.3">
      <c r="A7" s="37"/>
      <c r="B7" s="35" t="s">
        <v>31</v>
      </c>
      <c r="C7" s="32" t="str" cm="1">
        <f t="array" ref="C7">UPPER(INDEX(_xlfn.TEXTSPLIT($I7, "-"), 3))</f>
        <v>DIS</v>
      </c>
      <c r="D7" s="32" t="s">
        <v>49</v>
      </c>
      <c r="E7" s="32" t="str">
        <f t="shared" si="0"/>
        <v>d-dis-bat01-nsg</v>
      </c>
      <c r="F7" s="32" t="s">
        <v>49</v>
      </c>
      <c r="G7" s="32" t="s">
        <v>57</v>
      </c>
      <c r="H7" s="32" t="s">
        <v>91</v>
      </c>
      <c r="I7" s="22" t="s">
        <v>202</v>
      </c>
      <c r="J7" s="16" t="s">
        <v>52</v>
      </c>
      <c r="K7" s="32" t="str">
        <f t="shared" si="1"/>
        <v>d-dis-bat01-nic</v>
      </c>
      <c r="L7" s="33" t="s">
        <v>341</v>
      </c>
    </row>
    <row r="8" spans="1:12" x14ac:dyDescent="0.3">
      <c r="A8" s="37"/>
      <c r="B8" s="34" t="s">
        <v>31</v>
      </c>
      <c r="C8" s="34" t="str" cm="1">
        <f t="array" ref="C8">UPPER(INDEX(_xlfn.TEXTSPLIT($I8, "-"), 3))</f>
        <v>DIS</v>
      </c>
      <c r="D8" s="34" t="s">
        <v>49</v>
      </c>
      <c r="E8" s="34" t="str">
        <f t="shared" si="0"/>
        <v>d-dis-drvcltap01-nsg</v>
      </c>
      <c r="F8" s="34" t="s">
        <v>49</v>
      </c>
      <c r="G8" s="34" t="s">
        <v>57</v>
      </c>
      <c r="H8" s="34" t="s">
        <v>91</v>
      </c>
      <c r="I8" s="24" t="s">
        <v>325</v>
      </c>
      <c r="J8" s="17" t="s">
        <v>52</v>
      </c>
      <c r="K8" s="34" t="str">
        <f t="shared" si="1"/>
        <v>d-dis-drvcltap01-nic</v>
      </c>
      <c r="L8" s="36" t="s">
        <v>341</v>
      </c>
    </row>
    <row r="9" spans="1:12" x14ac:dyDescent="0.3">
      <c r="A9" s="37"/>
      <c r="B9" s="34" t="s">
        <v>31</v>
      </c>
      <c r="C9" s="34" t="str" cm="1">
        <f t="array" ref="C9">UPPER(INDEX(_xlfn.TEXTSPLIT($I9, "-"), 3))</f>
        <v>DIS</v>
      </c>
      <c r="D9" s="34" t="s">
        <v>49</v>
      </c>
      <c r="E9" s="34" t="str">
        <f t="shared" si="0"/>
        <v>d-dis-drvmsgap01-nsg</v>
      </c>
      <c r="F9" s="34" t="s">
        <v>49</v>
      </c>
      <c r="G9" s="34" t="s">
        <v>57</v>
      </c>
      <c r="H9" s="34" t="s">
        <v>91</v>
      </c>
      <c r="I9" s="24" t="s">
        <v>343</v>
      </c>
      <c r="J9" s="17" t="s">
        <v>52</v>
      </c>
      <c r="K9" s="34" t="str">
        <f t="shared" si="1"/>
        <v>d-dis-drvmsgap01-nic</v>
      </c>
      <c r="L9" s="36" t="s">
        <v>341</v>
      </c>
    </row>
    <row r="10" spans="1:12" x14ac:dyDescent="0.3">
      <c r="A10" s="37"/>
      <c r="B10" s="35" t="s">
        <v>31</v>
      </c>
      <c r="C10" s="32" t="str" cm="1">
        <f t="array" ref="C10">UPPER(INDEX(_xlfn.TEXTSPLIT($I10, "-"), 3))</f>
        <v>DIS</v>
      </c>
      <c r="D10" s="32" t="s">
        <v>49</v>
      </c>
      <c r="E10" s="32" t="str">
        <f t="shared" si="0"/>
        <v>d-dis-web01-nsg</v>
      </c>
      <c r="F10" s="32" t="s">
        <v>49</v>
      </c>
      <c r="G10" s="32" t="s">
        <v>56</v>
      </c>
      <c r="H10" s="32" t="s">
        <v>59</v>
      </c>
      <c r="I10" s="22" t="s">
        <v>326</v>
      </c>
      <c r="J10" s="16" t="s">
        <v>52</v>
      </c>
      <c r="K10" s="32" t="str">
        <f t="shared" si="1"/>
        <v>d-dis-web01-nic</v>
      </c>
      <c r="L10" s="33" t="s">
        <v>341</v>
      </c>
    </row>
    <row r="11" spans="1:12" x14ac:dyDescent="0.3">
      <c r="A11" s="37"/>
      <c r="B11" s="34" t="s">
        <v>31</v>
      </c>
      <c r="C11" s="34" t="str" cm="1">
        <f t="array" ref="C11">UPPER(INDEX(_xlfn.TEXTSPLIT($I11, "-"), 3))</f>
        <v>DIS</v>
      </c>
      <c r="D11" s="34" t="s">
        <v>49</v>
      </c>
      <c r="E11" s="34" t="str">
        <f t="shared" si="0"/>
        <v>d-dis-cmsadm01-nsg</v>
      </c>
      <c r="F11" s="34" t="s">
        <v>49</v>
      </c>
      <c r="G11" s="34" t="s">
        <v>57</v>
      </c>
      <c r="H11" s="34" t="s">
        <v>91</v>
      </c>
      <c r="I11" s="24" t="s">
        <v>327</v>
      </c>
      <c r="J11" s="17" t="s">
        <v>52</v>
      </c>
      <c r="K11" s="34" t="str">
        <f t="shared" si="1"/>
        <v>d-dis-cmsadm01-nic</v>
      </c>
      <c r="L11" s="36" t="s">
        <v>341</v>
      </c>
    </row>
    <row r="12" spans="1:12" x14ac:dyDescent="0.3">
      <c r="A12" s="37"/>
      <c r="B12" s="35" t="s">
        <v>31</v>
      </c>
      <c r="C12" s="32" t="str" cm="1">
        <f t="array" ref="C12">UPPER(INDEX(_xlfn.TEXTSPLIT($I12, "-"), 3))</f>
        <v>DIS</v>
      </c>
      <c r="D12" s="32" t="s">
        <v>49</v>
      </c>
      <c r="E12" s="32" t="str">
        <f t="shared" si="0"/>
        <v>d-dis-cmsap01-nsg</v>
      </c>
      <c r="F12" s="32" t="s">
        <v>49</v>
      </c>
      <c r="G12" s="32" t="s">
        <v>57</v>
      </c>
      <c r="H12" s="32" t="s">
        <v>91</v>
      </c>
      <c r="I12" s="22" t="s">
        <v>212</v>
      </c>
      <c r="J12" s="16" t="s">
        <v>52</v>
      </c>
      <c r="K12" s="32" t="str">
        <f t="shared" si="1"/>
        <v>d-dis-cmsap01-nic</v>
      </c>
      <c r="L12" s="33" t="s">
        <v>341</v>
      </c>
    </row>
    <row r="13" spans="1:12" x14ac:dyDescent="0.3">
      <c r="A13" s="37"/>
      <c r="B13" s="34" t="s">
        <v>31</v>
      </c>
      <c r="C13" s="34" t="str" cm="1">
        <f t="array" ref="C13">UPPER(INDEX(_xlfn.TEXTSPLIT($I13, "-"), 3))</f>
        <v>DIS</v>
      </c>
      <c r="D13" s="34" t="s">
        <v>49</v>
      </c>
      <c r="E13" s="34" t="str">
        <f t="shared" si="0"/>
        <v>d-dis-cmsweb01-nsg</v>
      </c>
      <c r="F13" s="34" t="s">
        <v>49</v>
      </c>
      <c r="G13" s="34" t="s">
        <v>56</v>
      </c>
      <c r="H13" s="34" t="s">
        <v>59</v>
      </c>
      <c r="I13" s="24" t="s">
        <v>324</v>
      </c>
      <c r="J13" s="17" t="s">
        <v>52</v>
      </c>
      <c r="K13" s="34" t="str">
        <f t="shared" si="1"/>
        <v>d-dis-cmsweb01-nic</v>
      </c>
      <c r="L13" s="36" t="s">
        <v>341</v>
      </c>
    </row>
    <row r="14" spans="1:12" x14ac:dyDescent="0.3">
      <c r="A14" s="37"/>
      <c r="B14" s="35" t="s">
        <v>31</v>
      </c>
      <c r="C14" s="32" t="str" cm="1">
        <f t="array" ref="C14">UPPER(INDEX(_xlfn.TEXTSPLIT($I14, "-"), 3))</f>
        <v>DIS</v>
      </c>
      <c r="D14" s="32" t="s">
        <v>49</v>
      </c>
      <c r="E14" s="32" t="str">
        <f t="shared" si="0"/>
        <v>d-dis-cmbsap01-nsg</v>
      </c>
      <c r="F14" s="32" t="s">
        <v>49</v>
      </c>
      <c r="G14" s="32" t="s">
        <v>57</v>
      </c>
      <c r="H14" s="32" t="s">
        <v>91</v>
      </c>
      <c r="I14" s="22" t="s">
        <v>340</v>
      </c>
      <c r="J14" s="16" t="s">
        <v>52</v>
      </c>
      <c r="K14" s="32" t="str">
        <f t="shared" si="1"/>
        <v>d-dis-cmbsap01-nic</v>
      </c>
      <c r="L14" s="33" t="s">
        <v>341</v>
      </c>
    </row>
    <row r="15" spans="1:12" x14ac:dyDescent="0.3">
      <c r="A15" s="37"/>
      <c r="B15" s="34" t="s">
        <v>31</v>
      </c>
      <c r="C15" s="34" t="str" cm="1">
        <f t="array" ref="C15">UPPER(INDEX(_xlfn.TEXTSPLIT($I15, "-"), 3))</f>
        <v>DTG</v>
      </c>
      <c r="D15" s="34" t="s">
        <v>49</v>
      </c>
      <c r="E15" s="34" t="str">
        <f t="shared" si="0"/>
        <v>d-dtg-ingap01-nsg</v>
      </c>
      <c r="F15" s="34" t="s">
        <v>49</v>
      </c>
      <c r="G15" s="34" t="s">
        <v>57</v>
      </c>
      <c r="H15" s="34" t="s">
        <v>119</v>
      </c>
      <c r="I15" s="24" t="s">
        <v>344</v>
      </c>
      <c r="J15" s="17" t="s">
        <v>54</v>
      </c>
      <c r="K15" s="34" t="str">
        <f t="shared" si="1"/>
        <v>d-dtg-ingap01-nic</v>
      </c>
      <c r="L15" s="36" t="s">
        <v>341</v>
      </c>
    </row>
    <row r="16" spans="1:12" x14ac:dyDescent="0.3">
      <c r="A16" s="37"/>
      <c r="B16" s="35" t="s">
        <v>31</v>
      </c>
      <c r="C16" s="32" t="str" cm="1">
        <f t="array" ref="C16">UPPER(INDEX(_xlfn.TEXTSPLIT($I16, "-"), 3))</f>
        <v>DTG</v>
      </c>
      <c r="D16" s="32" t="s">
        <v>49</v>
      </c>
      <c r="E16" s="32" t="str">
        <f t="shared" si="0"/>
        <v>d-dtg-ap01-nsg</v>
      </c>
      <c r="F16" s="32" t="s">
        <v>49</v>
      </c>
      <c r="G16" s="32" t="s">
        <v>57</v>
      </c>
      <c r="H16" s="32" t="s">
        <v>119</v>
      </c>
      <c r="I16" s="22" t="s">
        <v>222</v>
      </c>
      <c r="J16" s="16" t="s">
        <v>54</v>
      </c>
      <c r="K16" s="32" t="str">
        <f t="shared" si="1"/>
        <v>d-dtg-ap01-nic</v>
      </c>
      <c r="L16" s="33" t="s">
        <v>341</v>
      </c>
    </row>
    <row r="17" spans="1:12" x14ac:dyDescent="0.3">
      <c r="A17" s="37"/>
      <c r="B17" s="34" t="s">
        <v>31</v>
      </c>
      <c r="C17" s="34" t="str" cm="1">
        <f t="array" ref="C17">UPPER(INDEX(_xlfn.TEXTSPLIT($I17, "-"), 3))</f>
        <v>DTG</v>
      </c>
      <c r="D17" s="34" t="s">
        <v>49</v>
      </c>
      <c r="E17" s="34" t="str">
        <f t="shared" si="0"/>
        <v>d-dtg-extgeoap01-nsg</v>
      </c>
      <c r="F17" s="34" t="s">
        <v>49</v>
      </c>
      <c r="G17" s="34" t="s">
        <v>57</v>
      </c>
      <c r="H17" s="34" t="s">
        <v>119</v>
      </c>
      <c r="I17" s="24" t="s">
        <v>345</v>
      </c>
      <c r="J17" s="17" t="s">
        <v>54</v>
      </c>
      <c r="K17" s="34" t="str">
        <f t="shared" si="1"/>
        <v>d-dtg-extgeoap01-nic</v>
      </c>
      <c r="L17" s="36" t="s">
        <v>341</v>
      </c>
    </row>
    <row r="18" spans="1:12" x14ac:dyDescent="0.3">
      <c r="A18" s="37"/>
      <c r="B18" s="35" t="s">
        <v>31</v>
      </c>
      <c r="C18" s="32" t="str" cm="1">
        <f t="array" ref="C18">UPPER(INDEX(_xlfn.TEXTSPLIT($I18, "-"), 3))</f>
        <v>DTG</v>
      </c>
      <c r="D18" s="32" t="s">
        <v>49</v>
      </c>
      <c r="E18" s="32" t="str">
        <f t="shared" si="0"/>
        <v>d-dtg-geoap01-nsg</v>
      </c>
      <c r="F18" s="32" t="s">
        <v>49</v>
      </c>
      <c r="G18" s="32" t="s">
        <v>57</v>
      </c>
      <c r="H18" s="32" t="s">
        <v>119</v>
      </c>
      <c r="I18" s="22" t="s">
        <v>226</v>
      </c>
      <c r="J18" s="16" t="s">
        <v>54</v>
      </c>
      <c r="K18" s="32" t="str">
        <f t="shared" si="1"/>
        <v>d-dtg-geoap01-nic</v>
      </c>
      <c r="L18" s="33" t="s">
        <v>341</v>
      </c>
    </row>
    <row r="19" spans="1:12" x14ac:dyDescent="0.3">
      <c r="A19" s="37"/>
      <c r="B19" s="34" t="s">
        <v>31</v>
      </c>
      <c r="C19" s="34" t="str" cm="1">
        <f t="array" ref="C19">UPPER(INDEX(_xlfn.TEXTSPLIT($I19, "-"), 3))</f>
        <v>DTG</v>
      </c>
      <c r="D19" s="34" t="s">
        <v>49</v>
      </c>
      <c r="E19" s="34" t="str">
        <f t="shared" si="0"/>
        <v>d-dtg-mq01-nsg</v>
      </c>
      <c r="F19" s="34" t="s">
        <v>49</v>
      </c>
      <c r="G19" s="34" t="s">
        <v>56</v>
      </c>
      <c r="H19" s="34" t="s">
        <v>76</v>
      </c>
      <c r="I19" s="24" t="s">
        <v>346</v>
      </c>
      <c r="J19" s="17" t="s">
        <v>54</v>
      </c>
      <c r="K19" s="34" t="str">
        <f t="shared" si="1"/>
        <v>d-dtg-mq01-nic</v>
      </c>
      <c r="L19" s="36" t="s">
        <v>341</v>
      </c>
    </row>
    <row r="20" spans="1:12" x14ac:dyDescent="0.3">
      <c r="A20" s="37"/>
      <c r="B20" s="35" t="s">
        <v>31</v>
      </c>
      <c r="C20" s="32" t="str" cm="1">
        <f t="array" ref="C20">UPPER(INDEX(_xlfn.TEXTSPLIT($I20, "-"), 3))</f>
        <v>DTG</v>
      </c>
      <c r="D20" s="32" t="s">
        <v>49</v>
      </c>
      <c r="E20" s="32" t="str">
        <f t="shared" si="0"/>
        <v>d-dtg-admweb01-nsg</v>
      </c>
      <c r="F20" s="32" t="s">
        <v>49</v>
      </c>
      <c r="G20" s="32" t="s">
        <v>57</v>
      </c>
      <c r="H20" s="32" t="s">
        <v>119</v>
      </c>
      <c r="I20" s="22" t="s">
        <v>328</v>
      </c>
      <c r="J20" s="16" t="s">
        <v>54</v>
      </c>
      <c r="K20" s="32" t="str">
        <f t="shared" si="1"/>
        <v>d-dtg-admweb01-nic</v>
      </c>
      <c r="L20" s="33" t="s">
        <v>341</v>
      </c>
    </row>
    <row r="21" spans="1:12" x14ac:dyDescent="0.3">
      <c r="A21" s="37"/>
      <c r="B21" s="34" t="s">
        <v>31</v>
      </c>
      <c r="C21" s="34" t="str" cm="1">
        <f t="array" ref="C21">UPPER(INDEX(_xlfn.TEXTSPLIT($I21, "-"), 3))</f>
        <v>DTG</v>
      </c>
      <c r="D21" s="34" t="s">
        <v>49</v>
      </c>
      <c r="E21" s="34" t="str">
        <f t="shared" si="0"/>
        <v>d-dtg-admap01-nsg</v>
      </c>
      <c r="F21" s="34" t="s">
        <v>49</v>
      </c>
      <c r="G21" s="34" t="s">
        <v>57</v>
      </c>
      <c r="H21" s="34" t="s">
        <v>119</v>
      </c>
      <c r="I21" s="24" t="s">
        <v>329</v>
      </c>
      <c r="J21" s="17" t="s">
        <v>54</v>
      </c>
      <c r="K21" s="34" t="str">
        <f t="shared" si="1"/>
        <v>d-dtg-admap01-nic</v>
      </c>
      <c r="L21" s="36" t="s">
        <v>341</v>
      </c>
    </row>
    <row r="22" spans="1:12" x14ac:dyDescent="0.3">
      <c r="A22" s="37"/>
      <c r="B22" s="35" t="s">
        <v>31</v>
      </c>
      <c r="C22" s="32" t="str" cm="1">
        <f t="array" ref="C22">UPPER(INDEX(_xlfn.TEXTSPLIT($I22, "-"), 3))</f>
        <v>DTG</v>
      </c>
      <c r="D22" s="32" t="s">
        <v>49</v>
      </c>
      <c r="E22" s="32" t="str">
        <f t="shared" si="0"/>
        <v>d-dtg-dtoms01-nsg</v>
      </c>
      <c r="F22" s="32" t="s">
        <v>49</v>
      </c>
      <c r="G22" s="32" t="s">
        <v>57</v>
      </c>
      <c r="H22" s="32" t="s">
        <v>119</v>
      </c>
      <c r="I22" s="22" t="s">
        <v>235</v>
      </c>
      <c r="J22" s="16" t="s">
        <v>54</v>
      </c>
      <c r="K22" s="32" t="str">
        <f t="shared" si="1"/>
        <v>d-dtg-dtoms01-nic</v>
      </c>
      <c r="L22" s="33" t="s">
        <v>341</v>
      </c>
    </row>
    <row r="23" spans="1:12" x14ac:dyDescent="0.3">
      <c r="A23" s="37"/>
      <c r="B23" s="34" t="s">
        <v>31</v>
      </c>
      <c r="C23" s="34" t="str" cm="1">
        <f t="array" ref="C23">UPPER(INDEX(_xlfn.TEXTSPLIT($I23, "-"), 3))</f>
        <v>DTG</v>
      </c>
      <c r="D23" s="34" t="s">
        <v>49</v>
      </c>
      <c r="E23" s="34" t="str">
        <f t="shared" si="0"/>
        <v>d-dtg-tsdb01-nsg</v>
      </c>
      <c r="F23" s="34" t="s">
        <v>49</v>
      </c>
      <c r="G23" s="34" t="s">
        <v>57</v>
      </c>
      <c r="H23" s="34" t="s">
        <v>120</v>
      </c>
      <c r="I23" s="24" t="s">
        <v>330</v>
      </c>
      <c r="J23" s="17" t="s">
        <v>54</v>
      </c>
      <c r="K23" s="34" t="str">
        <f t="shared" si="1"/>
        <v>d-dtg-tsdb01-nic</v>
      </c>
      <c r="L23" s="36" t="s">
        <v>341</v>
      </c>
    </row>
    <row r="24" spans="1:12" x14ac:dyDescent="0.3">
      <c r="A24" s="37"/>
      <c r="B24" s="35" t="s">
        <v>31</v>
      </c>
      <c r="C24" s="32" t="str" cm="1">
        <f t="array" ref="C24">UPPER(INDEX(_xlfn.TEXTSPLIT($I24, "-"), 3))</f>
        <v>DTG</v>
      </c>
      <c r="D24" s="32" t="s">
        <v>49</v>
      </c>
      <c r="E24" s="32" t="str">
        <f t="shared" si="0"/>
        <v>d-dtg-web01-nsg</v>
      </c>
      <c r="F24" s="32" t="s">
        <v>49</v>
      </c>
      <c r="G24" s="32" t="s">
        <v>56</v>
      </c>
      <c r="H24" s="32" t="s">
        <v>76</v>
      </c>
      <c r="I24" s="22" t="s">
        <v>331</v>
      </c>
      <c r="J24" s="16" t="s">
        <v>54</v>
      </c>
      <c r="K24" s="32" t="str">
        <f t="shared" si="1"/>
        <v>d-dtg-web01-nic</v>
      </c>
      <c r="L24" s="33" t="s">
        <v>341</v>
      </c>
    </row>
    <row r="25" spans="1:12" x14ac:dyDescent="0.3">
      <c r="A25" s="37"/>
      <c r="B25" s="34" t="s">
        <v>31</v>
      </c>
      <c r="C25" s="34" t="str" cm="1">
        <f t="array" ref="C25">UPPER(INDEX(_xlfn.TEXTSPLIT($I25, "-"), 3))</f>
        <v>DTG</v>
      </c>
      <c r="D25" s="34" t="s">
        <v>49</v>
      </c>
      <c r="E25" s="34" t="str">
        <f t="shared" si="0"/>
        <v>d-dtg-zkp01-nsg</v>
      </c>
      <c r="F25" s="34" t="s">
        <v>49</v>
      </c>
      <c r="G25" s="34" t="s">
        <v>57</v>
      </c>
      <c r="H25" s="34" t="s">
        <v>119</v>
      </c>
      <c r="I25" s="24" t="s">
        <v>347</v>
      </c>
      <c r="J25" s="17" t="s">
        <v>54</v>
      </c>
      <c r="K25" s="34" t="str">
        <f t="shared" si="1"/>
        <v>d-dtg-zkp01-nic</v>
      </c>
      <c r="L25" s="36" t="s">
        <v>341</v>
      </c>
    </row>
    <row r="26" spans="1:12" x14ac:dyDescent="0.3">
      <c r="A26" s="37"/>
      <c r="B26" s="35" t="s">
        <v>31</v>
      </c>
      <c r="C26" s="32" t="str" cm="1">
        <f t="array" ref="C26">UPPER(INDEX(_xlfn.TEXTSPLIT($I26, "-"), 3))</f>
        <v>DTG</v>
      </c>
      <c r="D26" s="32" t="s">
        <v>49</v>
      </c>
      <c r="E26" s="32" t="str">
        <f t="shared" si="0"/>
        <v>d-dtg-zkp02-nsg</v>
      </c>
      <c r="F26" s="32" t="s">
        <v>49</v>
      </c>
      <c r="G26" s="32" t="s">
        <v>57</v>
      </c>
      <c r="H26" s="32" t="s">
        <v>119</v>
      </c>
      <c r="I26" s="22" t="s">
        <v>245</v>
      </c>
      <c r="J26" s="16" t="s">
        <v>54</v>
      </c>
      <c r="K26" s="32" t="str">
        <f t="shared" si="1"/>
        <v>d-dtg-zkp02-nic</v>
      </c>
      <c r="L26" s="33" t="s">
        <v>341</v>
      </c>
    </row>
    <row r="27" spans="1:12" x14ac:dyDescent="0.3">
      <c r="A27" s="37"/>
      <c r="B27" s="34" t="s">
        <v>31</v>
      </c>
      <c r="C27" s="34" t="str" cm="1">
        <f t="array" ref="C27">UPPER(INDEX(_xlfn.TEXTSPLIT($I27, "-"), 3))</f>
        <v>DTG</v>
      </c>
      <c r="D27" s="34" t="s">
        <v>49</v>
      </c>
      <c r="E27" s="34" t="str">
        <f t="shared" si="0"/>
        <v>d-dtg-zkp03-nsg</v>
      </c>
      <c r="F27" s="34" t="s">
        <v>49</v>
      </c>
      <c r="G27" s="34" t="s">
        <v>57</v>
      </c>
      <c r="H27" s="34" t="s">
        <v>119</v>
      </c>
      <c r="I27" s="24" t="s">
        <v>348</v>
      </c>
      <c r="J27" s="17" t="s">
        <v>54</v>
      </c>
      <c r="K27" s="34" t="str">
        <f t="shared" si="1"/>
        <v>d-dtg-zkp03-nic</v>
      </c>
      <c r="L27" s="36" t="s">
        <v>341</v>
      </c>
    </row>
    <row r="28" spans="1:12" x14ac:dyDescent="0.3">
      <c r="A28" s="37"/>
      <c r="B28" s="35" t="s">
        <v>31</v>
      </c>
      <c r="C28" s="32" t="str" cm="1">
        <f t="array" ref="C28">UPPER(INDEX(_xlfn.TEXTSPLIT($I28, "-"), 3))</f>
        <v>DTG</v>
      </c>
      <c r="D28" s="32" t="s">
        <v>49</v>
      </c>
      <c r="E28" s="32" t="str">
        <f t="shared" si="0"/>
        <v>d-dtg-kfk01-nsg</v>
      </c>
      <c r="F28" s="32" t="s">
        <v>49</v>
      </c>
      <c r="G28" s="32" t="s">
        <v>57</v>
      </c>
      <c r="H28" s="32" t="s">
        <v>119</v>
      </c>
      <c r="I28" s="22" t="s">
        <v>249</v>
      </c>
      <c r="J28" s="16" t="s">
        <v>54</v>
      </c>
      <c r="K28" s="32" t="str">
        <f t="shared" si="1"/>
        <v>d-dtg-kfk01-nic</v>
      </c>
      <c r="L28" s="33" t="s">
        <v>341</v>
      </c>
    </row>
    <row r="29" spans="1:12" x14ac:dyDescent="0.3">
      <c r="A29" s="37"/>
      <c r="B29" s="34" t="s">
        <v>31</v>
      </c>
      <c r="C29" s="34" t="str" cm="1">
        <f t="array" ref="C29">UPPER(INDEX(_xlfn.TEXTSPLIT($I29, "-"), 3))</f>
        <v>DTG</v>
      </c>
      <c r="D29" s="34" t="s">
        <v>49</v>
      </c>
      <c r="E29" s="34" t="str">
        <f t="shared" si="0"/>
        <v>d-dtg-kfk02-nsg</v>
      </c>
      <c r="F29" s="34" t="s">
        <v>49</v>
      </c>
      <c r="G29" s="34" t="s">
        <v>57</v>
      </c>
      <c r="H29" s="34" t="s">
        <v>119</v>
      </c>
      <c r="I29" s="24" t="s">
        <v>349</v>
      </c>
      <c r="J29" s="17" t="s">
        <v>54</v>
      </c>
      <c r="K29" s="34" t="str">
        <f t="shared" si="1"/>
        <v>d-dtg-kfk02-nic</v>
      </c>
      <c r="L29" s="36" t="s">
        <v>341</v>
      </c>
    </row>
    <row r="30" spans="1:12" x14ac:dyDescent="0.3">
      <c r="A30" s="37"/>
      <c r="B30" s="35" t="s">
        <v>31</v>
      </c>
      <c r="C30" s="32" t="str" cm="1">
        <f t="array" ref="C30">UPPER(INDEX(_xlfn.TEXTSPLIT($I30, "-"), 3))</f>
        <v>DTG</v>
      </c>
      <c r="D30" s="32" t="s">
        <v>49</v>
      </c>
      <c r="E30" s="32" t="str">
        <f t="shared" si="0"/>
        <v>d-dtg-kfk03-nsg</v>
      </c>
      <c r="F30" s="32" t="s">
        <v>49</v>
      </c>
      <c r="G30" s="32" t="s">
        <v>57</v>
      </c>
      <c r="H30" s="32" t="s">
        <v>119</v>
      </c>
      <c r="I30" s="22" t="s">
        <v>253</v>
      </c>
      <c r="J30" s="16" t="s">
        <v>54</v>
      </c>
      <c r="K30" s="32" t="str">
        <f t="shared" si="1"/>
        <v>d-dtg-kfk03-nic</v>
      </c>
      <c r="L30" s="33" t="s">
        <v>341</v>
      </c>
    </row>
    <row r="31" spans="1:12" x14ac:dyDescent="0.3">
      <c r="A31" s="37"/>
      <c r="B31" s="34" t="s">
        <v>31</v>
      </c>
      <c r="C31" s="34" t="str" cm="1">
        <f t="array" ref="C31">UPPER(INDEX(_xlfn.TEXTSPLIT($I31, "-"), 3))</f>
        <v>DTG</v>
      </c>
      <c r="D31" s="34" t="s">
        <v>49</v>
      </c>
      <c r="E31" s="34" t="str">
        <f t="shared" si="0"/>
        <v>d-dtg-mdoms01-nsg</v>
      </c>
      <c r="F31" s="34" t="s">
        <v>49</v>
      </c>
      <c r="G31" s="34" t="s">
        <v>57</v>
      </c>
      <c r="H31" s="34" t="s">
        <v>119</v>
      </c>
      <c r="I31" s="24" t="s">
        <v>332</v>
      </c>
      <c r="J31" s="17" t="s">
        <v>54</v>
      </c>
      <c r="K31" s="34" t="str">
        <f t="shared" si="1"/>
        <v>d-dtg-mdoms01-nic</v>
      </c>
      <c r="L31" s="36" t="s">
        <v>341</v>
      </c>
    </row>
    <row r="32" spans="1:12" x14ac:dyDescent="0.3">
      <c r="A32" s="37"/>
      <c r="B32" s="35" t="s">
        <v>31</v>
      </c>
      <c r="C32" s="32" t="str" cm="1">
        <f t="array" ref="C32">UPPER(INDEX(_xlfn.TEXTSPLIT($I32, "-"), 3))</f>
        <v>DTG</v>
      </c>
      <c r="D32" s="32" t="s">
        <v>49</v>
      </c>
      <c r="E32" s="32" t="str">
        <f t="shared" si="0"/>
        <v>d-dtg-cdmlap01-nsg</v>
      </c>
      <c r="F32" s="32" t="s">
        <v>49</v>
      </c>
      <c r="G32" s="32" t="s">
        <v>57</v>
      </c>
      <c r="H32" s="32" t="s">
        <v>119</v>
      </c>
      <c r="I32" s="22" t="s">
        <v>257</v>
      </c>
      <c r="J32" s="16" t="s">
        <v>54</v>
      </c>
      <c r="K32" s="32" t="str">
        <f t="shared" si="1"/>
        <v>d-dtg-cdmlap01-nic</v>
      </c>
      <c r="L32" s="33" t="s">
        <v>341</v>
      </c>
    </row>
    <row r="33" spans="1:12" x14ac:dyDescent="0.3">
      <c r="A33" s="37"/>
      <c r="B33" s="34" t="s">
        <v>31</v>
      </c>
      <c r="C33" s="34" t="str" cm="1">
        <f t="array" ref="C33">UPPER(INDEX(_xlfn.TEXTSPLIT($I33, "-"), 3))</f>
        <v>DTG</v>
      </c>
      <c r="D33" s="34" t="s">
        <v>49</v>
      </c>
      <c r="E33" s="34" t="str">
        <f t="shared" si="0"/>
        <v>d-dtg-cdstap01-nsg</v>
      </c>
      <c r="F33" s="34" t="s">
        <v>49</v>
      </c>
      <c r="G33" s="34" t="s">
        <v>57</v>
      </c>
      <c r="H33" s="34" t="s">
        <v>119</v>
      </c>
      <c r="I33" s="24" t="s">
        <v>350</v>
      </c>
      <c r="J33" s="17" t="s">
        <v>54</v>
      </c>
      <c r="K33" s="34" t="str">
        <f t="shared" si="1"/>
        <v>d-dtg-cdstap01-nic</v>
      </c>
      <c r="L33" s="36" t="s">
        <v>341</v>
      </c>
    </row>
    <row r="34" spans="1:12" x14ac:dyDescent="0.3">
      <c r="A34" s="37"/>
      <c r="B34" s="35" t="s">
        <v>31</v>
      </c>
      <c r="C34" s="32" t="str" cm="1">
        <f t="array" ref="C34">UPPER(INDEX(_xlfn.TEXTSPLIT($I34, "-"), 3))</f>
        <v>DTG</v>
      </c>
      <c r="D34" s="32" t="s">
        <v>49</v>
      </c>
      <c r="E34" s="32" t="str">
        <f t="shared" si="0"/>
        <v>d-dtg-cdsvadm01-nsg</v>
      </c>
      <c r="F34" s="32" t="s">
        <v>49</v>
      </c>
      <c r="G34" s="32" t="s">
        <v>57</v>
      </c>
      <c r="H34" s="32" t="s">
        <v>119</v>
      </c>
      <c r="I34" s="22" t="s">
        <v>319</v>
      </c>
      <c r="J34" s="16" t="s">
        <v>54</v>
      </c>
      <c r="K34" s="32" t="str">
        <f t="shared" si="1"/>
        <v>d-dtg-cdsvadm01-nic</v>
      </c>
      <c r="L34" s="33" t="s">
        <v>341</v>
      </c>
    </row>
    <row r="35" spans="1:12" x14ac:dyDescent="0.3">
      <c r="A35" s="37"/>
      <c r="B35" s="34" t="s">
        <v>31</v>
      </c>
      <c r="C35" s="34" t="str" cm="1">
        <f t="array" ref="C35">UPPER(INDEX(_xlfn.TEXTSPLIT($I35, "-"), 3))</f>
        <v>DTG</v>
      </c>
      <c r="D35" s="34" t="s">
        <v>49</v>
      </c>
      <c r="E35" s="34" t="str">
        <f t="shared" si="0"/>
        <v>d-dtg-diosap01-nsg</v>
      </c>
      <c r="F35" s="34" t="s">
        <v>49</v>
      </c>
      <c r="G35" s="34" t="s">
        <v>57</v>
      </c>
      <c r="H35" s="34" t="s">
        <v>119</v>
      </c>
      <c r="I35" s="24" t="s">
        <v>351</v>
      </c>
      <c r="J35" s="17" t="s">
        <v>54</v>
      </c>
      <c r="K35" s="34" t="str">
        <f t="shared" si="1"/>
        <v>d-dtg-diosap01-nic</v>
      </c>
      <c r="L35" s="36" t="s">
        <v>341</v>
      </c>
    </row>
    <row r="36" spans="1:12" x14ac:dyDescent="0.3">
      <c r="A36" s="37"/>
      <c r="B36" s="35" t="s">
        <v>31</v>
      </c>
      <c r="C36" s="32" t="str" cm="1">
        <f t="array" ref="C36">UPPER(INDEX(_xlfn.TEXTSPLIT($I36, "-"), 3))</f>
        <v>DTG</v>
      </c>
      <c r="D36" s="32" t="s">
        <v>49</v>
      </c>
      <c r="E36" s="32" t="str">
        <f>SUBSTITUTE($I36,"hazr-","")&amp;"-nsg"</f>
        <v>d-dtg-diosweb01-nsg</v>
      </c>
      <c r="F36" s="32" t="s">
        <v>49</v>
      </c>
      <c r="G36" s="32" t="s">
        <v>57</v>
      </c>
      <c r="H36" s="32" t="s">
        <v>119</v>
      </c>
      <c r="I36" s="22" t="s">
        <v>333</v>
      </c>
      <c r="J36" s="16" t="s">
        <v>54</v>
      </c>
      <c r="K36" s="32" t="str">
        <f t="shared" si="1"/>
        <v>d-dtg-diosweb01-nic</v>
      </c>
      <c r="L36" s="33" t="s">
        <v>341</v>
      </c>
    </row>
    <row r="37" spans="1:12" x14ac:dyDescent="0.3">
      <c r="A37" s="37"/>
      <c r="B37" s="34" t="s">
        <v>31</v>
      </c>
      <c r="C37" s="34" t="str" cm="1">
        <f t="array" ref="C37">UPPER(INDEX(_xlfn.TEXTSPLIT($I37, "-"), 3))</f>
        <v>DTG</v>
      </c>
      <c r="D37" s="34" t="s">
        <v>49</v>
      </c>
      <c r="E37" s="34" t="str">
        <f>SUBSTITUTE($I37,"hazr-","")&amp;"-nsg"</f>
        <v>d-dtg-dprweb01-nsg</v>
      </c>
      <c r="F37" s="34" t="s">
        <v>49</v>
      </c>
      <c r="G37" s="34" t="s">
        <v>56</v>
      </c>
      <c r="H37" s="34" t="s">
        <v>76</v>
      </c>
      <c r="I37" s="24" t="s">
        <v>334</v>
      </c>
      <c r="J37" s="17" t="s">
        <v>54</v>
      </c>
      <c r="K37" s="34" t="str">
        <f t="shared" si="1"/>
        <v>d-dtg-dprweb01-nic</v>
      </c>
      <c r="L37" s="36" t="s">
        <v>341</v>
      </c>
    </row>
    <row r="38" spans="1:12" x14ac:dyDescent="0.3">
      <c r="A38" s="37"/>
      <c r="B38" s="35" t="s">
        <v>31</v>
      </c>
      <c r="C38" s="32" t="str" cm="1">
        <f t="array" ref="C38">UPPER(INDEX(_xlfn.TEXTSPLIT($I38, "-"), 3))</f>
        <v>DTG</v>
      </c>
      <c r="D38" s="32" t="s">
        <v>49</v>
      </c>
      <c r="E38" s="32" t="str">
        <f t="shared" ref="E38:E48" si="2">SUBSTITUTE($I38,"hazr-","")&amp;"-nsg"</f>
        <v>d-dtg-dprap01-nsg</v>
      </c>
      <c r="F38" s="32" t="s">
        <v>49</v>
      </c>
      <c r="G38" s="32" t="s">
        <v>57</v>
      </c>
      <c r="H38" s="32" t="s">
        <v>119</v>
      </c>
      <c r="I38" s="22" t="s">
        <v>268</v>
      </c>
      <c r="J38" s="16" t="s">
        <v>54</v>
      </c>
      <c r="K38" s="32" t="str">
        <f t="shared" si="1"/>
        <v>d-dtg-dprap01-nic</v>
      </c>
      <c r="L38" s="33" t="s">
        <v>341</v>
      </c>
    </row>
    <row r="39" spans="1:12" x14ac:dyDescent="0.3">
      <c r="A39" s="37"/>
      <c r="B39" s="34" t="s">
        <v>31</v>
      </c>
      <c r="C39" s="34" t="str" cm="1">
        <f t="array" ref="C39">UPPER(INDEX(_xlfn.TEXTSPLIT($I39, "-"), 3))</f>
        <v>BDP</v>
      </c>
      <c r="D39" s="34" t="s">
        <v>49</v>
      </c>
      <c r="E39" s="34" t="str">
        <f t="shared" si="2"/>
        <v>d-bdp-airfw01-nsg</v>
      </c>
      <c r="F39" s="34" t="s">
        <v>49</v>
      </c>
      <c r="G39" s="34" t="s">
        <v>57</v>
      </c>
      <c r="H39" s="34" t="s">
        <v>127</v>
      </c>
      <c r="I39" s="24" t="s">
        <v>335</v>
      </c>
      <c r="J39" s="17" t="s">
        <v>183</v>
      </c>
      <c r="K39" s="34" t="str">
        <f t="shared" si="1"/>
        <v>d-bdp-airfw01-nic</v>
      </c>
      <c r="L39" s="36" t="s">
        <v>341</v>
      </c>
    </row>
    <row r="40" spans="1:12" x14ac:dyDescent="0.3">
      <c r="A40" s="37"/>
      <c r="B40" s="35" t="s">
        <v>31</v>
      </c>
      <c r="C40" s="32" t="str" cm="1">
        <f t="array" ref="C40">UPPER(INDEX(_xlfn.TEXTSPLIT($I40, "-"), 3))</f>
        <v>BDP</v>
      </c>
      <c r="D40" s="32" t="s">
        <v>49</v>
      </c>
      <c r="E40" s="32" t="str">
        <f t="shared" si="2"/>
        <v>d-bdp-kepler01-nsg</v>
      </c>
      <c r="F40" s="32" t="s">
        <v>49</v>
      </c>
      <c r="G40" s="32" t="s">
        <v>57</v>
      </c>
      <c r="H40" s="32" t="s">
        <v>127</v>
      </c>
      <c r="I40" s="22" t="s">
        <v>336</v>
      </c>
      <c r="J40" s="16" t="s">
        <v>183</v>
      </c>
      <c r="K40" s="32" t="str">
        <f t="shared" si="1"/>
        <v>d-bdp-kepler01-nic</v>
      </c>
      <c r="L40" s="33" t="s">
        <v>341</v>
      </c>
    </row>
    <row r="41" spans="1:12" x14ac:dyDescent="0.3">
      <c r="A41" s="37"/>
      <c r="B41" s="34" t="s">
        <v>31</v>
      </c>
      <c r="C41" s="34" t="str" cm="1">
        <f t="array" ref="C41">UPPER(INDEX(_xlfn.TEXTSPLIT($I41, "-"), 3))</f>
        <v>BDP</v>
      </c>
      <c r="D41" s="34" t="s">
        <v>49</v>
      </c>
      <c r="E41" s="34" t="str">
        <f t="shared" si="2"/>
        <v>d-bdp-cxmadm01-nsg</v>
      </c>
      <c r="F41" s="34" t="s">
        <v>49</v>
      </c>
      <c r="G41" s="34" t="s">
        <v>57</v>
      </c>
      <c r="H41" s="34" t="s">
        <v>127</v>
      </c>
      <c r="I41" s="24" t="s">
        <v>320</v>
      </c>
      <c r="J41" s="17" t="s">
        <v>183</v>
      </c>
      <c r="K41" s="34" t="str">
        <f t="shared" si="1"/>
        <v>d-bdp-cxmadm01-nic</v>
      </c>
      <c r="L41" s="36" t="s">
        <v>341</v>
      </c>
    </row>
    <row r="42" spans="1:12" x14ac:dyDescent="0.3">
      <c r="A42" s="37"/>
      <c r="B42" s="35" t="s">
        <v>31</v>
      </c>
      <c r="C42" s="32" t="str" cm="1">
        <f t="array" ref="C42">UPPER(INDEX(_xlfn.TEXTSPLIT($I42, "-"), 3))</f>
        <v>BDP</v>
      </c>
      <c r="D42" s="32" t="s">
        <v>49</v>
      </c>
      <c r="E42" s="32" t="str">
        <f t="shared" si="2"/>
        <v>d-bdp-slap01-nsg</v>
      </c>
      <c r="F42" s="32" t="s">
        <v>49</v>
      </c>
      <c r="G42" s="32" t="s">
        <v>57</v>
      </c>
      <c r="H42" s="32" t="s">
        <v>127</v>
      </c>
      <c r="I42" s="22" t="s">
        <v>337</v>
      </c>
      <c r="J42" s="16" t="s">
        <v>183</v>
      </c>
      <c r="K42" s="32" t="str">
        <f t="shared" si="1"/>
        <v>d-bdp-slap01-nic</v>
      </c>
      <c r="L42" s="33" t="s">
        <v>341</v>
      </c>
    </row>
    <row r="43" spans="1:12" ht="15.75" customHeight="1" x14ac:dyDescent="0.3">
      <c r="A43" s="37"/>
      <c r="B43" s="34" t="s">
        <v>31</v>
      </c>
      <c r="C43" s="34" t="str" cm="1">
        <f t="array" ref="C43">UPPER(INDEX(_xlfn.TEXTSPLIT($I43, "-"), 3))</f>
        <v>DIP</v>
      </c>
      <c r="D43" s="34" t="s">
        <v>49</v>
      </c>
      <c r="E43" s="34" t="str">
        <f t="shared" si="2"/>
        <v>d-dip-adm01-nsg</v>
      </c>
      <c r="F43" s="34" t="s">
        <v>49</v>
      </c>
      <c r="G43" s="34" t="s">
        <v>57</v>
      </c>
      <c r="H43" s="34" t="s">
        <v>352</v>
      </c>
      <c r="I43" s="24" t="s">
        <v>338</v>
      </c>
      <c r="J43" s="17" t="s">
        <v>291</v>
      </c>
      <c r="K43" s="34" t="str">
        <f t="shared" si="1"/>
        <v>d-dip-adm01-nic</v>
      </c>
      <c r="L43" s="36" t="s">
        <v>341</v>
      </c>
    </row>
    <row r="44" spans="1:12" x14ac:dyDescent="0.3">
      <c r="A44" s="37"/>
      <c r="B44" s="35" t="s">
        <v>31</v>
      </c>
      <c r="C44" s="32" t="str" cm="1">
        <f t="array" ref="C44">UPPER(INDEX(_xlfn.TEXTSPLIT($I44, "-"), 3))</f>
        <v>IF</v>
      </c>
      <c r="D44" s="32" t="s">
        <v>49</v>
      </c>
      <c r="E44" s="32" t="str">
        <f t="shared" si="2"/>
        <v>d-if-auth01-nsg</v>
      </c>
      <c r="F44" s="32" t="s">
        <v>49</v>
      </c>
      <c r="G44" s="32" t="s">
        <v>57</v>
      </c>
      <c r="H44" s="32" t="s">
        <v>166</v>
      </c>
      <c r="I44" s="22" t="s">
        <v>372</v>
      </c>
      <c r="J44" s="16" t="s">
        <v>55</v>
      </c>
      <c r="K44" s="32" t="str">
        <f t="shared" si="1"/>
        <v>d-if-auth01-nic</v>
      </c>
      <c r="L44" s="33" t="s">
        <v>341</v>
      </c>
    </row>
    <row r="45" spans="1:12" x14ac:dyDescent="0.3">
      <c r="A45" s="37"/>
      <c r="B45" s="35" t="s">
        <v>31</v>
      </c>
      <c r="C45" s="32" t="str" cm="1">
        <f t="array" ref="C45">UPPER(INDEX(_xlfn.TEXTSPLIT($I45, "-"), 3))</f>
        <v>IF</v>
      </c>
      <c r="D45" s="32" t="s">
        <v>49</v>
      </c>
      <c r="E45" s="32" t="str">
        <f t="shared" si="2"/>
        <v>d-if-gramon01-nsg</v>
      </c>
      <c r="F45" s="32" t="s">
        <v>49</v>
      </c>
      <c r="G45" s="32" t="s">
        <v>57</v>
      </c>
      <c r="H45" s="32" t="s">
        <v>166</v>
      </c>
      <c r="I45" s="22" t="s">
        <v>280</v>
      </c>
      <c r="J45" s="16" t="s">
        <v>55</v>
      </c>
      <c r="K45" s="32" t="str">
        <f t="shared" si="1"/>
        <v>d-if-gramon01-nic</v>
      </c>
      <c r="L45" s="33" t="s">
        <v>341</v>
      </c>
    </row>
    <row r="46" spans="1:12" x14ac:dyDescent="0.3">
      <c r="A46" s="37"/>
      <c r="B46" s="35" t="s">
        <v>31</v>
      </c>
      <c r="C46" s="32" t="str" cm="1">
        <f t="array" ref="C46">UPPER(INDEX(_xlfn.TEXTSPLIT($I46, "-"), 3))</f>
        <v>BDP</v>
      </c>
      <c r="D46" s="32" t="s">
        <v>49</v>
      </c>
      <c r="E46" s="32" t="str">
        <f t="shared" si="2"/>
        <v>d-bdp-crkweb01-nsg</v>
      </c>
      <c r="F46" s="32" t="s">
        <v>49</v>
      </c>
      <c r="G46" s="32" t="s">
        <v>56</v>
      </c>
      <c r="H46" s="32" t="s">
        <v>78</v>
      </c>
      <c r="I46" s="22" t="s">
        <v>339</v>
      </c>
      <c r="J46" s="16" t="s">
        <v>183</v>
      </c>
      <c r="K46" s="32" t="str">
        <f t="shared" si="1"/>
        <v>d-bdp-crkweb01-nic</v>
      </c>
      <c r="L46" s="33" t="s">
        <v>341</v>
      </c>
    </row>
    <row r="47" spans="1:12" x14ac:dyDescent="0.3">
      <c r="A47" s="37"/>
      <c r="B47" s="34" t="s">
        <v>31</v>
      </c>
      <c r="C47" s="34" t="str" cm="1">
        <f t="array" ref="C47">UPPER(INDEX(_xlfn.TEXTSPLIT($I47, "-"), 3))</f>
        <v>BDP</v>
      </c>
      <c r="D47" s="34" t="s">
        <v>49</v>
      </c>
      <c r="E47" s="34" t="str">
        <f t="shared" si="2"/>
        <v>d-bdp-crkap01-nsg</v>
      </c>
      <c r="F47" s="34" t="s">
        <v>49</v>
      </c>
      <c r="G47" s="34" t="s">
        <v>57</v>
      </c>
      <c r="H47" s="34" t="s">
        <v>127</v>
      </c>
      <c r="I47" s="24" t="s">
        <v>318</v>
      </c>
      <c r="J47" s="17" t="s">
        <v>183</v>
      </c>
      <c r="K47" s="34" t="str">
        <f t="shared" si="1"/>
        <v>d-bdp-crkap01-nic</v>
      </c>
      <c r="L47" s="36" t="s">
        <v>341</v>
      </c>
    </row>
    <row r="48" spans="1:12" x14ac:dyDescent="0.3">
      <c r="A48" s="37"/>
      <c r="B48" s="35" t="s">
        <v>31</v>
      </c>
      <c r="C48" s="32" t="str" cm="1">
        <f t="array" ref="C48">UPPER(INDEX(_xlfn.TEXTSPLIT($I48, "-"), 3))</f>
        <v>BDP</v>
      </c>
      <c r="D48" s="32" t="s">
        <v>49</v>
      </c>
      <c r="E48" s="32" t="str">
        <f t="shared" si="2"/>
        <v>d-bdp-crkml01-nsg</v>
      </c>
      <c r="F48" s="32" t="s">
        <v>49</v>
      </c>
      <c r="G48" s="32" t="s">
        <v>57</v>
      </c>
      <c r="H48" s="32" t="s">
        <v>127</v>
      </c>
      <c r="I48" s="22" t="s">
        <v>288</v>
      </c>
      <c r="J48" s="16" t="s">
        <v>183</v>
      </c>
      <c r="K48" s="32" t="str">
        <f t="shared" si="1"/>
        <v>d-bdp-crkml01-nic</v>
      </c>
      <c r="L48" s="33" t="s">
        <v>341</v>
      </c>
    </row>
    <row r="49" spans="1:12" x14ac:dyDescent="0.3">
      <c r="A49" s="37"/>
      <c r="B49" s="35" t="s">
        <v>31</v>
      </c>
      <c r="C49" s="32" t="str" cm="1">
        <f t="array" ref="C49">UPPER(INDEX(_xlfn.TEXTSPLIT($E49, "-"), 2))</f>
        <v>DIS</v>
      </c>
      <c r="D49" s="32" t="s">
        <v>49</v>
      </c>
      <c r="E49" s="32" t="str">
        <f>SUBSTITUTE(H49,"-sbn","")&amp;"-nsg"</f>
        <v>d-dis-db-nsg</v>
      </c>
      <c r="F49" s="32" t="s">
        <v>49</v>
      </c>
      <c r="G49" s="32" t="s">
        <v>187</v>
      </c>
      <c r="H49" s="32" t="s">
        <v>354</v>
      </c>
      <c r="I49" s="32"/>
      <c r="J49" s="32"/>
      <c r="K49" s="32"/>
      <c r="L49" s="32" t="s">
        <v>369</v>
      </c>
    </row>
    <row r="50" spans="1:12" x14ac:dyDescent="0.3">
      <c r="A50" s="37"/>
      <c r="B50" s="34" t="s">
        <v>31</v>
      </c>
      <c r="C50" s="34" t="str" cm="1">
        <f t="array" ref="C50">UPPER(INDEX(_xlfn.TEXTSPLIT($E50, "-"), 2))</f>
        <v>DIS</v>
      </c>
      <c r="D50" s="34" t="s">
        <v>49</v>
      </c>
      <c r="E50" s="34" t="str">
        <f t="shared" ref="E50:E64" si="3">SUBSTITUTE(H50,"-sbn","")&amp;"-nsg"</f>
        <v>d-dis-pe-nsg</v>
      </c>
      <c r="F50" s="34" t="s">
        <v>49</v>
      </c>
      <c r="G50" s="34" t="s">
        <v>187</v>
      </c>
      <c r="H50" s="34" t="s">
        <v>355</v>
      </c>
      <c r="I50" s="34"/>
      <c r="J50" s="34"/>
      <c r="K50" s="34"/>
      <c r="L50" s="34" t="s">
        <v>369</v>
      </c>
    </row>
    <row r="51" spans="1:12" x14ac:dyDescent="0.3">
      <c r="A51" s="37"/>
      <c r="B51" s="35" t="s">
        <v>31</v>
      </c>
      <c r="C51" s="35" t="str" cm="1">
        <f t="array" ref="C51">UPPER(INDEX(_xlfn.TEXTSPLIT($E51, "-"), 2))</f>
        <v>PULS</v>
      </c>
      <c r="D51" s="32" t="s">
        <v>49</v>
      </c>
      <c r="E51" s="32" t="str">
        <f t="shared" si="3"/>
        <v>d-puls-db-nsg</v>
      </c>
      <c r="F51" s="32" t="s">
        <v>49</v>
      </c>
      <c r="G51" s="32" t="s">
        <v>187</v>
      </c>
      <c r="H51" s="32" t="s">
        <v>356</v>
      </c>
      <c r="I51" s="32"/>
      <c r="J51" s="32"/>
      <c r="K51" s="32"/>
      <c r="L51" s="32" t="s">
        <v>369</v>
      </c>
    </row>
    <row r="52" spans="1:12" x14ac:dyDescent="0.3">
      <c r="A52" s="37"/>
      <c r="B52" s="34" t="s">
        <v>31</v>
      </c>
      <c r="C52" s="34" t="str" cm="1">
        <f t="array" ref="C52">UPPER(INDEX(_xlfn.TEXTSPLIT($E52, "-"), 2))</f>
        <v>PULS</v>
      </c>
      <c r="D52" s="34" t="s">
        <v>49</v>
      </c>
      <c r="E52" s="34" t="str">
        <f t="shared" si="3"/>
        <v>d-puls-pe-nsg</v>
      </c>
      <c r="F52" s="34" t="s">
        <v>49</v>
      </c>
      <c r="G52" s="34" t="s">
        <v>187</v>
      </c>
      <c r="H52" s="34" t="s">
        <v>357</v>
      </c>
      <c r="I52" s="34"/>
      <c r="J52" s="34"/>
      <c r="K52" s="34"/>
      <c r="L52" s="34" t="s">
        <v>369</v>
      </c>
    </row>
    <row r="53" spans="1:12" x14ac:dyDescent="0.3">
      <c r="A53" s="37"/>
      <c r="B53" s="35" t="s">
        <v>31</v>
      </c>
      <c r="C53" s="35" t="str" cm="1">
        <f t="array" ref="C53">UPPER(INDEX(_xlfn.TEXTSPLIT($E53, "-"), 2))</f>
        <v>DOIP</v>
      </c>
      <c r="D53" s="32" t="s">
        <v>49</v>
      </c>
      <c r="E53" s="32" t="str">
        <f t="shared" si="3"/>
        <v>d-doip-db-nsg</v>
      </c>
      <c r="F53" s="32" t="s">
        <v>49</v>
      </c>
      <c r="G53" s="32" t="s">
        <v>187</v>
      </c>
      <c r="H53" s="32" t="s">
        <v>358</v>
      </c>
      <c r="I53" s="32"/>
      <c r="J53" s="32"/>
      <c r="K53" s="32"/>
      <c r="L53" s="32" t="s">
        <v>369</v>
      </c>
    </row>
    <row r="54" spans="1:12" x14ac:dyDescent="0.3">
      <c r="A54" s="37"/>
      <c r="B54" s="34" t="s">
        <v>31</v>
      </c>
      <c r="C54" s="34" t="str" cm="1">
        <f t="array" ref="C54">UPPER(INDEX(_xlfn.TEXTSPLIT($E54, "-"), 2))</f>
        <v>DOIP</v>
      </c>
      <c r="D54" s="34" t="s">
        <v>49</v>
      </c>
      <c r="E54" s="34" t="str">
        <f t="shared" si="3"/>
        <v>d-doip-pe-nsg</v>
      </c>
      <c r="F54" s="34" t="s">
        <v>49</v>
      </c>
      <c r="G54" s="34" t="s">
        <v>187</v>
      </c>
      <c r="H54" s="34" t="s">
        <v>359</v>
      </c>
      <c r="I54" s="34"/>
      <c r="J54" s="34"/>
      <c r="K54" s="34"/>
      <c r="L54" s="34" t="s">
        <v>369</v>
      </c>
    </row>
    <row r="55" spans="1:12" x14ac:dyDescent="0.3">
      <c r="A55" s="37"/>
      <c r="B55" s="35" t="s">
        <v>31</v>
      </c>
      <c r="C55" s="35" t="str" cm="1">
        <f t="array" ref="C55">UPPER(INDEX(_xlfn.TEXTSPLIT($E55, "-"), 2))</f>
        <v>DDG</v>
      </c>
      <c r="D55" s="32" t="s">
        <v>49</v>
      </c>
      <c r="E55" s="32" t="str">
        <f t="shared" si="3"/>
        <v>d-ddg-db-nsg</v>
      </c>
      <c r="F55" s="32" t="s">
        <v>49</v>
      </c>
      <c r="G55" s="32" t="s">
        <v>187</v>
      </c>
      <c r="H55" s="32" t="s">
        <v>360</v>
      </c>
      <c r="I55" s="32"/>
      <c r="J55" s="32"/>
      <c r="K55" s="32"/>
      <c r="L55" s="32" t="s">
        <v>369</v>
      </c>
    </row>
    <row r="56" spans="1:12" x14ac:dyDescent="0.3">
      <c r="A56" s="37"/>
      <c r="B56" s="34" t="s">
        <v>31</v>
      </c>
      <c r="C56" s="34" t="str" cm="1">
        <f t="array" ref="C56">UPPER(INDEX(_xlfn.TEXTSPLIT($E56, "-"), 2))</f>
        <v>DDG</v>
      </c>
      <c r="D56" s="34" t="s">
        <v>49</v>
      </c>
      <c r="E56" s="34" t="str">
        <f t="shared" si="3"/>
        <v>d-ddg-pe-nsg</v>
      </c>
      <c r="F56" s="34" t="s">
        <v>49</v>
      </c>
      <c r="G56" s="34" t="s">
        <v>187</v>
      </c>
      <c r="H56" s="34" t="s">
        <v>361</v>
      </c>
      <c r="I56" s="34"/>
      <c r="J56" s="34"/>
      <c r="K56" s="34"/>
      <c r="L56" s="34" t="s">
        <v>369</v>
      </c>
    </row>
    <row r="57" spans="1:12" x14ac:dyDescent="0.3">
      <c r="A57" s="37"/>
      <c r="B57" s="35" t="s">
        <v>31</v>
      </c>
      <c r="C57" s="35" t="str" cm="1">
        <f t="array" ref="C57">UPPER(INDEX(_xlfn.TEXTSPLIT($E57, "-"), 2))</f>
        <v>BDP</v>
      </c>
      <c r="D57" s="32" t="s">
        <v>49</v>
      </c>
      <c r="E57" s="32" t="str">
        <f t="shared" si="3"/>
        <v>d-bdp-db-nsg</v>
      </c>
      <c r="F57" s="32" t="s">
        <v>49</v>
      </c>
      <c r="G57" s="32" t="s">
        <v>187</v>
      </c>
      <c r="H57" s="32" t="s">
        <v>362</v>
      </c>
      <c r="I57" s="32"/>
      <c r="J57" s="32"/>
      <c r="K57" s="32"/>
      <c r="L57" s="32" t="s">
        <v>369</v>
      </c>
    </row>
    <row r="58" spans="1:12" x14ac:dyDescent="0.3">
      <c r="A58" s="37"/>
      <c r="B58" s="34" t="s">
        <v>31</v>
      </c>
      <c r="C58" s="34" t="str" cm="1">
        <f t="array" ref="C58">UPPER(INDEX(_xlfn.TEXTSPLIT($E58, "-"), 2))</f>
        <v>BDP</v>
      </c>
      <c r="D58" s="34" t="s">
        <v>49</v>
      </c>
      <c r="E58" s="34" t="str">
        <f t="shared" si="3"/>
        <v>d-bdp-pe-nsg</v>
      </c>
      <c r="F58" s="34" t="s">
        <v>49</v>
      </c>
      <c r="G58" s="34" t="s">
        <v>187</v>
      </c>
      <c r="H58" s="34" t="s">
        <v>363</v>
      </c>
      <c r="I58" s="34"/>
      <c r="J58" s="34"/>
      <c r="K58" s="34"/>
      <c r="L58" s="34" t="s">
        <v>369</v>
      </c>
    </row>
    <row r="59" spans="1:12" x14ac:dyDescent="0.3">
      <c r="A59" s="37"/>
      <c r="B59" s="35" t="s">
        <v>31</v>
      </c>
      <c r="C59" s="35" t="str" cm="1">
        <f t="array" ref="C59">UPPER(INDEX(_xlfn.TEXTSPLIT($E59, "-"), 2))</f>
        <v>DIP</v>
      </c>
      <c r="D59" s="32" t="s">
        <v>49</v>
      </c>
      <c r="E59" s="32" t="str">
        <f t="shared" si="3"/>
        <v>d-dip-db-nsg</v>
      </c>
      <c r="F59" s="32" t="s">
        <v>49</v>
      </c>
      <c r="G59" s="32" t="s">
        <v>187</v>
      </c>
      <c r="H59" s="32" t="s">
        <v>364</v>
      </c>
      <c r="I59" s="32"/>
      <c r="J59" s="32"/>
      <c r="K59" s="32"/>
      <c r="L59" s="32" t="s">
        <v>369</v>
      </c>
    </row>
    <row r="60" spans="1:12" x14ac:dyDescent="0.3">
      <c r="A60" s="37"/>
      <c r="B60" s="34" t="s">
        <v>31</v>
      </c>
      <c r="C60" s="34" t="s">
        <v>370</v>
      </c>
      <c r="D60" s="34" t="s">
        <v>49</v>
      </c>
      <c r="E60" s="34" t="s">
        <v>371</v>
      </c>
      <c r="F60" s="34" t="s">
        <v>49</v>
      </c>
      <c r="G60" s="34" t="s">
        <v>57</v>
      </c>
      <c r="H60" s="34" t="s">
        <v>156</v>
      </c>
      <c r="I60" s="34"/>
      <c r="J60" s="34"/>
      <c r="K60" s="34"/>
      <c r="L60" s="34" t="s">
        <v>369</v>
      </c>
    </row>
    <row r="61" spans="1:12" x14ac:dyDescent="0.3">
      <c r="A61" s="37"/>
      <c r="B61" s="35" t="s">
        <v>31</v>
      </c>
      <c r="C61" s="35" t="str" cm="1">
        <f t="array" ref="C61">UPPER(INDEX(_xlfn.TEXTSPLIT($E61, "-"), 2))</f>
        <v>COM</v>
      </c>
      <c r="D61" s="32" t="s">
        <v>49</v>
      </c>
      <c r="E61" s="32" t="str">
        <f t="shared" si="3"/>
        <v>d-com-pe-nsg</v>
      </c>
      <c r="F61" s="32" t="s">
        <v>49</v>
      </c>
      <c r="G61" s="32" t="s">
        <v>187</v>
      </c>
      <c r="H61" s="32" t="s">
        <v>365</v>
      </c>
      <c r="I61" s="32"/>
      <c r="J61" s="32"/>
      <c r="K61" s="32"/>
      <c r="L61" s="32" t="s">
        <v>369</v>
      </c>
    </row>
    <row r="62" spans="1:12" x14ac:dyDescent="0.3">
      <c r="A62" s="37"/>
      <c r="B62" s="34" t="s">
        <v>31</v>
      </c>
      <c r="C62" s="34" t="str" cm="1">
        <f t="array" ref="C62">UPPER(INDEX(_xlfn.TEXTSPLIT($E62, "-"), 2))</f>
        <v>COM</v>
      </c>
      <c r="D62" s="34" t="s">
        <v>49</v>
      </c>
      <c r="E62" s="34" t="str">
        <f t="shared" si="3"/>
        <v>d-com-db-nsg</v>
      </c>
      <c r="F62" s="34" t="s">
        <v>49</v>
      </c>
      <c r="G62" s="34" t="s">
        <v>187</v>
      </c>
      <c r="H62" s="34" t="s">
        <v>366</v>
      </c>
      <c r="I62" s="34"/>
      <c r="J62" s="34"/>
      <c r="K62" s="34"/>
      <c r="L62" s="34" t="s">
        <v>369</v>
      </c>
    </row>
    <row r="63" spans="1:12" x14ac:dyDescent="0.3">
      <c r="A63" s="37"/>
      <c r="B63" s="35" t="s">
        <v>31</v>
      </c>
      <c r="C63" s="35" t="str" cm="1">
        <f t="array" ref="C63">UPPER(INDEX(_xlfn.TEXTSPLIT($E63, "-"), 2))</f>
        <v>IF</v>
      </c>
      <c r="D63" s="32" t="s">
        <v>49</v>
      </c>
      <c r="E63" s="32" t="str">
        <f t="shared" si="3"/>
        <v>d-if-db-nsg</v>
      </c>
      <c r="F63" s="32" t="s">
        <v>49</v>
      </c>
      <c r="G63" s="32" t="s">
        <v>187</v>
      </c>
      <c r="H63" s="32" t="s">
        <v>367</v>
      </c>
      <c r="I63" s="32"/>
      <c r="J63" s="32"/>
      <c r="K63" s="32"/>
      <c r="L63" s="32" t="s">
        <v>369</v>
      </c>
    </row>
    <row r="64" spans="1:12" x14ac:dyDescent="0.3">
      <c r="A64" s="37"/>
      <c r="B64" s="34" t="s">
        <v>31</v>
      </c>
      <c r="C64" s="34" t="str" cm="1">
        <f t="array" ref="C64">UPPER(INDEX(_xlfn.TEXTSPLIT($E64, "-"), 2))</f>
        <v>IF</v>
      </c>
      <c r="D64" s="34" t="s">
        <v>49</v>
      </c>
      <c r="E64" s="34" t="str">
        <f t="shared" si="3"/>
        <v>d-if-pe-nsg</v>
      </c>
      <c r="F64" s="34" t="s">
        <v>49</v>
      </c>
      <c r="G64" s="34" t="s">
        <v>187</v>
      </c>
      <c r="H64" s="34" t="s">
        <v>368</v>
      </c>
      <c r="I64" s="34"/>
      <c r="J64" s="34"/>
      <c r="K64" s="34"/>
      <c r="L64" s="34" t="s">
        <v>369</v>
      </c>
    </row>
    <row r="65" spans="1:12" x14ac:dyDescent="0.3">
      <c r="A65" s="37"/>
      <c r="B65" s="35" t="s">
        <v>31</v>
      </c>
      <c r="C65" s="35" t="str" cm="1">
        <f t="array" ref="C65">UPPER(INDEX(_xlfn.TEXTSPLIT($E65, "-"), 2))</f>
        <v>COM</v>
      </c>
      <c r="D65" s="32" t="s">
        <v>49</v>
      </c>
      <c r="E65" s="32" t="str">
        <f t="shared" ref="E65:E74" si="4">SUBSTITUTE($I65,"hazr-","")&amp;"-nsg"</f>
        <v>d-com-esnweb01-nsg</v>
      </c>
      <c r="F65" s="32" t="s">
        <v>49</v>
      </c>
      <c r="G65" s="32" t="s">
        <v>56</v>
      </c>
      <c r="H65" s="32" t="s">
        <v>82</v>
      </c>
      <c r="I65" s="16" t="s">
        <v>374</v>
      </c>
      <c r="J65" s="16" t="s">
        <v>50</v>
      </c>
      <c r="K65" s="32" t="str">
        <f t="shared" ref="K65:K74" si="5">SUBSTITUTE($I65,"hazr-","")&amp;"-nic"</f>
        <v>d-com-esnweb01-nic</v>
      </c>
      <c r="L65" s="33" t="s">
        <v>341</v>
      </c>
    </row>
    <row r="66" spans="1:12" x14ac:dyDescent="0.3">
      <c r="A66" s="37"/>
      <c r="B66" s="34" t="s">
        <v>31</v>
      </c>
      <c r="C66" s="34" t="str" cm="1">
        <f t="array" ref="C66">UPPER(INDEX(_xlfn.TEXTSPLIT($E66, "-"), 2))</f>
        <v>COM</v>
      </c>
      <c r="D66" s="34" t="s">
        <v>49</v>
      </c>
      <c r="E66" s="34" t="str">
        <f t="shared" si="4"/>
        <v>d-com-esnap01-nsg</v>
      </c>
      <c r="F66" s="34" t="s">
        <v>49</v>
      </c>
      <c r="G66" s="34" t="s">
        <v>57</v>
      </c>
      <c r="H66" s="34" t="s">
        <v>160</v>
      </c>
      <c r="I66" s="17" t="s">
        <v>392</v>
      </c>
      <c r="J66" s="17" t="s">
        <v>50</v>
      </c>
      <c r="K66" s="34" t="str">
        <f t="shared" si="5"/>
        <v>d-com-esnap01-nic</v>
      </c>
      <c r="L66" s="36" t="s">
        <v>341</v>
      </c>
    </row>
    <row r="67" spans="1:12" x14ac:dyDescent="0.3">
      <c r="A67" s="37"/>
      <c r="B67" s="35" t="s">
        <v>31</v>
      </c>
      <c r="C67" s="35" t="str" cm="1">
        <f t="array" ref="C67">UPPER(INDEX(_xlfn.TEXTSPLIT($E67, "-"), 2))</f>
        <v>COM</v>
      </c>
      <c r="D67" s="32" t="s">
        <v>49</v>
      </c>
      <c r="E67" s="32" t="str">
        <f t="shared" si="4"/>
        <v>d-com-scmsol01-nsg</v>
      </c>
      <c r="F67" s="32" t="s">
        <v>49</v>
      </c>
      <c r="G67" s="32" t="s">
        <v>57</v>
      </c>
      <c r="H67" s="32" t="s">
        <v>160</v>
      </c>
      <c r="I67" s="16" t="s">
        <v>382</v>
      </c>
      <c r="J67" s="16" t="s">
        <v>50</v>
      </c>
      <c r="K67" s="32" t="str">
        <f t="shared" si="5"/>
        <v>d-com-scmsol01-nic</v>
      </c>
      <c r="L67" s="33" t="s">
        <v>341</v>
      </c>
    </row>
    <row r="68" spans="1:12" x14ac:dyDescent="0.3">
      <c r="A68" s="37"/>
      <c r="B68" s="34" t="s">
        <v>31</v>
      </c>
      <c r="C68" s="34" t="str" cm="1">
        <f t="array" ref="C68">UPPER(INDEX(_xlfn.TEXTSPLIT($E68, "-"), 2))</f>
        <v>DTG</v>
      </c>
      <c r="D68" s="34" t="s">
        <v>49</v>
      </c>
      <c r="E68" s="34" t="str">
        <f t="shared" si="4"/>
        <v>d-dtg-bbigeoap01-nsg</v>
      </c>
      <c r="F68" s="34" t="s">
        <v>49</v>
      </c>
      <c r="G68" s="34" t="s">
        <v>57</v>
      </c>
      <c r="H68" s="34" t="s">
        <v>119</v>
      </c>
      <c r="I68" s="17" t="s">
        <v>384</v>
      </c>
      <c r="J68" s="17" t="s">
        <v>54</v>
      </c>
      <c r="K68" s="34" t="str">
        <f t="shared" si="5"/>
        <v>d-dtg-bbigeoap01-nic</v>
      </c>
      <c r="L68" s="36" t="s">
        <v>341</v>
      </c>
    </row>
    <row r="69" spans="1:12" x14ac:dyDescent="0.3">
      <c r="A69" s="37"/>
      <c r="B69" s="35" t="s">
        <v>31</v>
      </c>
      <c r="C69" s="35" t="str" cm="1">
        <f t="array" ref="C69">UPPER(INDEX(_xlfn.TEXTSPLIT($E69, "-"), 2))</f>
        <v>BDP</v>
      </c>
      <c r="D69" s="32" t="s">
        <v>49</v>
      </c>
      <c r="E69" s="32" t="str">
        <f t="shared" si="4"/>
        <v>d-bdp-rlgcweb01-nsg</v>
      </c>
      <c r="F69" s="32" t="s">
        <v>49</v>
      </c>
      <c r="G69" s="32" t="s">
        <v>56</v>
      </c>
      <c r="H69" s="32" t="s">
        <v>78</v>
      </c>
      <c r="I69" s="16" t="s">
        <v>386</v>
      </c>
      <c r="J69" s="16" t="s">
        <v>183</v>
      </c>
      <c r="K69" s="32" t="str">
        <f t="shared" si="5"/>
        <v>d-bdp-rlgcweb01-nic</v>
      </c>
      <c r="L69" s="33" t="s">
        <v>341</v>
      </c>
    </row>
    <row r="70" spans="1:12" x14ac:dyDescent="0.3">
      <c r="A70" s="37"/>
      <c r="B70" s="34" t="s">
        <v>31</v>
      </c>
      <c r="C70" s="34" t="str" cm="1">
        <f t="array" ref="C70">UPPER(INDEX(_xlfn.TEXTSPLIT($E70, "-"), 2))</f>
        <v>BDP</v>
      </c>
      <c r="D70" s="34" t="s">
        <v>49</v>
      </c>
      <c r="E70" s="34" t="str">
        <f t="shared" si="4"/>
        <v>d-bdp-rlgcap01-nsg</v>
      </c>
      <c r="F70" s="34" t="s">
        <v>49</v>
      </c>
      <c r="G70" s="34" t="s">
        <v>57</v>
      </c>
      <c r="H70" s="34" t="s">
        <v>127</v>
      </c>
      <c r="I70" s="17" t="s">
        <v>387</v>
      </c>
      <c r="J70" s="17" t="s">
        <v>183</v>
      </c>
      <c r="K70" s="34" t="str">
        <f t="shared" si="5"/>
        <v>d-bdp-rlgcap01-nic</v>
      </c>
      <c r="L70" s="36" t="s">
        <v>341</v>
      </c>
    </row>
    <row r="71" spans="1:12" x14ac:dyDescent="0.3">
      <c r="B71" s="35" t="s">
        <v>31</v>
      </c>
      <c r="C71" s="35" t="s">
        <v>394</v>
      </c>
      <c r="D71" s="32" t="s">
        <v>49</v>
      </c>
      <c r="E71" s="32" t="str">
        <f t="shared" si="4"/>
        <v>az-d-int-host1-nsg</v>
      </c>
      <c r="F71" s="32" t="s">
        <v>49</v>
      </c>
      <c r="G71" s="32" t="s">
        <v>57</v>
      </c>
      <c r="H71" s="32" t="s">
        <v>98</v>
      </c>
      <c r="I71" s="22" t="s">
        <v>395</v>
      </c>
      <c r="J71" s="16" t="s">
        <v>301</v>
      </c>
      <c r="K71" s="32" t="str">
        <f t="shared" si="5"/>
        <v>az-d-int-host1-nic</v>
      </c>
      <c r="L71" s="33" t="s">
        <v>341</v>
      </c>
    </row>
    <row r="72" spans="1:12" x14ac:dyDescent="0.3">
      <c r="B72" s="38" t="s">
        <v>31</v>
      </c>
      <c r="C72" s="34" t="s">
        <v>394</v>
      </c>
      <c r="D72" s="34" t="s">
        <v>49</v>
      </c>
      <c r="E72" s="34" t="str">
        <f t="shared" si="4"/>
        <v>az-d-int-host2-nsg</v>
      </c>
      <c r="F72" s="34" t="s">
        <v>49</v>
      </c>
      <c r="G72" s="34" t="s">
        <v>57</v>
      </c>
      <c r="H72" s="34" t="s">
        <v>98</v>
      </c>
      <c r="I72" s="24" t="s">
        <v>396</v>
      </c>
      <c r="J72" s="17" t="s">
        <v>301</v>
      </c>
      <c r="K72" s="34" t="str">
        <f t="shared" si="5"/>
        <v>az-d-int-host2-nic</v>
      </c>
      <c r="L72" s="36" t="s">
        <v>341</v>
      </c>
    </row>
    <row r="73" spans="1:12" x14ac:dyDescent="0.3">
      <c r="B73" s="35" t="s">
        <v>31</v>
      </c>
      <c r="C73" s="35" t="s">
        <v>394</v>
      </c>
      <c r="D73" s="32" t="s">
        <v>49</v>
      </c>
      <c r="E73" s="32" t="str">
        <f t="shared" si="4"/>
        <v>az-d-int-host3-nsg</v>
      </c>
      <c r="F73" s="32" t="s">
        <v>49</v>
      </c>
      <c r="G73" s="32" t="s">
        <v>57</v>
      </c>
      <c r="H73" s="32" t="s">
        <v>98</v>
      </c>
      <c r="I73" s="22" t="s">
        <v>397</v>
      </c>
      <c r="J73" s="16" t="s">
        <v>301</v>
      </c>
      <c r="K73" s="32" t="str">
        <f t="shared" si="5"/>
        <v>az-d-int-host3-nic</v>
      </c>
      <c r="L73" s="33" t="s">
        <v>341</v>
      </c>
    </row>
    <row r="74" spans="1:12" x14ac:dyDescent="0.3">
      <c r="B74" s="38" t="s">
        <v>31</v>
      </c>
      <c r="C74" s="34" t="s">
        <v>394</v>
      </c>
      <c r="D74" s="34" t="s">
        <v>49</v>
      </c>
      <c r="E74" s="34" t="str">
        <f t="shared" si="4"/>
        <v>az-d-int-host4-nsg</v>
      </c>
      <c r="F74" s="34" t="s">
        <v>49</v>
      </c>
      <c r="G74" s="34" t="s">
        <v>57</v>
      </c>
      <c r="H74" s="34" t="s">
        <v>98</v>
      </c>
      <c r="I74" s="24" t="s">
        <v>398</v>
      </c>
      <c r="J74" s="17" t="s">
        <v>301</v>
      </c>
      <c r="K74" s="34" t="str">
        <f t="shared" si="5"/>
        <v>az-d-int-host4-nic</v>
      </c>
      <c r="L74" s="36" t="s">
        <v>341</v>
      </c>
    </row>
  </sheetData>
  <phoneticPr fontId="1" type="noConversion"/>
  <conditionalFormatting sqref="E2:E74">
    <cfRule type="duplicateValues" dxfId="0" priority="7"/>
  </conditionalFormatting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093BAC-4385-48E8-8492-BA8C8E7EF612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89f0f392-688b-4454-b192-0691f37dc811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VNET</vt:lpstr>
      <vt:lpstr>RG</vt:lpstr>
      <vt:lpstr>VM</vt:lpstr>
      <vt:lpstr>VM_Datadisk</vt:lpstr>
      <vt:lpstr>NSG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백승규</dc:creator>
  <cp:keywords/>
  <dc:description/>
  <cp:lastModifiedBy>백승규</cp:lastModifiedBy>
  <cp:revision/>
  <cp:lastPrinted>2026-05-12T01:00:51Z</cp:lastPrinted>
  <dcterms:created xsi:type="dcterms:W3CDTF">2021-03-26T06:15:24Z</dcterms:created>
  <dcterms:modified xsi:type="dcterms:W3CDTF">2026-08-11T07:08:54Z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