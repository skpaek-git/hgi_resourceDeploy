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05B20C8-B990-4860-91B9-03F8563A832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11" l="1"/>
  <c r="L60" i="11"/>
  <c r="J61" i="11"/>
  <c r="L61" i="11"/>
  <c r="J62" i="11"/>
  <c r="L62" i="11"/>
  <c r="J63" i="11"/>
  <c r="L63" i="11"/>
  <c r="J64" i="11"/>
  <c r="L64" i="11"/>
  <c r="F60" i="11"/>
  <c r="F61" i="11"/>
  <c r="F62" i="11"/>
  <c r="F63" i="11"/>
  <c r="F64" i="11"/>
  <c r="E60" i="11"/>
  <c r="E61" i="11"/>
  <c r="E62" i="11"/>
  <c r="E63" i="11"/>
  <c r="E64" i="11"/>
  <c r="B63" i="11" a="1"/>
  <c r="B63" i="11" s="1"/>
  <c r="B64" i="11" a="1"/>
  <c r="B64" i="11" s="1"/>
  <c r="B62" i="11" a="1"/>
  <c r="B62" i="11" s="1"/>
  <c r="B61" i="11" a="1"/>
  <c r="B61" i="11" s="1"/>
  <c r="B60" i="11" a="1"/>
  <c r="B60" i="11" s="1"/>
  <c r="F60" i="10"/>
  <c r="F61" i="10"/>
  <c r="F62" i="10"/>
  <c r="F63" i="10"/>
  <c r="F64" i="10"/>
  <c r="C60" i="10" a="1"/>
  <c r="C60" i="10" s="1"/>
  <c r="C61" i="10" a="1"/>
  <c r="C61" i="10" s="1"/>
  <c r="C62" i="10" a="1"/>
  <c r="C62" i="10" s="1"/>
  <c r="C63" i="10" a="1"/>
  <c r="C63" i="10" s="1"/>
  <c r="C64" i="10" a="1"/>
  <c r="C64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76" i="2"/>
  <c r="K77" i="2"/>
  <c r="K78" i="2"/>
  <c r="K79" i="2"/>
  <c r="K80" i="2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E76" i="2"/>
  <c r="E77" i="2"/>
  <c r="E78" i="2"/>
  <c r="E79" i="2"/>
  <c r="E80" i="2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<sst xmlns="http://schemas.openxmlformats.org/spreadsheetml/2006/main" count="4207" uniqueCount="607">
  <si>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</si>
  <si>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</si>
  <si>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</si>
  <si>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</si>
  <si>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</si>
  <si>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</si>
  <si>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</si>
  <si>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</si>
  <si>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</si>
  <si>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</si>
  <si>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</si>
  <si>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</si>
  <si>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</si>
  <si>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</si>
  <si>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</si>
  <si>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</si>
  <si>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</si>
  <si>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</si>
  <si>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</si>
  <si>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</si>
  <si>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</si>
  <si>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</si>
  <si>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</si>
  <si>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</si>
  <si>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</si>
  <si>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</si>
  <si>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</si>
  <si>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</si>
  <si>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</si>
  <si>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</si>
  <si>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</si>
  <si>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</si>
  <si>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</si>
  <si>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</si>
  <si>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</si>
  <si>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</si>
  <si>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</si>
  <si>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</si>
  <si>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</si>
  <si>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</si>
  <si>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</si>
  <si>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</si>
  <si>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</si>
  <si>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</si>
  <si>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</si>
  <si>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</si>
  <si>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</si>
  <si>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</si>
  <si>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</si>
  <si>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</si>
  <si>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</si>
  <si>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</si>
  <si>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</si>
  <si>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</si>
  <si>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</si>
  <si>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</si>
  <si>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</si>
  <si>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</si>
  <si>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</si>
  <si>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</si>
  <si>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</si>
  <si>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</si>
  <si>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</si>
  <si>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</si>
  <si>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</si>
  <si>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</si>
  <si>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</si>
  <si>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</si>
  <si>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</si>
  <si>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</si>
  <si>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</si>
  <si>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</si>
  <si>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</si>
  <si>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</si>
  <si>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</si>
  <si>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</si>
  <si>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</si>
  <si>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</si>
  <si>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</si>
  <si>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</si>
  <si>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</si>
  <si>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</si>
  <si>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</si>
  <si>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</si>
  <si>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</si>
  <si>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</si>
  <si>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</si>
  <si>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</si>
  <si>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</si>
  <si>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</si>
  <si>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</si>
  <si>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</si>
  <si>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</si>
  <si>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</si>
  <si>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</si>
  <si>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</si>
  <si>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</si>
  <si>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</si>
  <si>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</si>
  <si>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</si>
  <si>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</si>
  <si>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</si>
  <si>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</si>
  <si>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</si>
  <si>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</si>
  <si>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</si>
  <si>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</si>
  <si>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</si>
  <si>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</si>
  <si>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</si>
  <si>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</si>
  <si>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</si>
  <si>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</si>
  <si>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</si>
  <si>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</si>
  <si>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</si>
  <si>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</si>
  <si>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</si>
  <si>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</si>
  <si>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</si>
  <si>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</si>
  <si>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</si>
  <si>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</si>
  <si>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</si>
  <si>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</si>
  <si>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</si>
  <si>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</si>
  <si>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</si>
  <si>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</si>
  <si>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</si>
  <si>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</si>
  <si>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</si>
  <si>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</si>
  <si>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</si>
  <si>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</si>
  <si>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</si>
  <si>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</si>
  <si>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</si>
  <si>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</si>
  <si>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</si>
  <si>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</si>
  <si>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</si>
  <si>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</si>
  <si>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</si>
  <si>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</si>
  <si>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</si>
  <si>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</si>
  <si>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</si>
  <si>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</si>
  <si>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</si>
  <si>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</si>
  <si>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</si>
  <si>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</si>
  <si>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</si>
  <si>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</si>
  <si>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</si>
  <si>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</si>
  <si>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</si>
  <si>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</si>
  <si>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</si>
  <si>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</si>
  <si>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</si>
  <si>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</si>
  <si>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</si>
  <si>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</si>
  <si>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</si>
  <si>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</si>
  <si>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</si>
  <si>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</si>
  <si>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</si>
  <si>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</si>
  <si>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</si>
  <si>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</si>
  <si>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</si>
  <si>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</si>
  <si>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</si>
  <si>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</si>
  <si>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</si>
  <si>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</si>
  <si>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</si>
  <si>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</si>
  <si>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</si>
  <si>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</si>
  <si>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</si>
  <si>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</si>
  <si>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</si>
  <si>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</si>
  <si>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</si>
  <si>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</si>
  <si>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</si>
  <si>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</si>
  <si>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</si>
  <si>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</si>
  <si>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</si>
  <si>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</si>
  <si>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</si>
  <si>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</si>
  <si>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</si>
  <si>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</si>
  <si>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</si>
  <si>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</si>
  <si>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</si>
  <si>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</si>
  <si>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</si>
  <si>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</si>
  <si>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</si>
  <si>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</si>
  <si>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</si>
  <si>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</si>
  <si>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</si>
  <si>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</si>
  <si>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</si>
  <si>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</si>
  <si>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</si>
  <si>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</si>
  <si>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</si>
  <si>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</si>
  <si>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</si>
  <si>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</si>
  <si>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</si>
  <si>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</si>
  <si>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</si>
  <si>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</si>
  <si>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</si>
  <si>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</si>
  <si>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</si>
  <si>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</si>
  <si>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</si>
  <si>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</si>
  <si>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</si>
  <si>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</si>
  <si>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</si>
  <si>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</si>
  <si>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</si>
  <si>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</si>
  <si>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</si>
  <si>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</si>
  <si>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</si>
  <si>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</si>
  <si>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</si>
  <si>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</si>
  <si>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</si>
  <si>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</si>
  <si>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</si>
  <si>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</si>
  <si>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</si>
  <si>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</si>
  <si>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</si>
  <si>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</si>
  <si>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</si>
  <si>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</si>
  <si>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</si>
  <si>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</si>
  <si>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</si>
  <si>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</si>
  <si>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</si>
  <si>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</si>
  <si>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</si>
  <si>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</si>
  <si>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</si>
  <si>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</si>
  <si>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</si>
  <si>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</si>
  <si>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</si>
  <si>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</si>
  <si>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</si>
  <si>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</si>
  <si>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</si>
  <si>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</si>
  <si>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</si>
  <si>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</si>
  <si>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</si>
  <si>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</si>
  <si>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</si>
  <si>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</si>
  <si>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</si>
  <si>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</si>
  <si>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</si>
  <si>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</si>
  <si>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</si>
  <si>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</si>
  <si>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</si>
  <si>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</si>
  <si>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</si>
  <si>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</si>
  <si>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</si>
  <si>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</si>
  <si>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</si>
  <si>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</si>
  <si>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</si>
  <si>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</si>
  <si>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</si>
  <si>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</si>
  <si>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</si>
  <si>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</si>
  <si>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</si>
  <si>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</si>
  <si>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</si>
  <si>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</si>
  <si>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</si>
  <si>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</si>
  <si>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</si>
  <si>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</si>
  <si>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</si>
  <si>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</si>
  <si>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</si>
  <si>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</si>
  <si>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</si>
  <si>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</si>
  <si>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</si>
  <si>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</si>
  <si>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</si>
  <si>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</si>
  <si>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</si>
  <si>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</si>
  <si>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</si>
  <si>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</si>
  <si>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</si>
  <si>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</si>
  <si>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</si>
  <si>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</si>
  <si>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</si>
  <si>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</si>
  <si>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</si>
  <si>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</si>
  <si>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</si>
  <si>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</si>
  <si>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</si>
  <si>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</si>
  <si>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</si>
  <si>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</si>
  <si>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</si>
  <si>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</si>
  <si>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</si>
  <si>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</si>
  <si>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</si>
  <si>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</si>
  <si>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</si>
  <si>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</si>
  <si>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</si>
  <si>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</si>
  <si>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</si>
  <si>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</si>
  <si>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</si>
  <si>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</si>
  <si>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</si>
  <si>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</si>
  <si>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</si>
  <si>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</si>
  <si>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</si>
  <si>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</si>
  <si>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</si>
  <si>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</si>
  <si>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</si>
  <si>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</si>
  <si>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</si>
  <si>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</si>
  <si>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</si>
  <si>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</si>
  <si>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</si>
  <si>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</si>
  <si>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</si>
  <si>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</si>
  <si>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</si>
  <si>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</si>
  <si>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</si>
  <si>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</si>
  <si>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</si>
  <si>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</si>
  <si>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</si>
  <si>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</si>
  <si>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</si>
  <si>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</si>
  <si>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</si>
  <si>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</si>
  <si>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</si>
  <si>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</si>
  <si>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</si>
  <si>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</si>
  <si>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</si>
  <si>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</si>
  <si>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</si>
  <si>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</si>
  <si>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</si>
  <si>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</si>
  <si>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</si>
  <si>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</si>
  <si>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</si>
  <si>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</si>
  <si>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</si>
  <si>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</si>
  <si>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</si>
  <si>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</si>
  <si>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</si>
  <si>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</si>
  <si>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</si>
  <si>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</si>
  <si>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</si>
  <si>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</si>
  <si>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</si>
  <si>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</si>
  <si>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</si>
  <si>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</si>
  <si>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</si>
  <si>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</si>
  <si>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</si>
  <si>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</si>
  <si>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</si>
  <si>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</si>
  <si>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</si>
  <si>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</si>
  <si>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</si>
  <si>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</si>
  <si>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</si>
  <si>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</si>
  <si>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</si>
  <si>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</si>
  <si>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</si>
  <si>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</si>
  <si>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</si>
  <si>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</si>
  <si>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</si>
  <si>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</si>
  <si>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</si>
  <si>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</si>
  <si>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</si>
  <si>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</si>
  <si>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</si>
  <si>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</si>
  <si>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</si>
  <si>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</si>
  <si>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</si>
  <si>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</si>
  <si>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</si>
  <si>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</si>
  <si>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</si>
  <si>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</si>
  <si>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</si>
  <si>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</si>
  <si>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</si>
  <si>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</si>
  <si>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</si>
  <si>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</si>
  <si>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</si>
  <si>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</si>
  <si>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</si>
  <si>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</si>
  <si>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</si>
  <si>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</si>
  <si>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</si>
  <si>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</si>
  <si>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</si>
  <si>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</si>
  <si>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</si>
  <si>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</si>
  <si>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</si>
  <si>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</si>
  <si>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</si>
  <si>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</si>
  <si>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</si>
  <si>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</si>
  <si>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</si>
  <si>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</si>
  <si>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</si>
  <si>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</si>
  <si>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</si>
  <si>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</si>
  <si>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</si>
  <si>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</si>
  <si>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</si>
  <si>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</si>
  <si>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</si>
  <si>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</si>
  <si>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</si>
  <si>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</si>
  <si>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</si>
  <si>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</si>
  <si>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</si>
  <si>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</si>
  <si>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</si>
  <si>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</si>
  <si>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</si>
  <si>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</si>
  <si>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</si>
  <si>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</si>
  <si>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</si>
  <si>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</si>
  <si>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</si>
  <si>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</si>
  <si>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</si>
  <si>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</si>
  <si>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</si>
  <si>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</si>
  <si>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</si>
  <si>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</si>
  <si>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</si>
  <si>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</si>
  <si>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</si>
  <si>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</si>
  <si>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</si>
  <si>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</si>
  <si>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</si>
  <si>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</si>
  <si>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</si>
  <si>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</si>
  <si>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</si>
  <si>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</si>
  <si>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</si>
  <si>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</si>
  <si>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</si>
  <si>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</si>
  <si>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</si>
  <si>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</si>
  <si>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</si>
  <si>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</si>
  <si>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</si>
  <si>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</si>
  <si>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</si>
  <si>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</si>
  <si>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</si>
  <si>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</si>
  <si>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</si>
  <si>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</si>
  <si>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</si>
  <si>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</si>
  <si>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</si>
  <si>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</si>
  <si>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</si>
  <si>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</si>
  <si>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</si>
  <si>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</si>
  <si>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</si>
  <si>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</si>
  <si>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</si>
  <si>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</si>
  <si>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</si>
  <si>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</si>
  <si>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</si>
  <si>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</si>
  <si>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</si>
  <si>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</si>
  <si>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</si>
  <si>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</si>
  <si>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</si>
  <si>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</si>
  <si>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</si>
  <si>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</si>
  <si>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</si>
  <si>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</si>
  <si>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</si>
  <si>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</si>
  <si>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</si>
  <si>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</si>
  <si>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</si>
  <si>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</si>
  <si>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</si>
  <si>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</si>
  <si>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</si>
  <si>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</si>
  <si>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</si>
  <si>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</si>
  <si>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</si>
  <si>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</si>
  <si>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</si>
  <si>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</si>
  <si>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TREU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</si>
  <si>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</si>
  <si>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</si>
  <si>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</si>
  <si>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</si>
  <si>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</si>
  <si>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</si>
  <si>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</si>
  <si>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</si>
  <si>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</si>
  <si>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</si>
  <si>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</si>
  <si>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hazr-t-dis-rg</t>
    <phoneticPr fontId="1" type="noConversion"/>
  </si>
  <si>
    <t>hazr-t-dis-clvweb01</t>
  </si>
  <si>
    <t>hazr-t-dis-clvap01</t>
  </si>
  <si>
    <t>hazr-t-dis-clvssrap01</t>
  </si>
  <si>
    <t>hazr-t-dis-clvadmweb01</t>
  </si>
  <si>
    <t>hazr-t-dis-clvadmap01</t>
  </si>
  <si>
    <t>10.157.128.21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</si>
  <si>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</si>
  <si>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10.157.144.131</t>
    <phoneticPr fontId="1" type="noConversion"/>
  </si>
  <si>
    <t>10.157.144.141</t>
    <phoneticPr fontId="1" type="noConversion"/>
  </si>
  <si>
    <t>10.157.144.151</t>
    <phoneticPr fontId="1" type="noConversion"/>
  </si>
  <si>
    <t>10.157.144.161</t>
    <phoneticPr fontId="1" type="noConversion"/>
  </si>
  <si>
    <t>t-dis-web-sbn</t>
    <phoneticPr fontId="1" type="noConversion"/>
  </si>
  <si>
    <t>t-dis-ap-sbn</t>
    <phoneticPr fontId="1" type="noConversion"/>
  </si>
  <si>
    <t>hazr-t-dis-clvweb01</t>
    <phoneticPr fontId="1" type="noConversion"/>
  </si>
  <si>
    <t>hazr-t-dis-clvap01</t>
    <phoneticPr fontId="1" type="noConversion"/>
  </si>
  <si>
    <t>hazr-t-dis-clvssrap01</t>
    <phoneticPr fontId="1" type="noConversion"/>
  </si>
  <si>
    <t>hazr-t-dis-clvadmweb01</t>
    <phoneticPr fontId="1" type="noConversion"/>
  </si>
  <si>
    <t>hazr-t-dis-clvadmap01</t>
    <phoneticPr fontId="1" type="noConversion"/>
  </si>
  <si>
    <t>hazr-t-dis-clvweb-lb</t>
    <phoneticPr fontId="1" type="noConversion"/>
  </si>
  <si>
    <t>10.157.128.20</t>
    <phoneticPr fontId="1" type="noConversion"/>
  </si>
  <si>
    <t>hazr-t-dis-clvap-lb</t>
    <phoneticPr fontId="1" type="noConversion"/>
  </si>
  <si>
    <t>10.157.144.130</t>
    <phoneticPr fontId="1" type="noConversion"/>
  </si>
  <si>
    <t>hazr-t-dis-clvssrap-lb</t>
    <phoneticPr fontId="1" type="noConversion"/>
  </si>
  <si>
    <t>10.157.144.140</t>
    <phoneticPr fontId="1" type="noConversion"/>
  </si>
  <si>
    <t>hazr-t-dis-clvadmweb-lb</t>
    <phoneticPr fontId="1" type="noConversion"/>
  </si>
  <si>
    <t>10.157.144.150</t>
    <phoneticPr fontId="1" type="noConversion"/>
  </si>
  <si>
    <t>hazr-t-dis-clvadmap-lb</t>
    <phoneticPr fontId="1" type="noConversion"/>
  </si>
  <si>
    <t>10.157.144.160</t>
    <phoneticPr fontId="1" type="noConversion"/>
  </si>
  <si>
    <t>TCP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</si>
</sst>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2" totalsRowShown="0" headerRowDxfId="33" dataDxfId="32">
  <autoFilter ref="B1:AF62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2"/>
  <sheetViews>
    <sheetView tabSelected="1" zoomScaleNormal="100" zoomScaleSheetLayoutView="100" workbookViewId="0">
      <pane xSplit="6" ySplit="1" topLeftCell="W4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AE62" sqref="AE62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575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575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s">
        <v>565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B58" s="107" t="s">
        <v>576</v>
      </c>
      <c r="C58" s="107" t="str" cm="1">
        <f t="array" ref="C58">UPPER(INDEX(_xlfn.TEXTSPLIT($D58, "-"), 3))</f>
        <v>DIS</v>
      </c>
      <c r="D58" s="107" t="s">
        <v>577</v>
      </c>
      <c r="E58" s="107" t="s">
        <v>24</v>
      </c>
      <c r="F58" s="107" t="s">
        <v>578</v>
      </c>
      <c r="G58" s="107" t="s">
        <v>583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521</v>
      </c>
      <c r="N58" s="110" t="s">
        <v>584</v>
      </c>
      <c r="O58" s="107" t="str">
        <f t="shared" ref="O58:O62" si="8">SUBSTITUTE(F58,"hazr-","")&amp;"-osdisk"</f>
        <v>t-dis-clvweb01-osdisk</v>
      </c>
      <c r="P58" s="107">
        <v>64</v>
      </c>
      <c r="Q58" s="107" t="s">
        <v>181</v>
      </c>
      <c r="R58" s="107"/>
      <c r="S58" s="107"/>
      <c r="T58" s="107"/>
      <c r="U58" s="107" t="str">
        <f t="shared" ref="U58:U62" si="9">SUBSTITUTE(F58,"hazr-","")&amp;"-nic"</f>
        <v>t-dis-clvweb01-nic</v>
      </c>
      <c r="V58" s="107" t="b">
        <v>1</v>
      </c>
      <c r="W58" s="107" t="b">
        <v>1</v>
      </c>
      <c r="X58" s="107" t="s">
        <v>198</v>
      </c>
      <c r="Y58" s="107" t="s">
        <v>451</v>
      </c>
      <c r="Z58" s="107" t="s">
        <v>589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B59" s="113" t="s">
        <v>576</v>
      </c>
      <c r="C59" s="107" t="str" cm="1">
        <f t="array" ref="C59">UPPER(INDEX(_xlfn.TEXTSPLIT($D59, "-"), 3))</f>
        <v>DIS</v>
      </c>
      <c r="D59" s="113" t="s">
        <v>577</v>
      </c>
      <c r="E59" s="113" t="s">
        <v>24</v>
      </c>
      <c r="F59" s="113" t="s">
        <v>579</v>
      </c>
      <c r="G59" s="113" t="s">
        <v>585</v>
      </c>
      <c r="H59" s="114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521</v>
      </c>
      <c r="N59" s="110" t="s">
        <v>584</v>
      </c>
      <c r="O59" s="113" t="str">
        <f t="shared" si="8"/>
        <v>t-dis-clvap01-osdisk</v>
      </c>
      <c r="P59" s="107">
        <v>64</v>
      </c>
      <c r="Q59" s="107" t="s">
        <v>181</v>
      </c>
      <c r="R59" s="113"/>
      <c r="S59" s="113"/>
      <c r="T59" s="113"/>
      <c r="U59" s="113" t="str">
        <f t="shared" si="9"/>
        <v>t-dis-clvap01-nic</v>
      </c>
      <c r="V59" s="107" t="s">
        <v>565</v>
      </c>
      <c r="W59" s="107" t="b">
        <v>1</v>
      </c>
      <c r="X59" s="107" t="s">
        <v>198</v>
      </c>
      <c r="Y59" s="113" t="s">
        <v>450</v>
      </c>
      <c r="Z59" s="113" t="s">
        <v>590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B60" s="113" t="s">
        <v>576</v>
      </c>
      <c r="C60" s="107" t="str" cm="1">
        <f t="array" ref="C60">UPPER(INDEX(_xlfn.TEXTSPLIT($D60, "-"), 3))</f>
        <v>DIS</v>
      </c>
      <c r="D60" s="107" t="s">
        <v>577</v>
      </c>
      <c r="E60" s="113" t="s">
        <v>24</v>
      </c>
      <c r="F60" s="113" t="s">
        <v>580</v>
      </c>
      <c r="G60" s="113" t="s">
        <v>586</v>
      </c>
      <c r="H60" s="114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521</v>
      </c>
      <c r="N60" s="110" t="s">
        <v>584</v>
      </c>
      <c r="O60" s="113" t="str">
        <f t="shared" si="8"/>
        <v>t-dis-clvssrap01-osdisk</v>
      </c>
      <c r="P60" s="107">
        <v>64</v>
      </c>
      <c r="Q60" s="107" t="s">
        <v>181</v>
      </c>
      <c r="R60" s="113"/>
      <c r="S60" s="113"/>
      <c r="T60" s="113"/>
      <c r="U60" s="113" t="str">
        <f t="shared" si="9"/>
        <v>t-dis-clvssrap01-nic</v>
      </c>
      <c r="V60" s="107" t="b">
        <v>1</v>
      </c>
      <c r="W60" s="107" t="b">
        <v>1</v>
      </c>
      <c r="X60" s="107" t="s">
        <v>198</v>
      </c>
      <c r="Y60" s="113" t="s">
        <v>450</v>
      </c>
      <c r="Z60" s="113" t="s">
        <v>590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B61" s="113" t="s">
        <v>576</v>
      </c>
      <c r="C61" s="107" t="str" cm="1">
        <f t="array" ref="C61">UPPER(INDEX(_xlfn.TEXTSPLIT($D61, "-"), 3))</f>
        <v>DIS</v>
      </c>
      <c r="D61" s="113" t="s">
        <v>577</v>
      </c>
      <c r="E61" s="113" t="s">
        <v>24</v>
      </c>
      <c r="F61" s="113" t="s">
        <v>581</v>
      </c>
      <c r="G61" s="113" t="s">
        <v>587</v>
      </c>
      <c r="H61" s="114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521</v>
      </c>
      <c r="N61" s="110" t="s">
        <v>584</v>
      </c>
      <c r="O61" s="113" t="str">
        <f t="shared" si="8"/>
        <v>t-dis-clvadmweb01-osdisk</v>
      </c>
      <c r="P61" s="107">
        <v>64</v>
      </c>
      <c r="Q61" s="107" t="s">
        <v>181</v>
      </c>
      <c r="R61" s="113"/>
      <c r="S61" s="113"/>
      <c r="T61" s="113"/>
      <c r="U61" s="113" t="str">
        <f t="shared" si="9"/>
        <v>t-dis-clvadmweb01-nic</v>
      </c>
      <c r="V61" s="107" t="s">
        <v>565</v>
      </c>
      <c r="W61" s="107" t="b">
        <v>1</v>
      </c>
      <c r="X61" s="107" t="s">
        <v>198</v>
      </c>
      <c r="Y61" s="113" t="s">
        <v>450</v>
      </c>
      <c r="Z61" s="113" t="s">
        <v>590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B62" s="113" t="s">
        <v>576</v>
      </c>
      <c r="C62" s="107" t="str" cm="1">
        <f t="array" ref="C62">UPPER(INDEX(_xlfn.TEXTSPLIT($D62, "-"), 3))</f>
        <v>DIS</v>
      </c>
      <c r="D62" s="107" t="s">
        <v>577</v>
      </c>
      <c r="E62" s="113" t="s">
        <v>24</v>
      </c>
      <c r="F62" s="113" t="s">
        <v>582</v>
      </c>
      <c r="G62" s="113" t="s">
        <v>588</v>
      </c>
      <c r="H62" s="114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521</v>
      </c>
      <c r="N62" s="111" t="s">
        <v>584</v>
      </c>
      <c r="O62" s="113" t="str">
        <f t="shared" si="8"/>
        <v>t-dis-clvadmap01-osdisk</v>
      </c>
      <c r="P62" s="107">
        <v>64</v>
      </c>
      <c r="Q62" s="107" t="s">
        <v>181</v>
      </c>
      <c r="R62" s="113"/>
      <c r="S62" s="113"/>
      <c r="T62" s="113"/>
      <c r="U62" s="113" t="str">
        <f t="shared" si="9"/>
        <v>t-dis-clvadmap01-nic</v>
      </c>
      <c r="V62" s="107" t="b">
        <v>1</v>
      </c>
      <c r="W62" s="107" t="b">
        <v>1</v>
      </c>
      <c r="X62" s="107" t="s">
        <v>198</v>
      </c>
      <c r="Y62" s="113" t="s">
        <v>450</v>
      </c>
      <c r="Z62" s="113" t="s">
        <v>590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2"/>
  <sheetViews>
    <sheetView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A62" sqref="A62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62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2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B58" s="74" t="s">
        <v>182</v>
      </c>
      <c r="C58" s="74" t="str" cm="1">
        <f t="array" ref="C58">UPPER(INDEX(_xlfn.TEXTSPLIT($D58, "-"), 3))</f>
        <v>DIS</v>
      </c>
      <c r="D58" s="74" t="s">
        <v>286</v>
      </c>
      <c r="E58" s="74" t="s">
        <v>24</v>
      </c>
      <c r="F58" s="74" t="s">
        <v>591</v>
      </c>
      <c r="G58" s="74" t="str">
        <f t="shared" si="4"/>
        <v>t-dis-clvweb01-disk01</v>
      </c>
      <c r="H58" s="74" t="s">
        <v>181</v>
      </c>
      <c r="I58" s="74">
        <v>64</v>
      </c>
      <c r="J58" s="74" t="str">
        <f t="shared" si="5"/>
        <v>t-dis-clvweb01-disk02</v>
      </c>
      <c r="K58" s="74" t="s">
        <v>181</v>
      </c>
      <c r="L58" s="74">
        <v>64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B59" s="73" t="s">
        <v>182</v>
      </c>
      <c r="C59" s="73" t="str" cm="1">
        <f t="array" ref="C59">UPPER(INDEX(_xlfn.TEXTSPLIT($D59, "-"), 3))</f>
        <v>DIS</v>
      </c>
      <c r="D59" s="73" t="s">
        <v>286</v>
      </c>
      <c r="E59" s="73" t="s">
        <v>24</v>
      </c>
      <c r="F59" s="73" t="s">
        <v>592</v>
      </c>
      <c r="G59" s="73" t="str">
        <f t="shared" si="4"/>
        <v>t-dis-clvap01-disk01</v>
      </c>
      <c r="H59" s="73" t="s">
        <v>181</v>
      </c>
      <c r="I59" s="73">
        <v>64</v>
      </c>
      <c r="J59" s="73" t="str">
        <f t="shared" si="5"/>
        <v>t-dis-clvap01-disk02</v>
      </c>
      <c r="K59" s="73" t="s">
        <v>181</v>
      </c>
      <c r="L59" s="73">
        <v>64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B60" s="74" t="s">
        <v>182</v>
      </c>
      <c r="C60" s="74" t="str" cm="1">
        <f t="array" ref="C60">UPPER(INDEX(_xlfn.TEXTSPLIT($D60, "-"), 3))</f>
        <v>DIS</v>
      </c>
      <c r="D60" s="74" t="s">
        <v>286</v>
      </c>
      <c r="E60" s="74" t="s">
        <v>24</v>
      </c>
      <c r="F60" s="74" t="s">
        <v>593</v>
      </c>
      <c r="G60" s="74" t="str">
        <f t="shared" si="4"/>
        <v>t-dis-clvssrap01-disk01</v>
      </c>
      <c r="H60" s="74" t="s">
        <v>181</v>
      </c>
      <c r="I60" s="74">
        <v>64</v>
      </c>
      <c r="J60" s="74" t="str">
        <f t="shared" si="5"/>
        <v>t-dis-clvssrap01-disk02</v>
      </c>
      <c r="K60" s="74" t="s">
        <v>181</v>
      </c>
      <c r="L60" s="74">
        <v>64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B61" s="73" t="s">
        <v>182</v>
      </c>
      <c r="C61" s="73" t="str" cm="1">
        <f t="array" ref="C61">UPPER(INDEX(_xlfn.TEXTSPLIT($D61, "-"), 3))</f>
        <v>DIS</v>
      </c>
      <c r="D61" s="73" t="s">
        <v>286</v>
      </c>
      <c r="E61" s="73" t="s">
        <v>24</v>
      </c>
      <c r="F61" s="73" t="s">
        <v>594</v>
      </c>
      <c r="G61" s="73" t="str">
        <f t="shared" si="4"/>
        <v>t-dis-clvadmweb01-disk01</v>
      </c>
      <c r="H61" s="73" t="s">
        <v>181</v>
      </c>
      <c r="I61" s="73">
        <v>64</v>
      </c>
      <c r="J61" s="73" t="str">
        <f t="shared" si="5"/>
        <v>t-dis-clvadmweb01-disk02</v>
      </c>
      <c r="K61" s="73" t="s">
        <v>181</v>
      </c>
      <c r="L61" s="73">
        <v>64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B62" s="74" t="s">
        <v>182</v>
      </c>
      <c r="C62" s="74" t="str" cm="1">
        <f t="array" ref="C62">UPPER(INDEX(_xlfn.TEXTSPLIT($D62, "-"), 3))</f>
        <v>DIS</v>
      </c>
      <c r="D62" s="74" t="s">
        <v>286</v>
      </c>
      <c r="E62" s="74" t="s">
        <v>24</v>
      </c>
      <c r="F62" s="74" t="s">
        <v>595</v>
      </c>
      <c r="G62" s="74" t="str">
        <f t="shared" si="4"/>
        <v>t-dis-clvadmap01-disk01</v>
      </c>
      <c r="H62" s="74" t="s">
        <v>181</v>
      </c>
      <c r="I62" s="74">
        <v>64</v>
      </c>
      <c r="J62" s="74" t="str">
        <f t="shared" si="5"/>
        <v>t-dis-clvadmap01-disk02</v>
      </c>
      <c r="K62" s="74" t="s">
        <v>181</v>
      </c>
      <c r="L62" s="74">
        <v>64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0"/>
  <sheetViews>
    <sheetView topLeftCell="A61" workbookViewId="0">
      <selection activeCell="G79" sqref="G79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4"/>
        <v>t-dip-db-nsg</v>
      </c>
      <c r="F61" s="82" t="s">
        <v>198</v>
      </c>
      <c r="G61" s="74" t="s">
        <v>450</v>
      </c>
      <c r="H61" s="74" t="s">
        <v>316</v>
      </c>
      <c r="I61" s="74"/>
      <c r="J61" s="74"/>
      <c r="K61" s="74"/>
      <c r="L61" s="74" t="s">
        <v>519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DIP</v>
      </c>
      <c r="D62" s="80" t="s">
        <v>198</v>
      </c>
      <c r="E62" s="80" t="str">
        <f t="shared" si="4"/>
        <v>t-dip-pe-nsg</v>
      </c>
      <c r="F62" s="80" t="s">
        <v>198</v>
      </c>
      <c r="G62" s="73" t="s">
        <v>450</v>
      </c>
      <c r="H62" s="73" t="s">
        <v>317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80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566</v>
      </c>
    </row>
    <row r="75" spans="1:13" x14ac:dyDescent="0.3"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566</v>
      </c>
    </row>
    <row r="76" spans="1:13" x14ac:dyDescent="0.3">
      <c r="B76" s="82" t="s">
        <v>182</v>
      </c>
      <c r="C76" s="82" t="str" cm="1">
        <f t="array" ref="C76">UPPER(INDEX(_xlfn.TEXTSPLIT($E76, "-"), 2))</f>
        <v>DIS</v>
      </c>
      <c r="D76" s="82" t="s">
        <v>198</v>
      </c>
      <c r="E76" s="82" t="str">
        <f t="shared" si="7"/>
        <v>t-dis-clvweb01-nsg</v>
      </c>
      <c r="F76" s="82" t="s">
        <v>198</v>
      </c>
      <c r="G76" s="82" t="s">
        <v>199</v>
      </c>
      <c r="H76" s="82" t="s">
        <v>290</v>
      </c>
      <c r="I76" s="82" t="s">
        <v>591</v>
      </c>
      <c r="J76" s="82" t="s">
        <v>286</v>
      </c>
      <c r="K76" s="82" t="str">
        <f t="shared" ref="K76:K80" si="8">SUBSTITUTE(I76,"hazr-","")&amp;"-nic"</f>
        <v>t-dis-clvweb01-nic</v>
      </c>
      <c r="L76" s="82" t="s">
        <v>516</v>
      </c>
      <c r="M76" s="82"/>
    </row>
    <row r="77" spans="1:13" x14ac:dyDescent="0.3">
      <c r="B77" s="80" t="s">
        <v>182</v>
      </c>
      <c r="C77" s="80" t="str" cm="1">
        <f t="array" ref="C77">UPPER(INDEX(_xlfn.TEXTSPLIT($E77, "-"), 2))</f>
        <v>DIS</v>
      </c>
      <c r="D77" s="80" t="s">
        <v>198</v>
      </c>
      <c r="E77" s="80" t="str">
        <f t="shared" si="7"/>
        <v>t-dis-clvap01-nsg</v>
      </c>
      <c r="F77" s="80" t="s">
        <v>198</v>
      </c>
      <c r="G77" s="80" t="s">
        <v>200</v>
      </c>
      <c r="H77" s="80" t="s">
        <v>288</v>
      </c>
      <c r="I77" s="80" t="s">
        <v>592</v>
      </c>
      <c r="J77" s="80" t="s">
        <v>286</v>
      </c>
      <c r="K77" s="80" t="str">
        <f t="shared" si="8"/>
        <v>t-dis-clvap01-nic</v>
      </c>
      <c r="L77" s="80" t="s">
        <v>516</v>
      </c>
      <c r="M77" s="80"/>
    </row>
    <row r="78" spans="1:13" x14ac:dyDescent="0.3">
      <c r="B78" s="82" t="s">
        <v>182</v>
      </c>
      <c r="C78" s="82" t="str" cm="1">
        <f t="array" ref="C78">UPPER(INDEX(_xlfn.TEXTSPLIT($E78, "-"), 2))</f>
        <v>DIS</v>
      </c>
      <c r="D78" s="82" t="s">
        <v>198</v>
      </c>
      <c r="E78" s="82" t="str">
        <f t="shared" si="7"/>
        <v>t-dis-clvssrap01-nsg</v>
      </c>
      <c r="F78" s="82" t="s">
        <v>198</v>
      </c>
      <c r="G78" s="82" t="s">
        <v>200</v>
      </c>
      <c r="H78" s="82" t="s">
        <v>288</v>
      </c>
      <c r="I78" s="82" t="s">
        <v>593</v>
      </c>
      <c r="J78" s="82" t="s">
        <v>286</v>
      </c>
      <c r="K78" s="82" t="str">
        <f t="shared" si="8"/>
        <v>t-dis-clvssrap01-nic</v>
      </c>
      <c r="L78" s="82" t="s">
        <v>516</v>
      </c>
      <c r="M78" s="82"/>
    </row>
    <row r="79" spans="1:13" x14ac:dyDescent="0.3">
      <c r="B79" s="80" t="s">
        <v>182</v>
      </c>
      <c r="C79" s="80" t="str" cm="1">
        <f t="array" ref="C79">UPPER(INDEX(_xlfn.TEXTSPLIT($E79, "-"), 2))</f>
        <v>DIS</v>
      </c>
      <c r="D79" s="80" t="s">
        <v>198</v>
      </c>
      <c r="E79" s="80" t="str">
        <f t="shared" si="7"/>
        <v>t-dis-clvadmweb01-nsg</v>
      </c>
      <c r="F79" s="80" t="s">
        <v>198</v>
      </c>
      <c r="G79" s="80" t="s">
        <v>200</v>
      </c>
      <c r="H79" s="80" t="s">
        <v>288</v>
      </c>
      <c r="I79" s="80" t="s">
        <v>594</v>
      </c>
      <c r="J79" s="80" t="s">
        <v>286</v>
      </c>
      <c r="K79" s="80" t="str">
        <f t="shared" si="8"/>
        <v>t-dis-clvadmweb01-nic</v>
      </c>
      <c r="L79" s="80" t="s">
        <v>516</v>
      </c>
      <c r="M79" s="80"/>
    </row>
    <row r="80" spans="1:13" x14ac:dyDescent="0.3">
      <c r="B80" s="82" t="s">
        <v>182</v>
      </c>
      <c r="C80" s="82" t="str" cm="1">
        <f t="array" ref="C80">UPPER(INDEX(_xlfn.TEXTSPLIT($E80, "-"), 2))</f>
        <v>DIS</v>
      </c>
      <c r="D80" s="82" t="s">
        <v>198</v>
      </c>
      <c r="E80" s="82" t="str">
        <f t="shared" si="7"/>
        <v>t-dis-clvadmap01-nsg</v>
      </c>
      <c r="F80" s="82" t="s">
        <v>198</v>
      </c>
      <c r="G80" s="82" t="s">
        <v>200</v>
      </c>
      <c r="H80" s="82" t="s">
        <v>288</v>
      </c>
      <c r="I80" s="82" t="s">
        <v>595</v>
      </c>
      <c r="J80" s="82" t="s">
        <v>286</v>
      </c>
      <c r="K80" s="82" t="str">
        <f t="shared" si="8"/>
        <v>t-dis-clvadmap01-nic</v>
      </c>
      <c r="L80" s="82" t="s">
        <v>516</v>
      </c>
      <c r="M80" s="82"/>
    </row>
  </sheetData>
  <phoneticPr fontId="1" type="noConversion"/>
  <conditionalFormatting sqref="E1:E71 E8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5"/>
  <sheetViews>
    <sheetView topLeftCell="A16" workbookViewId="0">
      <selection activeCell="F41" sqref="F41:F45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567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568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570</v>
      </c>
      <c r="Q39" s="85" t="str">
        <f t="shared" si="3"/>
        <v>t-bdp-rlgcweb-lb-bp</v>
      </c>
    </row>
    <row r="40" spans="1:17" x14ac:dyDescent="0.3">
      <c r="A40" s="97"/>
      <c r="B40" s="74" t="s">
        <v>567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569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:K45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571</v>
      </c>
      <c r="Q40" s="87" t="str">
        <f t="shared" ref="Q40:Q45" si="5">SUBSTITUTE(F40, "hazr-", "")&amp;"-bp"</f>
        <v>t-bdp-rlgcap-lb-bp</v>
      </c>
    </row>
    <row r="41" spans="1:17" x14ac:dyDescent="0.3">
      <c r="B41" s="84" t="s">
        <v>182</v>
      </c>
      <c r="C41" s="84" t="str" cm="1">
        <f t="array" ref="C41">UPPER(INDEX(_xlfn.TEXTSPLIT($F41, "-"), 3))</f>
        <v>DIS</v>
      </c>
      <c r="D41" s="84" t="s">
        <v>286</v>
      </c>
      <c r="E41" s="84" t="s">
        <v>24</v>
      </c>
      <c r="F41" s="84" t="s">
        <v>596</v>
      </c>
      <c r="G41" s="84" t="s">
        <v>111</v>
      </c>
      <c r="H41" s="84" t="s">
        <v>538</v>
      </c>
      <c r="I41" s="84" t="s">
        <v>537</v>
      </c>
      <c r="J41" s="84" t="s">
        <v>102</v>
      </c>
      <c r="K41" s="84" t="str">
        <f t="shared" si="4"/>
        <v>t-dis-clvweb-lb-fe</v>
      </c>
      <c r="L41" s="84" t="s">
        <v>198</v>
      </c>
      <c r="M41" s="84" t="s">
        <v>199</v>
      </c>
      <c r="N41" s="84" t="s">
        <v>290</v>
      </c>
      <c r="O41" s="84" t="s">
        <v>108</v>
      </c>
      <c r="P41" s="84" t="s">
        <v>597</v>
      </c>
      <c r="Q41" s="85" t="str">
        <f t="shared" si="5"/>
        <v>t-dis-clvweb-lb-bp</v>
      </c>
    </row>
    <row r="42" spans="1:17" x14ac:dyDescent="0.3">
      <c r="B42" s="74" t="s">
        <v>182</v>
      </c>
      <c r="C42" s="74" t="str" cm="1">
        <f t="array" ref="C42">UPPER(INDEX(_xlfn.TEXTSPLIT($F42, "-"), 3))</f>
        <v>DIS</v>
      </c>
      <c r="D42" s="74" t="s">
        <v>286</v>
      </c>
      <c r="E42" s="74" t="s">
        <v>24</v>
      </c>
      <c r="F42" s="74" t="s">
        <v>598</v>
      </c>
      <c r="G42" s="74" t="s">
        <v>111</v>
      </c>
      <c r="H42" s="74" t="s">
        <v>538</v>
      </c>
      <c r="I42" s="74" t="s">
        <v>537</v>
      </c>
      <c r="J42" s="74" t="s">
        <v>102</v>
      </c>
      <c r="K42" s="74" t="str">
        <f t="shared" si="4"/>
        <v>t-dis-clvap-lb-fe</v>
      </c>
      <c r="L42" s="74" t="s">
        <v>198</v>
      </c>
      <c r="M42" s="74" t="s">
        <v>200</v>
      </c>
      <c r="N42" s="74" t="s">
        <v>288</v>
      </c>
      <c r="O42" s="74" t="s">
        <v>108</v>
      </c>
      <c r="P42" s="74" t="s">
        <v>599</v>
      </c>
      <c r="Q42" s="87" t="str">
        <f t="shared" si="5"/>
        <v>t-dis-clvap-lb-bp</v>
      </c>
    </row>
    <row r="43" spans="1:17" x14ac:dyDescent="0.3">
      <c r="B43" s="84" t="s">
        <v>182</v>
      </c>
      <c r="C43" s="84" t="str" cm="1">
        <f t="array" ref="C43">UPPER(INDEX(_xlfn.TEXTSPLIT($F43, "-"), 3))</f>
        <v>DIS</v>
      </c>
      <c r="D43" s="84" t="s">
        <v>286</v>
      </c>
      <c r="E43" s="84" t="s">
        <v>24</v>
      </c>
      <c r="F43" s="84" t="s">
        <v>600</v>
      </c>
      <c r="G43" s="84" t="s">
        <v>111</v>
      </c>
      <c r="H43" s="84" t="s">
        <v>538</v>
      </c>
      <c r="I43" s="84" t="s">
        <v>537</v>
      </c>
      <c r="J43" s="84" t="s">
        <v>102</v>
      </c>
      <c r="K43" s="84" t="str">
        <f t="shared" si="4"/>
        <v>t-dis-clvssrap-lb-fe</v>
      </c>
      <c r="L43" s="84" t="s">
        <v>198</v>
      </c>
      <c r="M43" s="84" t="s">
        <v>200</v>
      </c>
      <c r="N43" s="84" t="s">
        <v>288</v>
      </c>
      <c r="O43" s="84" t="s">
        <v>108</v>
      </c>
      <c r="P43" s="84" t="s">
        <v>601</v>
      </c>
      <c r="Q43" s="85" t="str">
        <f t="shared" si="5"/>
        <v>t-dis-clvssrap-lb-bp</v>
      </c>
    </row>
    <row r="44" spans="1:17" x14ac:dyDescent="0.3">
      <c r="B44" s="74" t="s">
        <v>182</v>
      </c>
      <c r="C44" s="74" t="str" cm="1">
        <f t="array" ref="C44">UPPER(INDEX(_xlfn.TEXTSPLIT($F44, "-"), 3))</f>
        <v>DIS</v>
      </c>
      <c r="D44" s="74" t="s">
        <v>286</v>
      </c>
      <c r="E44" s="74" t="s">
        <v>24</v>
      </c>
      <c r="F44" s="74" t="s">
        <v>602</v>
      </c>
      <c r="G44" s="74" t="s">
        <v>111</v>
      </c>
      <c r="H44" s="74" t="s">
        <v>538</v>
      </c>
      <c r="I44" s="74" t="s">
        <v>537</v>
      </c>
      <c r="J44" s="74" t="s">
        <v>102</v>
      </c>
      <c r="K44" s="74" t="str">
        <f t="shared" si="4"/>
        <v>t-dis-clvadmweb-lb-fe</v>
      </c>
      <c r="L44" s="74" t="s">
        <v>198</v>
      </c>
      <c r="M44" s="74" t="s">
        <v>200</v>
      </c>
      <c r="N44" s="74" t="s">
        <v>288</v>
      </c>
      <c r="O44" s="74" t="s">
        <v>108</v>
      </c>
      <c r="P44" s="74" t="s">
        <v>603</v>
      </c>
      <c r="Q44" s="87" t="str">
        <f t="shared" si="5"/>
        <v>t-dis-clvadmweb-lb-bp</v>
      </c>
    </row>
    <row r="45" spans="1:17" x14ac:dyDescent="0.3">
      <c r="B45" s="84" t="s">
        <v>182</v>
      </c>
      <c r="C45" s="84" t="str" cm="1">
        <f t="array" ref="C45">UPPER(INDEX(_xlfn.TEXTSPLIT($F45, "-"), 3))</f>
        <v>DIS</v>
      </c>
      <c r="D45" s="84" t="s">
        <v>286</v>
      </c>
      <c r="E45" s="84" t="s">
        <v>24</v>
      </c>
      <c r="F45" s="84" t="s">
        <v>604</v>
      </c>
      <c r="G45" s="84" t="s">
        <v>111</v>
      </c>
      <c r="H45" s="84" t="s">
        <v>538</v>
      </c>
      <c r="I45" s="84" t="s">
        <v>537</v>
      </c>
      <c r="J45" s="84" t="s">
        <v>102</v>
      </c>
      <c r="K45" s="84" t="str">
        <f t="shared" si="4"/>
        <v>t-dis-clvadmap-lb-fe</v>
      </c>
      <c r="L45" s="84" t="s">
        <v>198</v>
      </c>
      <c r="M45" s="84" t="s">
        <v>200</v>
      </c>
      <c r="N45" s="84" t="s">
        <v>288</v>
      </c>
      <c r="O45" s="84" t="s">
        <v>108</v>
      </c>
      <c r="P45" s="84" t="s">
        <v>605</v>
      </c>
      <c r="Q45" s="85" t="str">
        <f t="shared" si="5"/>
        <v>t-dis-clvadmap-lb-bp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64"/>
  <sheetViews>
    <sheetView topLeftCell="A43" workbookViewId="0">
      <selection activeCell="E60" sqref="E60:E64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527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527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527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527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527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527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534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527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527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64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553</v>
      </c>
      <c r="F57" s="74" t="str">
        <f t="shared" ref="F57:F63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B58" s="84" t="s">
        <v>567</v>
      </c>
      <c r="C58" s="84" t="str" cm="1">
        <f t="array" ref="C58">UPPER(INDEX(_xlfn.TEXTSPLIT($D58, "-"), 3))</f>
        <v>BDP</v>
      </c>
      <c r="D58" s="84" t="s">
        <v>572</v>
      </c>
      <c r="E58" s="84" t="s">
        <v>568</v>
      </c>
      <c r="F58" s="84"/>
      <c r="G58" s="84" t="s">
        <v>573</v>
      </c>
      <c r="H58" s="84"/>
      <c r="I58" s="84"/>
      <c r="J58" s="84">
        <v>5</v>
      </c>
      <c r="K58" s="8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569</v>
      </c>
      <c r="F59" s="74"/>
      <c r="G59" s="74" t="s">
        <v>57</v>
      </c>
      <c r="H59" s="74"/>
      <c r="I59" s="74"/>
      <c r="J59" s="74">
        <v>5</v>
      </c>
      <c r="K59" s="74">
        <v>2</v>
      </c>
    </row>
    <row r="60" spans="1:11" x14ac:dyDescent="0.3">
      <c r="B60" s="84" t="s">
        <v>182</v>
      </c>
      <c r="C60" s="84" t="str" cm="1">
        <f t="array" ref="C60">UPPER(INDEX(_xlfn.TEXTSPLIT($D60, "-"), 3))</f>
        <v>DIS</v>
      </c>
      <c r="D60" s="84" t="s">
        <v>286</v>
      </c>
      <c r="E60" s="84" t="s">
        <v>596</v>
      </c>
      <c r="F60" s="84" t="str">
        <f t="shared" si="5"/>
        <v>t-dis-clvweb-lb-pb443</v>
      </c>
      <c r="G60" s="84" t="s">
        <v>606</v>
      </c>
      <c r="H60" s="84">
        <v>443</v>
      </c>
      <c r="I60" s="84"/>
      <c r="J60" s="84">
        <v>5</v>
      </c>
      <c r="K60" s="8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DIS</v>
      </c>
      <c r="D61" s="74" t="s">
        <v>286</v>
      </c>
      <c r="E61" s="74" t="s">
        <v>598</v>
      </c>
      <c r="F61" s="74" t="str">
        <f t="shared" si="6"/>
        <v>t-dis-clvap-lb-pb8080</v>
      </c>
      <c r="G61" s="74" t="s">
        <v>606</v>
      </c>
      <c r="H61" s="74">
        <v>8080</v>
      </c>
      <c r="I61" s="74"/>
      <c r="J61" s="74">
        <v>5</v>
      </c>
      <c r="K61" s="74">
        <v>2</v>
      </c>
    </row>
    <row r="62" spans="1:11" x14ac:dyDescent="0.3">
      <c r="B62" s="84" t="s">
        <v>182</v>
      </c>
      <c r="C62" s="84" t="str" cm="1">
        <f t="array" ref="C62">UPPER(INDEX(_xlfn.TEXTSPLIT($D62, "-"), 3))</f>
        <v>DIS</v>
      </c>
      <c r="D62" s="84" t="s">
        <v>286</v>
      </c>
      <c r="E62" s="84" t="s">
        <v>600</v>
      </c>
      <c r="F62" s="84" t="str">
        <f t="shared" si="5"/>
        <v>t-dis-clvssrap-lb-pb8080</v>
      </c>
      <c r="G62" s="84" t="s">
        <v>606</v>
      </c>
      <c r="H62" s="84">
        <v>8080</v>
      </c>
      <c r="I62" s="84"/>
      <c r="J62" s="84">
        <v>5</v>
      </c>
      <c r="K62" s="8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DIS</v>
      </c>
      <c r="D63" s="74" t="s">
        <v>286</v>
      </c>
      <c r="E63" s="74" t="s">
        <v>602</v>
      </c>
      <c r="F63" s="74" t="str">
        <f t="shared" si="6"/>
        <v>t-dis-clvadmweb-lb-pb443</v>
      </c>
      <c r="G63" s="74" t="s">
        <v>606</v>
      </c>
      <c r="H63" s="74">
        <v>443</v>
      </c>
      <c r="I63" s="74"/>
      <c r="J63" s="74">
        <v>5</v>
      </c>
      <c r="K63" s="74">
        <v>2</v>
      </c>
    </row>
    <row r="64" spans="1:11" x14ac:dyDescent="0.3">
      <c r="B64" s="84" t="s">
        <v>182</v>
      </c>
      <c r="C64" s="84" t="str" cm="1">
        <f t="array" ref="C64">UPPER(INDEX(_xlfn.TEXTSPLIT($D64, "-"), 3))</f>
        <v>DIS</v>
      </c>
      <c r="D64" s="84" t="s">
        <v>286</v>
      </c>
      <c r="E64" s="84" t="s">
        <v>604</v>
      </c>
      <c r="F64" s="84" t="str">
        <f t="shared" si="5"/>
        <v>t-dis-clvadmap-lb-pb8080</v>
      </c>
      <c r="G64" s="84" t="s">
        <v>606</v>
      </c>
      <c r="H64" s="84">
        <v>8080</v>
      </c>
      <c r="I64" s="84"/>
      <c r="J64" s="84">
        <v>5</v>
      </c>
      <c r="K64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64"/>
  <sheetViews>
    <sheetView topLeftCell="A46" workbookViewId="0">
      <selection activeCell="I55" sqref="I55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527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527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527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527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527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527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533</v>
      </c>
      <c r="D50" s="74" t="s">
        <v>534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527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527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553</v>
      </c>
      <c r="E57" s="74" t="str">
        <f t="shared" ref="E57:E64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567</v>
      </c>
      <c r="B58" s="84" t="str" cm="1">
        <f t="array" ref="B58">UPPER(INDEX(_xlfn.TEXTSPLIT($C58, "-"), 3))</f>
        <v>BDP</v>
      </c>
      <c r="C58" s="84" t="s">
        <v>572</v>
      </c>
      <c r="D58" s="84" t="s">
        <v>568</v>
      </c>
      <c r="E58" s="84" t="str">
        <f t="shared" si="24"/>
        <v>t-bdp-rlgcweb-lb-rule</v>
      </c>
      <c r="F58" s="84" t="str">
        <f t="shared" si="25"/>
        <v>t-bdp-rlgcweb-lb-fe</v>
      </c>
      <c r="G58" s="84" t="s">
        <v>573</v>
      </c>
      <c r="H58" s="84"/>
      <c r="I58" s="84" t="b">
        <v>0</v>
      </c>
      <c r="J58" s="84" t="str">
        <f t="shared" si="26"/>
        <v>t-bdp-rlgcweb-lb-bp</v>
      </c>
      <c r="K58" s="84"/>
      <c r="L58" s="84" t="str">
        <f t="shared" si="27"/>
        <v>t-bdp-rlgcweb-lb-pb</v>
      </c>
      <c r="M58" s="84" t="s">
        <v>573</v>
      </c>
      <c r="N58" s="84"/>
      <c r="O58" s="84">
        <v>4</v>
      </c>
      <c r="P58" s="84" t="s">
        <v>574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569</v>
      </c>
      <c r="E59" s="74" t="str">
        <f t="shared" ref="E59:E63" si="28">SUBSTITUTE(D59, "hazr-", "")&amp;"-rule"&amp;N59</f>
        <v>t-bdp-rlgcap-lb-rule</v>
      </c>
      <c r="F59" s="74" t="str">
        <f t="shared" ref="F59:F60" si="29">SUBSTITUTE(D59, "hazr-", "")&amp;"-fe"</f>
        <v>t-bdp-rlgcap-lb-fe</v>
      </c>
      <c r="G59" s="74" t="s">
        <v>57</v>
      </c>
      <c r="H59" s="74"/>
      <c r="I59" s="74" t="b">
        <v>0</v>
      </c>
      <c r="J59" s="74" t="str">
        <f t="shared" ref="J59:J60" si="30">SUBSTITUTE(D59, "hazr-", "")&amp;"-bp"</f>
        <v>t-bdp-rlgcap-lb-bp</v>
      </c>
      <c r="K59" s="74"/>
      <c r="L59" s="74" t="str">
        <f t="shared" ref="L59:L60" si="31">SUBSTITUTE(D59, "hazr-", "")&amp;"-pb"&amp;IF(N59="", "", N59)</f>
        <v>t-bdp-rlgcap-lb-pb</v>
      </c>
      <c r="M59" s="74" t="s">
        <v>57</v>
      </c>
      <c r="N59" s="74"/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DIS</v>
      </c>
      <c r="C60" s="84" t="s">
        <v>286</v>
      </c>
      <c r="D60" s="84" t="s">
        <v>596</v>
      </c>
      <c r="E60" s="84" t="str">
        <f t="shared" si="24"/>
        <v>t-dis-clvweb-lb-rule443</v>
      </c>
      <c r="F60" s="84" t="str">
        <f t="shared" si="29"/>
        <v>t-dis-clvweb-lb-fe</v>
      </c>
      <c r="G60" s="84" t="s">
        <v>57</v>
      </c>
      <c r="H60" s="84">
        <v>443</v>
      </c>
      <c r="I60" s="84" t="b">
        <v>0</v>
      </c>
      <c r="J60" s="84" t="str">
        <f t="shared" si="30"/>
        <v>t-dis-clvweb-lb-bp</v>
      </c>
      <c r="K60" s="84">
        <v>443</v>
      </c>
      <c r="L60" s="84" t="str">
        <f t="shared" si="31"/>
        <v>t-dis-clvweb-lb-pb443</v>
      </c>
      <c r="M60" s="84" t="s">
        <v>57</v>
      </c>
      <c r="N60" s="84">
        <v>443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DIS</v>
      </c>
      <c r="C61" s="74" t="s">
        <v>286</v>
      </c>
      <c r="D61" s="74" t="s">
        <v>598</v>
      </c>
      <c r="E61" s="74" t="str">
        <f t="shared" si="28"/>
        <v>t-dis-clvap-lb-rule8080</v>
      </c>
      <c r="F61" s="74" t="str">
        <f t="shared" ref="F61:F64" si="32">SUBSTITUTE(D61, "hazr-", "")&amp;"-fe"</f>
        <v>t-dis-clvap-lb-fe</v>
      </c>
      <c r="G61" s="74" t="s">
        <v>57</v>
      </c>
      <c r="H61" s="74">
        <v>8080</v>
      </c>
      <c r="I61" s="74" t="b">
        <v>0</v>
      </c>
      <c r="J61" s="74" t="str">
        <f t="shared" ref="J61:J64" si="33">SUBSTITUTE(D61, "hazr-", "")&amp;"-bp"</f>
        <v>t-dis-clvap-lb-bp</v>
      </c>
      <c r="K61" s="74">
        <v>8080</v>
      </c>
      <c r="L61" s="74" t="str">
        <f t="shared" ref="L61:L64" si="34">SUBSTITUTE(D61, "hazr-", "")&amp;"-pb"&amp;IF(N61="", "", N61)</f>
        <v>t-dis-clvap-lb-pb8080</v>
      </c>
      <c r="M61" s="74" t="s">
        <v>57</v>
      </c>
      <c r="N61" s="74">
        <v>8080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84" t="s">
        <v>182</v>
      </c>
      <c r="B62" s="84" t="str" cm="1">
        <f t="array" ref="B62">UPPER(INDEX(_xlfn.TEXTSPLIT($C62, "-"), 3))</f>
        <v>DIS</v>
      </c>
      <c r="C62" s="84" t="s">
        <v>286</v>
      </c>
      <c r="D62" s="84" t="s">
        <v>600</v>
      </c>
      <c r="E62" s="84" t="str">
        <f t="shared" si="24"/>
        <v>t-dis-clvssrap-lb-rule8080</v>
      </c>
      <c r="F62" s="84" t="str">
        <f t="shared" si="32"/>
        <v>t-dis-clvssrap-lb-fe</v>
      </c>
      <c r="G62" s="84" t="s">
        <v>57</v>
      </c>
      <c r="H62" s="84">
        <v>8080</v>
      </c>
      <c r="I62" s="84" t="b">
        <v>0</v>
      </c>
      <c r="J62" s="84" t="str">
        <f t="shared" si="33"/>
        <v>t-dis-clvssrap-lb-bp</v>
      </c>
      <c r="K62" s="84">
        <v>8080</v>
      </c>
      <c r="L62" s="84" t="str">
        <f t="shared" si="34"/>
        <v>t-dis-clvssrap-lb-pb8080</v>
      </c>
      <c r="M62" s="84" t="s">
        <v>57</v>
      </c>
      <c r="N62" s="84">
        <v>8080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DIS</v>
      </c>
      <c r="C63" s="74" t="s">
        <v>286</v>
      </c>
      <c r="D63" s="74" t="s">
        <v>602</v>
      </c>
      <c r="E63" s="74" t="str">
        <f t="shared" si="28"/>
        <v>t-dis-clvadmweb-lb-rule443</v>
      </c>
      <c r="F63" s="74" t="str">
        <f t="shared" si="32"/>
        <v>t-dis-clvadmweb-lb-fe</v>
      </c>
      <c r="G63" s="74" t="s">
        <v>57</v>
      </c>
      <c r="H63" s="74">
        <v>443</v>
      </c>
      <c r="I63" s="74" t="b">
        <v>0</v>
      </c>
      <c r="J63" s="74" t="str">
        <f t="shared" si="33"/>
        <v>t-dis-clvadmweb-lb-bp</v>
      </c>
      <c r="K63" s="74">
        <v>443</v>
      </c>
      <c r="L63" s="74" t="str">
        <f t="shared" si="34"/>
        <v>t-dis-clvadmweb-lb-pb443</v>
      </c>
      <c r="M63" s="74" t="s">
        <v>57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84" t="s">
        <v>182</v>
      </c>
      <c r="B64" s="84" t="str" cm="1">
        <f t="array" ref="B64">UPPER(INDEX(_xlfn.TEXTSPLIT($C64, "-"), 3))</f>
        <v>DIS</v>
      </c>
      <c r="C64" s="84" t="s">
        <v>286</v>
      </c>
      <c r="D64" s="84" t="s">
        <v>604</v>
      </c>
      <c r="E64" s="84" t="str">
        <f t="shared" si="24"/>
        <v>t-dis-clvadmap-lb-rule8080</v>
      </c>
      <c r="F64" s="84" t="str">
        <f t="shared" si="32"/>
        <v>t-dis-clvadmap-lb-fe</v>
      </c>
      <c r="G64" s="84" t="s">
        <v>57</v>
      </c>
      <c r="H64" s="84">
        <v>8080</v>
      </c>
      <c r="I64" s="84" t="b">
        <v>0</v>
      </c>
      <c r="J64" s="84" t="str">
        <f t="shared" si="33"/>
        <v>t-dis-clvadmap-lb-bp</v>
      </c>
      <c r="K64" s="84">
        <v>8080</v>
      </c>
      <c r="L64" s="84" t="str">
        <f t="shared" si="34"/>
        <v>t-dis-clvadmap-lb-pb8080</v>
      </c>
      <c r="M64" s="84" t="s">
        <v>57</v>
      </c>
      <c r="N64" s="84">
        <v>8080</v>
      </c>
      <c r="O64" s="84">
        <v>4</v>
      </c>
      <c r="P64" s="84" t="s">
        <v>123</v>
      </c>
      <c r="Q64" s="84" t="b">
        <v>1</v>
      </c>
      <c r="R64" s="8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2026-09-15T00:59:28Z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