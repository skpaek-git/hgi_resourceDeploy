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9C9E703-F4AE-4E61-BC78-90B575BD9614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1" l="1"/>
  <c r="L60" i="11"/>
  <c r="J61" i="11"/>
  <c r="L61" i="11"/>
  <c r="J62" i="11"/>
  <c r="L62" i="11"/>
  <c r="J63" i="11"/>
  <c r="L63" i="11"/>
  <c r="J64" i="11"/>
  <c r="L64" i="11"/>
  <c r="F60" i="11"/>
  <c r="F61" i="11"/>
  <c r="F62" i="11"/>
  <c r="F63" i="11"/>
  <c r="F64" i="11"/>
  <c r="E60" i="11"/>
  <c r="E61" i="11"/>
  <c r="E62" i="11"/>
  <c r="E63" i="11"/>
  <c r="E64" i="11"/>
  <c r="B63" i="11" a="1"/>
  <c r="B63" i="11" s="1"/>
  <c r="B64" i="11" a="1"/>
  <c r="B64" i="11" s="1"/>
  <c r="B62" i="11" a="1"/>
  <c r="B62" i="11" s="1"/>
  <c r="B61" i="11" a="1"/>
  <c r="B61" i="11" s="1"/>
  <c r="B60" i="11" a="1"/>
  <c r="B60" i="11" s="1"/>
  <c r="F60" i="10"/>
  <c r="F61" i="10"/>
  <c r="F62" i="10"/>
  <c r="F63" i="10"/>
  <c r="F64" i="10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<sst xmlns="http://schemas.openxmlformats.org/spreadsheetml/2006/main" count="4207" uniqueCount="610">
  <si>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</si>
  <si>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</si>
  <si>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</si>
  <si>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</si>
  <si>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</si>
  <si>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</si>
  <si>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</si>
  <si>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</si>
  <si>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</si>
  <si>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</si>
  <si>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</si>
  <si>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</si>
  <si>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</si>
  <si>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</si>
  <si>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</si>
  <si>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</si>
  <si>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</si>
  <si>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</si>
  <si>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</si>
  <si>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</si>
  <si>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</si>
  <si>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</si>
  <si>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</si>
  <si>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</si>
  <si>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</si>
  <si>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</si>
  <si>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</si>
  <si>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</si>
  <si>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</si>
  <si>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</si>
  <si>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</si>
  <si>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</si>
  <si>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</si>
  <si>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</si>
  <si>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</si>
  <si>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</si>
  <si>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</si>
  <si>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</si>
  <si>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</si>
  <si>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</si>
  <si>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</si>
  <si>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</si>
  <si>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</si>
  <si>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</si>
  <si>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</si>
  <si>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</si>
  <si>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</si>
  <si>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</si>
  <si>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</si>
  <si>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</si>
  <si>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</si>
  <si>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</si>
  <si>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</si>
  <si>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</si>
  <si>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</si>
  <si>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</si>
  <si>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</si>
  <si>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</si>
  <si>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</si>
  <si>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</si>
  <si>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</si>
  <si>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</si>
  <si>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</si>
  <si>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</si>
  <si>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</si>
  <si>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</si>
  <si>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</si>
  <si>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</si>
  <si>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</si>
  <si>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</si>
  <si>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</si>
  <si>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</si>
  <si>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</si>
  <si>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</si>
  <si>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</si>
  <si>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</si>
  <si>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</si>
  <si>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</si>
  <si>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</si>
  <si>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</si>
  <si>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</si>
  <si>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</si>
  <si>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</si>
  <si>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</si>
  <si>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</si>
  <si>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</si>
  <si>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</si>
  <si>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</si>
  <si>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</si>
  <si>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</si>
  <si>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</si>
  <si>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</si>
  <si>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</si>
  <si>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</si>
  <si>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</si>
  <si>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</si>
  <si>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</si>
  <si>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</si>
  <si>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</si>
  <si>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</si>
  <si>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</si>
  <si>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</si>
  <si>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</si>
  <si>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</si>
  <si>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</si>
  <si>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</si>
  <si>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</si>
  <si>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</si>
  <si>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</si>
  <si>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</si>
  <si>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</si>
  <si>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</si>
  <si>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</si>
  <si>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</si>
  <si>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</si>
  <si>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</si>
  <si>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</si>
  <si>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</si>
  <si>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</si>
  <si>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</si>
  <si>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</si>
  <si>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</si>
  <si>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</si>
  <si>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</si>
  <si>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</si>
  <si>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</si>
  <si>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</si>
  <si>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</si>
  <si>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</si>
  <si>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</si>
  <si>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</si>
  <si>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</si>
  <si>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</si>
  <si>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</si>
  <si>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</si>
  <si>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</si>
  <si>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</si>
  <si>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</si>
  <si>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</si>
  <si>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</si>
  <si>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</si>
  <si>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</si>
  <si>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</si>
  <si>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</si>
  <si>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</si>
  <si>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</si>
  <si>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</si>
  <si>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</si>
  <si>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</si>
  <si>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</si>
  <si>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</si>
  <si>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</si>
  <si>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</si>
  <si>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</si>
  <si>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</si>
  <si>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</si>
  <si>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</si>
  <si>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</si>
  <si>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</si>
  <si>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</si>
  <si>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</si>
  <si>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</si>
  <si>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</si>
  <si>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</si>
  <si>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</si>
  <si>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</si>
  <si>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</si>
  <si>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</si>
  <si>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</si>
  <si>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</si>
  <si>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</si>
  <si>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</si>
  <si>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</si>
  <si>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</si>
  <si>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</si>
  <si>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</si>
  <si>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</si>
  <si>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</si>
  <si>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</si>
  <si>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</si>
  <si>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</si>
  <si>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</si>
  <si>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</si>
  <si>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</si>
  <si>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</si>
  <si>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</si>
  <si>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</si>
  <si>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</si>
  <si>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</si>
  <si>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</si>
  <si>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</si>
  <si>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</si>
  <si>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</si>
  <si>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</si>
  <si>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</si>
  <si>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</si>
  <si>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</si>
  <si>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</si>
  <si>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</si>
  <si>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</si>
  <si>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</si>
  <si>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</si>
  <si>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</si>
  <si>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</si>
  <si>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</si>
  <si>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</si>
  <si>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</si>
  <si>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</si>
  <si>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</si>
  <si>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</si>
  <si>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</si>
  <si>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</si>
  <si>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</si>
  <si>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</si>
  <si>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</si>
  <si>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</si>
  <si>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</si>
  <si>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</si>
  <si>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</si>
  <si>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</si>
  <si>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</si>
  <si>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</si>
  <si>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</si>
  <si>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</si>
  <si>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</si>
  <si>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</si>
  <si>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</si>
  <si>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</si>
  <si>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</si>
  <si>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</si>
  <si>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</si>
  <si>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</si>
  <si>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</si>
  <si>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</si>
  <si>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</si>
  <si>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</si>
  <si>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</si>
  <si>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</si>
  <si>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</si>
  <si>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</si>
  <si>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</si>
  <si>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</si>
  <si>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</si>
  <si>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</si>
  <si>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</si>
  <si>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</si>
  <si>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</si>
  <si>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</si>
  <si>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</si>
  <si>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</si>
  <si>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</si>
  <si>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</si>
  <si>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</si>
  <si>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</si>
  <si>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</si>
  <si>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</si>
  <si>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</si>
  <si>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</si>
  <si>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</si>
  <si>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</si>
  <si>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</si>
  <si>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</si>
  <si>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</si>
  <si>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</si>
  <si>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</si>
  <si>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</si>
  <si>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</si>
  <si>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</si>
  <si>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</si>
  <si>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</si>
  <si>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</si>
  <si>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</si>
  <si>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</si>
  <si>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</si>
  <si>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</si>
  <si>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</si>
  <si>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</si>
  <si>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</si>
  <si>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</si>
  <si>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</si>
  <si>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</si>
  <si>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</si>
  <si>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</si>
  <si>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</si>
  <si>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</si>
  <si>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</si>
  <si>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</si>
  <si>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</si>
  <si>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</si>
  <si>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</si>
  <si>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</si>
  <si>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</si>
  <si>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</si>
  <si>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</si>
  <si>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</si>
  <si>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</si>
  <si>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</si>
  <si>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</si>
  <si>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</si>
  <si>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</si>
  <si>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</si>
  <si>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</si>
  <si>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</si>
  <si>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</si>
  <si>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</si>
  <si>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</si>
  <si>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</si>
  <si>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</si>
  <si>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</si>
  <si>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</si>
  <si>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</si>
  <si>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</si>
  <si>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</si>
  <si>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</si>
  <si>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</si>
  <si>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</si>
  <si>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</si>
  <si>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</si>
  <si>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</si>
  <si>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</si>
  <si>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</si>
  <si>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</si>
  <si>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</si>
  <si>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</si>
  <si>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</si>
  <si>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</si>
  <si>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</si>
  <si>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</si>
  <si>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</si>
  <si>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</si>
  <si>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</si>
  <si>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</si>
  <si>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</si>
  <si>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</si>
  <si>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</si>
  <si>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</si>
  <si>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</si>
  <si>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</si>
  <si>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</si>
  <si>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</si>
  <si>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</si>
  <si>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</si>
  <si>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</si>
  <si>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</si>
  <si>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</si>
  <si>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</si>
  <si>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</si>
  <si>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</si>
  <si>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</si>
  <si>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</si>
  <si>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</si>
  <si>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</si>
  <si>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</si>
  <si>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</si>
  <si>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</si>
  <si>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</si>
  <si>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</si>
  <si>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</si>
  <si>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</si>
  <si>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</si>
  <si>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</si>
  <si>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</si>
  <si>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</si>
  <si>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</si>
  <si>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</si>
  <si>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</si>
  <si>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</si>
  <si>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</si>
  <si>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</si>
  <si>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</si>
  <si>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</si>
  <si>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</si>
  <si>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</si>
  <si>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</si>
  <si>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</si>
  <si>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</si>
  <si>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</si>
  <si>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</si>
  <si>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</si>
  <si>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</si>
  <si>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</si>
  <si>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</si>
  <si>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</si>
  <si>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</si>
  <si>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</si>
  <si>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</si>
  <si>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</si>
  <si>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</si>
  <si>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</si>
  <si>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</si>
  <si>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</si>
  <si>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</si>
  <si>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</si>
  <si>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</si>
  <si>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</si>
  <si>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</si>
  <si>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</si>
  <si>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</si>
  <si>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</si>
  <si>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</si>
  <si>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</si>
  <si>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</si>
  <si>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</si>
  <si>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</si>
  <si>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</si>
  <si>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</si>
  <si>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</si>
  <si>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</si>
  <si>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</si>
  <si>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</si>
  <si>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</si>
  <si>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</si>
  <si>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</si>
  <si>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</si>
  <si>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</si>
  <si>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</si>
  <si>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</si>
  <si>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</si>
  <si>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</si>
  <si>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</si>
  <si>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</si>
  <si>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</si>
  <si>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</si>
  <si>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</si>
  <si>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</si>
  <si>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</si>
  <si>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</si>
  <si>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</si>
  <si>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</si>
  <si>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</si>
  <si>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</si>
  <si>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</si>
  <si>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</si>
  <si>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</si>
  <si>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</si>
  <si>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</si>
  <si>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</si>
  <si>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</si>
  <si>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</si>
  <si>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</si>
  <si>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</si>
  <si>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</si>
  <si>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</si>
  <si>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</si>
  <si>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</si>
  <si>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</si>
  <si>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</si>
  <si>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</si>
  <si>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</si>
  <si>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</si>
  <si>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</si>
  <si>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</si>
  <si>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</si>
  <si>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</si>
  <si>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</si>
  <si>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</si>
  <si>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</si>
  <si>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</si>
  <si>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</si>
  <si>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</si>
  <si>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</si>
  <si>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</si>
  <si>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</si>
  <si>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</si>
  <si>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</si>
  <si>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</si>
  <si>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</si>
  <si>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</si>
  <si>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</si>
  <si>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</si>
  <si>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</si>
  <si>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</si>
  <si>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</si>
  <si>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</si>
  <si>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</si>
  <si>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</si>
  <si>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</si>
  <si>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</si>
  <si>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</si>
  <si>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</si>
  <si>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</si>
  <si>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</si>
  <si>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</si>
  <si>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</si>
  <si>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</si>
  <si>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</si>
  <si>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</si>
  <si>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</si>
  <si>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</si>
  <si>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</si>
  <si>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</si>
  <si>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</si>
  <si>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</si>
  <si>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</si>
  <si>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</si>
  <si>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</si>
  <si>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</si>
  <si>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</si>
  <si>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</si>
  <si>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</si>
  <si>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</si>
  <si>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</si>
  <si>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</si>
  <si>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</si>
  <si>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</si>
  <si>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</si>
  <si>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</si>
  <si>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</si>
  <si>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</si>
  <si>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</si>
  <si>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</si>
  <si>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</si>
  <si>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</si>
  <si>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</si>
  <si>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</si>
  <si>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</si>
  <si>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</si>
  <si>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</si>
  <si>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</si>
  <si>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</si>
  <si>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</si>
  <si>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</si>
  <si>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</si>
  <si>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</si>
  <si>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</si>
  <si>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</si>
  <si>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</si>
  <si>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</si>
  <si>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</si>
  <si>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</si>
  <si>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</si>
  <si>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</si>
  <si>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</si>
  <si>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</si>
  <si>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</si>
  <si>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</si>
  <si>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</si>
  <si>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</si>
  <si>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</si>
  <si>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</si>
  <si>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</si>
  <si>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</si>
  <si>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</si>
  <si>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</si>
  <si>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</si>
  <si>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</si>
  <si>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</si>
  <si>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</si>
  <si>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</si>
  <si>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</si>
  <si>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</si>
  <si>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</si>
  <si>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</si>
  <si>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</si>
  <si>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</si>
  <si>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</si>
  <si>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</si>
  <si>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</si>
  <si>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</si>
  <si>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</si>
  <si>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</si>
  <si>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</si>
  <si>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</si>
  <si>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</si>
  <si>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</si>
  <si>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TREU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</si>
  <si>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</si>
  <si>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</si>
  <si>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</si>
  <si>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</si>
  <si>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</si>
  <si>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</si>
  <si>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</si>
  <si>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</si>
  <si>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</si>
  <si>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</si>
  <si>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</si>
  <si>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</si>
  <si>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</si>
  <si>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</si>
  <si>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</si>
  <si>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</si>
  <si>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</si>
  <si>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</si>
  <si>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</si>
  <si>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</si>
  <si>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</si>
  <si>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</si>
  <si>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</si>
  <si>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hazr-t-dis-ext-vnet</t>
    <phoneticPr fontId="1" type="noConversion"/>
  </si>
  <si>
    <t>hazr-t-dis-int-vnet</t>
  </si>
  <si>
    <t>hazr-t-dis-int-vnet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</si>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</sst>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17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2" totalsRowShown="0" headerRowDxfId="33" dataDxfId="32">
  <autoFilter ref="B1:AF62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2"/>
  <sheetViews>
    <sheetView zoomScaleNormal="100" zoomScaleSheetLayoutView="100" workbookViewId="0">
      <pane xSplit="6" ySplit="1" topLeftCell="G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58" sqref="F58:F6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575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575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s">
        <v>565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576</v>
      </c>
      <c r="C58" s="107" t="str" cm="1">
        <f t="array" ref="C58">UPPER(INDEX(_xlfn.TEXTSPLIT($D58, "-"), 3))</f>
        <v>DIS</v>
      </c>
      <c r="D58" s="114" t="s">
        <v>577</v>
      </c>
      <c r="E58" s="107" t="s">
        <v>24</v>
      </c>
      <c r="F58" s="107" t="s">
        <v>578</v>
      </c>
      <c r="G58" s="107" t="s">
        <v>583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584</v>
      </c>
      <c r="O58" s="114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14"/>
      <c r="S58" s="107"/>
      <c r="T58" s="114"/>
      <c r="U58" s="114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589</v>
      </c>
      <c r="Z58" s="107" t="s">
        <v>592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576</v>
      </c>
      <c r="C59" s="107" t="str" cm="1">
        <f t="array" ref="C59">UPPER(INDEX(_xlfn.TEXTSPLIT($D59, "-"), 3))</f>
        <v>DIS</v>
      </c>
      <c r="D59" s="115" t="s">
        <v>577</v>
      </c>
      <c r="E59" s="113" t="s">
        <v>24</v>
      </c>
      <c r="F59" s="113" t="s">
        <v>579</v>
      </c>
      <c r="G59" s="113" t="s">
        <v>585</v>
      </c>
      <c r="H59" s="116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584</v>
      </c>
      <c r="O59" s="115" t="str">
        <f t="shared" si="8"/>
        <v>t-dis-clvap01-osdisk</v>
      </c>
      <c r="P59" s="107">
        <v>64</v>
      </c>
      <c r="Q59" s="107" t="s">
        <v>181</v>
      </c>
      <c r="R59" s="115"/>
      <c r="S59" s="113"/>
      <c r="T59" s="115"/>
      <c r="U59" s="115" t="str">
        <f t="shared" si="9"/>
        <v>t-dis-clvap01-nic</v>
      </c>
      <c r="V59" s="107" t="s">
        <v>565</v>
      </c>
      <c r="W59" s="107" t="b">
        <v>1</v>
      </c>
      <c r="X59" s="107" t="s">
        <v>198</v>
      </c>
      <c r="Y59" s="113" t="s">
        <v>591</v>
      </c>
      <c r="Z59" s="113" t="s">
        <v>593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576</v>
      </c>
      <c r="C60" s="107" t="str" cm="1">
        <f t="array" ref="C60">UPPER(INDEX(_xlfn.TEXTSPLIT($D60, "-"), 3))</f>
        <v>DIS</v>
      </c>
      <c r="D60" s="114" t="s">
        <v>577</v>
      </c>
      <c r="E60" s="113" t="s">
        <v>24</v>
      </c>
      <c r="F60" s="113" t="s">
        <v>580</v>
      </c>
      <c r="G60" s="113" t="s">
        <v>586</v>
      </c>
      <c r="H60" s="116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584</v>
      </c>
      <c r="O60" s="115" t="str">
        <f t="shared" si="8"/>
        <v>t-dis-clvssrap01-osdisk</v>
      </c>
      <c r="P60" s="107">
        <v>64</v>
      </c>
      <c r="Q60" s="107" t="s">
        <v>181</v>
      </c>
      <c r="R60" s="115"/>
      <c r="S60" s="113"/>
      <c r="T60" s="115"/>
      <c r="U60" s="115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591</v>
      </c>
      <c r="Z60" s="113" t="s">
        <v>593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576</v>
      </c>
      <c r="C61" s="107" t="str" cm="1">
        <f t="array" ref="C61">UPPER(INDEX(_xlfn.TEXTSPLIT($D61, "-"), 3))</f>
        <v>DIS</v>
      </c>
      <c r="D61" s="115" t="s">
        <v>577</v>
      </c>
      <c r="E61" s="113" t="s">
        <v>24</v>
      </c>
      <c r="F61" s="113" t="s">
        <v>581</v>
      </c>
      <c r="G61" s="113" t="s">
        <v>587</v>
      </c>
      <c r="H61" s="116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584</v>
      </c>
      <c r="O61" s="115" t="str">
        <f t="shared" si="8"/>
        <v>t-dis-clvadmweb01-osdisk</v>
      </c>
      <c r="P61" s="107">
        <v>64</v>
      </c>
      <c r="Q61" s="107" t="s">
        <v>181</v>
      </c>
      <c r="R61" s="115"/>
      <c r="S61" s="113"/>
      <c r="T61" s="115"/>
      <c r="U61" s="115" t="str">
        <f t="shared" si="9"/>
        <v>t-dis-clvadmweb01-nic</v>
      </c>
      <c r="V61" s="107" t="s">
        <v>565</v>
      </c>
      <c r="W61" s="107" t="b">
        <v>1</v>
      </c>
      <c r="X61" s="107" t="s">
        <v>198</v>
      </c>
      <c r="Y61" s="113" t="s">
        <v>590</v>
      </c>
      <c r="Z61" s="113" t="s">
        <v>593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576</v>
      </c>
      <c r="C62" s="107" t="str" cm="1">
        <f t="array" ref="C62">UPPER(INDEX(_xlfn.TEXTSPLIT($D62, "-"), 3))</f>
        <v>DIS</v>
      </c>
      <c r="D62" s="114" t="s">
        <v>577</v>
      </c>
      <c r="E62" s="113" t="s">
        <v>24</v>
      </c>
      <c r="F62" s="113" t="s">
        <v>582</v>
      </c>
      <c r="G62" s="113" t="s">
        <v>588</v>
      </c>
      <c r="H62" s="116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584</v>
      </c>
      <c r="O62" s="115" t="str">
        <f t="shared" si="8"/>
        <v>t-dis-clvadmap01-osdisk</v>
      </c>
      <c r="P62" s="107">
        <v>64</v>
      </c>
      <c r="Q62" s="107" t="s">
        <v>181</v>
      </c>
      <c r="R62" s="115"/>
      <c r="S62" s="113"/>
      <c r="T62" s="115"/>
      <c r="U62" s="115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590</v>
      </c>
      <c r="Z62" s="113" t="s">
        <v>593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2"/>
  <sheetViews>
    <sheetView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A62" sqref="A62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2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2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594</v>
      </c>
      <c r="G58" s="74" t="str">
        <f t="shared" si="4"/>
        <v>t-dis-clvweb01-disk01</v>
      </c>
      <c r="H58" s="74" t="s">
        <v>181</v>
      </c>
      <c r="I58" s="74">
        <v>64</v>
      </c>
      <c r="J58" s="74" t="str">
        <f t="shared" si="5"/>
        <v>t-dis-clvweb01-disk02</v>
      </c>
      <c r="K58" s="74" t="s">
        <v>181</v>
      </c>
      <c r="L58" s="74">
        <v>64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595</v>
      </c>
      <c r="G59" s="73" t="str">
        <f t="shared" si="4"/>
        <v>t-dis-clvap01-disk01</v>
      </c>
      <c r="H59" s="73" t="s">
        <v>181</v>
      </c>
      <c r="I59" s="73">
        <v>64</v>
      </c>
      <c r="J59" s="73" t="str">
        <f t="shared" si="5"/>
        <v>t-dis-clvap01-disk02</v>
      </c>
      <c r="K59" s="73" t="s">
        <v>181</v>
      </c>
      <c r="L59" s="73">
        <v>64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596</v>
      </c>
      <c r="G60" s="74" t="str">
        <f t="shared" si="4"/>
        <v>t-dis-clvssrap01-disk01</v>
      </c>
      <c r="H60" s="74" t="s">
        <v>181</v>
      </c>
      <c r="I60" s="74">
        <v>64</v>
      </c>
      <c r="J60" s="74" t="str">
        <f t="shared" si="5"/>
        <v>t-dis-clvssrap01-disk02</v>
      </c>
      <c r="K60" s="74" t="s">
        <v>181</v>
      </c>
      <c r="L60" s="74">
        <v>64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597</v>
      </c>
      <c r="G61" s="73" t="str">
        <f t="shared" si="4"/>
        <v>t-dis-clvadmweb01-disk01</v>
      </c>
      <c r="H61" s="73" t="s">
        <v>181</v>
      </c>
      <c r="I61" s="73">
        <v>64</v>
      </c>
      <c r="J61" s="73" t="str">
        <f t="shared" si="5"/>
        <v>t-dis-clvadmweb01-disk02</v>
      </c>
      <c r="K61" s="73" t="s">
        <v>181</v>
      </c>
      <c r="L61" s="73">
        <v>64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598</v>
      </c>
      <c r="G62" s="74" t="str">
        <f t="shared" si="4"/>
        <v>t-dis-clvadmap01-disk01</v>
      </c>
      <c r="H62" s="74" t="s">
        <v>181</v>
      </c>
      <c r="I62" s="74">
        <v>64</v>
      </c>
      <c r="J62" s="74" t="str">
        <f t="shared" si="5"/>
        <v>t-dis-clvadmap01-disk02</v>
      </c>
      <c r="K62" s="74" t="s">
        <v>181</v>
      </c>
      <c r="L62" s="74">
        <v>64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0"/>
  <sheetViews>
    <sheetView topLeftCell="A61" workbookViewId="0">
      <selection activeCell="G79" sqref="G7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566</v>
      </c>
    </row>
    <row r="75" spans="1:13" x14ac:dyDescent="0.3"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566</v>
      </c>
    </row>
    <row r="76" spans="1:13" x14ac:dyDescent="0.3"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594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595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117" t="s">
        <v>288</v>
      </c>
      <c r="I78" s="82" t="s">
        <v>596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597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117" t="s">
        <v>288</v>
      </c>
      <c r="I80" s="82" t="s">
        <v>598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</sheetData>
  <phoneticPr fontId="1" type="noConversion"/>
  <conditionalFormatting sqref="E1:E71 E8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5"/>
  <sheetViews>
    <sheetView topLeftCell="A16" workbookViewId="0">
      <selection activeCell="F41" sqref="F41:F45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567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568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570</v>
      </c>
      <c r="Q39" s="85" t="str">
        <f t="shared" si="3"/>
        <v>t-bdp-rlgcweb-lb-bp</v>
      </c>
    </row>
    <row r="40" spans="1:17" x14ac:dyDescent="0.3">
      <c r="A40" s="97"/>
      <c r="B40" s="74" t="s">
        <v>567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569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45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571</v>
      </c>
      <c r="Q40" s="87" t="str">
        <f t="shared" ref="Q40:Q45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599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600</v>
      </c>
      <c r="Q41" s="85" t="str">
        <f t="shared" si="5"/>
        <v>t-dis-clvweb-lb-bp</v>
      </c>
    </row>
    <row r="42" spans="1:17" x14ac:dyDescent="0.3"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601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602</v>
      </c>
      <c r="Q42" s="87" t="str">
        <f t="shared" si="5"/>
        <v>t-dis-clvap-lb-bp</v>
      </c>
    </row>
    <row r="43" spans="1:17" x14ac:dyDescent="0.3"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603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604</v>
      </c>
      <c r="Q43" s="85" t="str">
        <f t="shared" si="5"/>
        <v>t-dis-clvssrap-lb-bp</v>
      </c>
    </row>
    <row r="44" spans="1:17" x14ac:dyDescent="0.3">
      <c r="B44" s="74" t="s">
        <v>182</v>
      </c>
      <c r="C44" s="74" t="str" cm="1">
        <f t="array" ref="C44">UPPER(INDEX(_xlfn.TEXTSPLIT($F44, "-"), 3))</f>
        <v>DIS</v>
      </c>
      <c r="D44" s="74" t="s">
        <v>286</v>
      </c>
      <c r="E44" s="74" t="s">
        <v>24</v>
      </c>
      <c r="F44" s="74" t="s">
        <v>605</v>
      </c>
      <c r="G44" s="74" t="s">
        <v>111</v>
      </c>
      <c r="H44" s="74" t="s">
        <v>538</v>
      </c>
      <c r="I44" s="74" t="s">
        <v>537</v>
      </c>
      <c r="J44" s="74" t="s">
        <v>102</v>
      </c>
      <c r="K44" s="74" t="str">
        <f t="shared" si="4"/>
        <v>t-dis-clvadmweb-lb-fe</v>
      </c>
      <c r="L44" s="74" t="s">
        <v>198</v>
      </c>
      <c r="M44" s="74" t="s">
        <v>200</v>
      </c>
      <c r="N44" s="74" t="s">
        <v>288</v>
      </c>
      <c r="O44" s="74" t="s">
        <v>108</v>
      </c>
      <c r="P44" s="74" t="s">
        <v>606</v>
      </c>
      <c r="Q44" s="87" t="str">
        <f t="shared" si="5"/>
        <v>t-dis-clvadmweb-lb-bp</v>
      </c>
    </row>
    <row r="45" spans="1:17" x14ac:dyDescent="0.3"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607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200</v>
      </c>
      <c r="N45" s="84" t="s">
        <v>288</v>
      </c>
      <c r="O45" s="84" t="s">
        <v>108</v>
      </c>
      <c r="P45" s="84" t="s">
        <v>608</v>
      </c>
      <c r="Q45" s="85" t="str">
        <f t="shared" si="5"/>
        <v>t-dis-clvadmap-lb-bp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64"/>
  <sheetViews>
    <sheetView topLeftCell="A43" workbookViewId="0">
      <selection activeCell="E60" sqref="E60:E64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64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3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A58" s="118"/>
      <c r="B58" s="84" t="s">
        <v>567</v>
      </c>
      <c r="C58" s="84" t="str" cm="1">
        <f t="array" ref="C58">UPPER(INDEX(_xlfn.TEXTSPLIT($D58, "-"), 3))</f>
        <v>BDP</v>
      </c>
      <c r="D58" s="84" t="s">
        <v>572</v>
      </c>
      <c r="E58" s="84" t="s">
        <v>568</v>
      </c>
      <c r="F58" s="84"/>
      <c r="G58" s="84" t="s">
        <v>573</v>
      </c>
      <c r="H58" s="84"/>
      <c r="I58" s="84"/>
      <c r="J58" s="84">
        <v>5</v>
      </c>
      <c r="K58" s="84">
        <v>2</v>
      </c>
    </row>
    <row r="59" spans="1:11" x14ac:dyDescent="0.3">
      <c r="A59" s="118"/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569</v>
      </c>
      <c r="F59" s="74"/>
      <c r="G59" s="74" t="s">
        <v>57</v>
      </c>
      <c r="H59" s="74"/>
      <c r="I59" s="74"/>
      <c r="J59" s="74">
        <v>5</v>
      </c>
      <c r="K59" s="74">
        <v>2</v>
      </c>
    </row>
    <row r="60" spans="1:11" x14ac:dyDescent="0.3">
      <c r="B60" s="84" t="s">
        <v>182</v>
      </c>
      <c r="C60" s="84" t="str" cm="1">
        <f t="array" ref="C60">UPPER(INDEX(_xlfn.TEXTSPLIT($D60, "-"), 3))</f>
        <v>DIS</v>
      </c>
      <c r="D60" s="84" t="s">
        <v>286</v>
      </c>
      <c r="E60" s="84" t="s">
        <v>599</v>
      </c>
      <c r="F60" s="84" t="str">
        <f t="shared" si="5"/>
        <v>t-dis-clvweb-lb-pb443</v>
      </c>
      <c r="G60" s="84" t="s">
        <v>609</v>
      </c>
      <c r="H60" s="84">
        <v>443</v>
      </c>
      <c r="I60" s="84"/>
      <c r="J60" s="84">
        <v>5</v>
      </c>
      <c r="K60" s="8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DIS</v>
      </c>
      <c r="D61" s="74" t="s">
        <v>286</v>
      </c>
      <c r="E61" s="74" t="s">
        <v>601</v>
      </c>
      <c r="F61" s="74" t="str">
        <f t="shared" si="6"/>
        <v>t-dis-clvap-lb-pb8080</v>
      </c>
      <c r="G61" s="74" t="s">
        <v>609</v>
      </c>
      <c r="H61" s="74">
        <v>8080</v>
      </c>
      <c r="I61" s="74"/>
      <c r="J61" s="74">
        <v>5</v>
      </c>
      <c r="K61" s="74">
        <v>2</v>
      </c>
    </row>
    <row r="62" spans="1:11" x14ac:dyDescent="0.3">
      <c r="B62" s="84" t="s">
        <v>182</v>
      </c>
      <c r="C62" s="84" t="str" cm="1">
        <f t="array" ref="C62">UPPER(INDEX(_xlfn.TEXTSPLIT($D62, "-"), 3))</f>
        <v>DIS</v>
      </c>
      <c r="D62" s="84" t="s">
        <v>286</v>
      </c>
      <c r="E62" s="84" t="s">
        <v>603</v>
      </c>
      <c r="F62" s="84" t="str">
        <f t="shared" si="5"/>
        <v>t-dis-clvssrap-lb-pb8080</v>
      </c>
      <c r="G62" s="84" t="s">
        <v>609</v>
      </c>
      <c r="H62" s="84">
        <v>8080</v>
      </c>
      <c r="I62" s="84"/>
      <c r="J62" s="84">
        <v>5</v>
      </c>
      <c r="K62" s="8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DIS</v>
      </c>
      <c r="D63" s="74" t="s">
        <v>286</v>
      </c>
      <c r="E63" s="74" t="s">
        <v>605</v>
      </c>
      <c r="F63" s="74" t="str">
        <f t="shared" si="6"/>
        <v>t-dis-clvadmweb-lb-pb443</v>
      </c>
      <c r="G63" s="74" t="s">
        <v>609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4" t="s">
        <v>182</v>
      </c>
      <c r="C64" s="84" t="str" cm="1">
        <f t="array" ref="C64">UPPER(INDEX(_xlfn.TEXTSPLIT($D64, "-"), 3))</f>
        <v>DIS</v>
      </c>
      <c r="D64" s="84" t="s">
        <v>286</v>
      </c>
      <c r="E64" s="84" t="s">
        <v>607</v>
      </c>
      <c r="F64" s="84" t="str">
        <f t="shared" si="5"/>
        <v>t-dis-clvadmap-lb-pb8080</v>
      </c>
      <c r="G64" s="84" t="s">
        <v>609</v>
      </c>
      <c r="H64" s="84">
        <v>8080</v>
      </c>
      <c r="I64" s="84"/>
      <c r="J64" s="84">
        <v>5</v>
      </c>
      <c r="K64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64"/>
  <sheetViews>
    <sheetView tabSelected="1" topLeftCell="A46" workbookViewId="0">
      <selection activeCell="I55" sqref="I5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64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567</v>
      </c>
      <c r="B58" s="84" t="str" cm="1">
        <f t="array" ref="B58">UPPER(INDEX(_xlfn.TEXTSPLIT($C58, "-"), 3))</f>
        <v>BDP</v>
      </c>
      <c r="C58" s="84" t="s">
        <v>572</v>
      </c>
      <c r="D58" s="84" t="s">
        <v>568</v>
      </c>
      <c r="E58" s="84" t="str">
        <f t="shared" si="24"/>
        <v>t-bdp-rlgcweb-lb-rule</v>
      </c>
      <c r="F58" s="84" t="str">
        <f t="shared" si="25"/>
        <v>t-bdp-rlgcweb-lb-fe</v>
      </c>
      <c r="G58" s="84" t="s">
        <v>573</v>
      </c>
      <c r="H58" s="84"/>
      <c r="I58" s="84" t="b">
        <v>0</v>
      </c>
      <c r="J58" s="84" t="str">
        <f t="shared" si="26"/>
        <v>t-bdp-rlgcweb-lb-bp</v>
      </c>
      <c r="K58" s="84"/>
      <c r="L58" s="84" t="str">
        <f t="shared" si="27"/>
        <v>t-bdp-rlgcweb-lb-pb</v>
      </c>
      <c r="M58" s="84" t="s">
        <v>573</v>
      </c>
      <c r="N58" s="84"/>
      <c r="O58" s="84">
        <v>4</v>
      </c>
      <c r="P58" s="84" t="s">
        <v>574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569</v>
      </c>
      <c r="E59" s="74" t="str">
        <f t="shared" ref="E59:E63" si="28">SUBSTITUTE(D59, "hazr-", "")&amp;"-rule"&amp;N59</f>
        <v>t-bdp-rlgcap-lb-rule</v>
      </c>
      <c r="F59" s="74" t="str">
        <f t="shared" ref="F59:F60" si="29">SUBSTITUTE(D59, "hazr-", "")&amp;"-fe"</f>
        <v>t-bdp-rlgcap-lb-fe</v>
      </c>
      <c r="G59" s="74" t="s">
        <v>57</v>
      </c>
      <c r="H59" s="74"/>
      <c r="I59" s="74" t="b">
        <v>0</v>
      </c>
      <c r="J59" s="74" t="str">
        <f t="shared" ref="J59:J60" si="30">SUBSTITUTE(D59, "hazr-", "")&amp;"-bp"</f>
        <v>t-bdp-rlgcap-lb-bp</v>
      </c>
      <c r="K59" s="74"/>
      <c r="L59" s="74" t="str">
        <f t="shared" ref="L59:L60" si="31">SUBSTITUTE(D59, "hazr-", "")&amp;"-pb"&amp;IF(N59="", "", N59)</f>
        <v>t-bdp-rlgcap-lb-pb</v>
      </c>
      <c r="M59" s="74" t="s">
        <v>57</v>
      </c>
      <c r="N59" s="74"/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DIS</v>
      </c>
      <c r="C60" s="84" t="s">
        <v>286</v>
      </c>
      <c r="D60" s="84" t="s">
        <v>599</v>
      </c>
      <c r="E60" s="84" t="str">
        <f t="shared" si="24"/>
        <v>t-dis-clvweb-lb-rule443</v>
      </c>
      <c r="F60" s="84" t="str">
        <f t="shared" si="29"/>
        <v>t-dis-clvweb-lb-fe</v>
      </c>
      <c r="G60" s="84" t="s">
        <v>57</v>
      </c>
      <c r="H60" s="84">
        <v>443</v>
      </c>
      <c r="I60" s="84" t="b">
        <v>0</v>
      </c>
      <c r="J60" s="84" t="str">
        <f t="shared" si="30"/>
        <v>t-dis-clvweb-lb-bp</v>
      </c>
      <c r="K60" s="84">
        <v>443</v>
      </c>
      <c r="L60" s="84" t="str">
        <f t="shared" si="31"/>
        <v>t-dis-clvweb-lb-pb443</v>
      </c>
      <c r="M60" s="84" t="s">
        <v>57</v>
      </c>
      <c r="N60" s="84">
        <v>443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DIS</v>
      </c>
      <c r="C61" s="74" t="s">
        <v>286</v>
      </c>
      <c r="D61" s="74" t="s">
        <v>601</v>
      </c>
      <c r="E61" s="74" t="str">
        <f t="shared" si="28"/>
        <v>t-dis-clvap-lb-rule8080</v>
      </c>
      <c r="F61" s="74" t="str">
        <f t="shared" ref="F61:F64" si="32">SUBSTITUTE(D61, "hazr-", "")&amp;"-fe"</f>
        <v>t-dis-clvap-lb-fe</v>
      </c>
      <c r="G61" s="74" t="s">
        <v>57</v>
      </c>
      <c r="H61" s="74">
        <v>8080</v>
      </c>
      <c r="I61" s="74" t="b">
        <v>0</v>
      </c>
      <c r="J61" s="74" t="str">
        <f t="shared" ref="J61:J64" si="33">SUBSTITUTE(D61, "hazr-", "")&amp;"-bp"</f>
        <v>t-dis-clvap-lb-bp</v>
      </c>
      <c r="K61" s="74">
        <v>8080</v>
      </c>
      <c r="L61" s="74" t="str">
        <f t="shared" ref="L61:L64" si="34">SUBSTITUTE(D61, "hazr-", "")&amp;"-pb"&amp;IF(N61="", "", N61)</f>
        <v>t-dis-clvap-lb-pb8080</v>
      </c>
      <c r="M61" s="74" t="s">
        <v>57</v>
      </c>
      <c r="N61" s="74">
        <v>8080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DIS</v>
      </c>
      <c r="C62" s="84" t="s">
        <v>286</v>
      </c>
      <c r="D62" s="84" t="s">
        <v>603</v>
      </c>
      <c r="E62" s="84" t="str">
        <f t="shared" si="24"/>
        <v>t-dis-clvssrap-lb-rule8080</v>
      </c>
      <c r="F62" s="84" t="str">
        <f t="shared" si="32"/>
        <v>t-dis-clvssrap-lb-fe</v>
      </c>
      <c r="G62" s="84" t="s">
        <v>57</v>
      </c>
      <c r="H62" s="84">
        <v>8080</v>
      </c>
      <c r="I62" s="84" t="b">
        <v>0</v>
      </c>
      <c r="J62" s="84" t="str">
        <f t="shared" si="33"/>
        <v>t-dis-clvssrap-lb-bp</v>
      </c>
      <c r="K62" s="84">
        <v>8080</v>
      </c>
      <c r="L62" s="84" t="str">
        <f t="shared" si="34"/>
        <v>t-dis-clvssrap-lb-pb8080</v>
      </c>
      <c r="M62" s="84" t="s">
        <v>57</v>
      </c>
      <c r="N62" s="84">
        <v>8080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DIS</v>
      </c>
      <c r="C63" s="74" t="s">
        <v>286</v>
      </c>
      <c r="D63" s="74" t="s">
        <v>605</v>
      </c>
      <c r="E63" s="74" t="str">
        <f t="shared" si="28"/>
        <v>t-dis-clvadmweb-lb-rule443</v>
      </c>
      <c r="F63" s="74" t="str">
        <f t="shared" si="32"/>
        <v>t-dis-clvadmweb-lb-fe</v>
      </c>
      <c r="G63" s="74" t="s">
        <v>57</v>
      </c>
      <c r="H63" s="74">
        <v>443</v>
      </c>
      <c r="I63" s="74" t="b">
        <v>0</v>
      </c>
      <c r="J63" s="74" t="str">
        <f t="shared" si="33"/>
        <v>t-dis-clvadmweb-lb-bp</v>
      </c>
      <c r="K63" s="74">
        <v>443</v>
      </c>
      <c r="L63" s="74" t="str">
        <f t="shared" si="34"/>
        <v>t-dis-clvadmweb-lb-pb443</v>
      </c>
      <c r="M63" s="74" t="s">
        <v>57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84" t="s">
        <v>182</v>
      </c>
      <c r="B64" s="84" t="str" cm="1">
        <f t="array" ref="B64">UPPER(INDEX(_xlfn.TEXTSPLIT($C64, "-"), 3))</f>
        <v>DIS</v>
      </c>
      <c r="C64" s="84" t="s">
        <v>286</v>
      </c>
      <c r="D64" s="84" t="s">
        <v>607</v>
      </c>
      <c r="E64" s="84" t="str">
        <f t="shared" si="24"/>
        <v>t-dis-clvadmap-lb-rule8080</v>
      </c>
      <c r="F64" s="84" t="str">
        <f t="shared" si="32"/>
        <v>t-dis-clvadmap-lb-fe</v>
      </c>
      <c r="G64" s="84" t="s">
        <v>57</v>
      </c>
      <c r="H64" s="84">
        <v>8080</v>
      </c>
      <c r="I64" s="84" t="b">
        <v>0</v>
      </c>
      <c r="J64" s="84" t="str">
        <f t="shared" si="33"/>
        <v>t-dis-clvadmap-lb-bp</v>
      </c>
      <c r="K64" s="84">
        <v>8080</v>
      </c>
      <c r="L64" s="84" t="str">
        <f t="shared" si="34"/>
        <v>t-dis-clvadmap-lb-pb8080</v>
      </c>
      <c r="M64" s="84" t="s">
        <v>57</v>
      </c>
      <c r="N64" s="84">
        <v>8080</v>
      </c>
      <c r="O64" s="84">
        <v>4</v>
      </c>
      <c r="P64" s="84" t="s">
        <v>123</v>
      </c>
      <c r="Q64" s="84" t="b">
        <v>1</v>
      </c>
      <c r="R64" s="8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2026-09-11T06:27:20Z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