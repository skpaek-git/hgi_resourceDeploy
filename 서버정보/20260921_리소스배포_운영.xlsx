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1D2E847-B6E7-41E3-AFC3-CDEDBCE56F8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8" i="11" l="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E176" i="2"/>
  <c r="C176" i="2" s="1" a="1"/>
  <c r="C176" i="2" s="1"/>
  <c r="E177" i="2"/>
  <c r="C177" i="2" s="1" a="1"/>
  <c r="C177" i="2" s="1"/>
  <c r="E178" i="2"/>
  <c r="C178" i="2" s="1" a="1"/>
  <c r="C178" i="2" s="1"/>
  <c r="E179" i="2"/>
  <c r="C179" i="2" s="1" a="1"/>
  <c r="C179" i="2" s="1"/>
  <c r="K176" i="2"/>
  <c r="K177" i="2"/>
  <c r="K178" i="2"/>
  <c r="K179" i="2"/>
  <c r="G167" i="14"/>
  <c r="J167" i="14"/>
  <c r="G168" i="14"/>
  <c r="J168" i="14"/>
  <c r="G169" i="14"/>
  <c r="J169" i="14"/>
  <c r="G170" i="14"/>
  <c r="J170" i="14"/>
  <c r="C167" i="14" a="1"/>
  <c r="C167" i="14"/>
  <c r="C168" i="14" a="1"/>
  <c r="C168" i="14" s="1"/>
  <c r="C169" i="14" a="1"/>
  <c r="C169" i="14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0" i="2" a="1"/>
  <c r="C170" i="2" s="1"/>
  <c r="C175" i="2" a="1"/>
  <c r="C175" i="2" s="1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<sst xmlns="http://schemas.openxmlformats.org/spreadsheetml/2006/main" count="8181" uniqueCount="1171">
  <si>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</si>
  <si>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</si>
  <si>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</si>
  <si>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</si>
  <si>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</si>
  <si>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</si>
  <si>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</si>
  <si>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</si>
  <si>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</si>
  <si>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</si>
  <si>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</si>
  <si>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</si>
  <si>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</si>
  <si>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</si>
  <si>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</si>
  <si>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</si>
  <si>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</si>
  <si>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</si>
  <si>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</si>
  <si>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</si>
  <si>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</si>
  <si>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</si>
  <si>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</si>
  <si>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</si>
  <si>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</si>
  <si>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</si>
  <si>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</si>
  <si>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</si>
  <si>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</si>
  <si>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</si>
  <si>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</si>
  <si>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</si>
  <si>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</si>
  <si>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</si>
  <si>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</si>
  <si>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</si>
  <si>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</si>
  <si>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</si>
  <si>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</si>
  <si>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</si>
  <si>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</si>
  <si>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</si>
  <si>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</si>
  <si>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</si>
  <si>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</si>
  <si>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</si>
  <si>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</si>
  <si>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</si>
  <si>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</si>
  <si>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</si>
  <si>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</si>
  <si>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</si>
  <si>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</si>
  <si>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</si>
  <si>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</si>
  <si>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</si>
  <si>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</si>
  <si>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</si>
  <si>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</si>
  <si>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</si>
  <si>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</si>
  <si>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</si>
  <si>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</si>
  <si>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</si>
  <si>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</si>
  <si>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</si>
  <si>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</si>
  <si>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</si>
  <si>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</si>
  <si>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</si>
  <si>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</si>
  <si>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</si>
  <si>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</si>
  <si>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</si>
  <si>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</si>
  <si>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</si>
  <si>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</si>
  <si>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</si>
  <si>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</si>
  <si>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</si>
  <si>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</si>
  <si>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</si>
  <si>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</si>
  <si>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</si>
  <si>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</si>
  <si>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</si>
  <si>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</si>
  <si>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</si>
  <si>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</si>
  <si>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</si>
  <si>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</si>
  <si>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</si>
  <si>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</si>
  <si>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</si>
  <si>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</si>
  <si>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</si>
  <si>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</si>
  <si>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</si>
  <si>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</si>
  <si>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</si>
  <si>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</si>
  <si>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</si>
  <si>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</si>
  <si>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</si>
  <si>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</si>
  <si>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</si>
  <si>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</si>
  <si>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</si>
  <si>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</si>
  <si>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</si>
  <si>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</si>
  <si>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</si>
  <si>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</si>
  <si>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</si>
  <si>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</si>
  <si>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</si>
  <si>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</si>
  <si>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</si>
  <si>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</si>
  <si>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</si>
  <si>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</si>
  <si>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</si>
  <si>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</si>
  <si>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</si>
  <si>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</si>
  <si>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</si>
  <si>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</si>
  <si>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</si>
  <si>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</si>
  <si>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</si>
  <si>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</si>
  <si>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</si>
  <si>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</si>
  <si>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</si>
  <si>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</si>
  <si>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</si>
  <si>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</si>
  <si>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</si>
  <si>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</si>
  <si>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</si>
  <si>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</si>
  <si>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</si>
  <si>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</si>
  <si>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</si>
  <si>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</si>
  <si>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</si>
  <si>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</si>
  <si>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</si>
  <si>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</si>
  <si>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</si>
  <si>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</si>
  <si>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</si>
  <si>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</si>
  <si>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</si>
  <si>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</si>
  <si>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</si>
  <si>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</si>
  <si>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</si>
  <si>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</si>
  <si>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</si>
  <si>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</si>
  <si>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</si>
  <si>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</si>
  <si>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</si>
  <si>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</si>
  <si>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</si>
  <si>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</si>
  <si>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</si>
  <si>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</si>
  <si>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</si>
  <si>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</si>
  <si>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</si>
  <si>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</si>
  <si>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</si>
  <si>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</si>
  <si>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</si>
  <si>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</si>
  <si>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</si>
  <si>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</si>
  <si>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</si>
  <si>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</si>
  <si>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</si>
  <si>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</si>
  <si>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</si>
  <si>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</si>
  <si>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</si>
  <si>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</si>
  <si>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</si>
  <si>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</si>
  <si>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</si>
  <si>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</si>
  <si>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</si>
  <si>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</si>
  <si>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</si>
  <si>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</si>
  <si>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</si>
  <si>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</si>
  <si>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</si>
  <si>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</si>
  <si>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</si>
  <si>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</si>
  <si>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</si>
  <si>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</si>
  <si>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</si>
  <si>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</si>
  <si>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</si>
  <si>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</si>
  <si>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</si>
  <si>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</si>
  <si>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</si>
  <si>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</si>
  <si>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</si>
  <si>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</si>
  <si>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</si>
  <si>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</si>
  <si>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</si>
  <si>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</si>
  <si>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</si>
  <si>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</si>
  <si>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</si>
  <si>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</si>
  <si>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</si>
  <si>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</si>
  <si>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</si>
  <si>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</si>
  <si>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</si>
  <si>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</si>
  <si>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</si>
  <si>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</si>
  <si>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</si>
  <si>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</si>
  <si>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</si>
  <si>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</si>
  <si>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</si>
  <si>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</si>
  <si>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</si>
  <si>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</si>
  <si>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</si>
  <si>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</si>
  <si>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</si>
  <si>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</si>
  <si>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</si>
  <si>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</si>
  <si>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</si>
  <si>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</si>
  <si>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</si>
  <si>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</si>
  <si>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</si>
  <si>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</si>
  <si>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</si>
  <si>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</si>
  <si>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</si>
  <si>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</si>
  <si>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</si>
  <si>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</si>
  <si>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</si>
  <si>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</si>
  <si>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</si>
  <si>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</si>
  <si>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</si>
  <si>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</si>
  <si>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</si>
  <si>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</si>
  <si>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</si>
  <si>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</si>
  <si>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</si>
  <si>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</si>
  <si>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</si>
  <si>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</si>
  <si>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</si>
  <si>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</si>
  <si>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</si>
  <si>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</si>
  <si>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</si>
  <si>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</si>
  <si>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</si>
  <si>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</si>
  <si>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</si>
  <si>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</si>
  <si>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</si>
  <si>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</si>
  <si>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</si>
  <si>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</si>
  <si>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</si>
  <si>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</si>
  <si>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</si>
  <si>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</si>
  <si>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</si>
  <si>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</si>
  <si>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</si>
  <si>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</si>
  <si>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</si>
  <si>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</si>
  <si>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</si>
  <si>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</si>
  <si>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</si>
  <si>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</si>
  <si>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</si>
  <si>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</si>
  <si>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</si>
  <si>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</si>
  <si>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</si>
  <si>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</si>
  <si>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</si>
  <si>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</si>
  <si>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</si>
  <si>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</si>
  <si>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</si>
  <si>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</si>
  <si>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</si>
  <si>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</si>
  <si>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</si>
  <si>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</si>
  <si>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</si>
  <si>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</si>
  <si>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</si>
  <si>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</si>
  <si>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</si>
  <si>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</si>
  <si>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</si>
  <si>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</si>
  <si>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</si>
  <si>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</si>
  <si>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</si>
  <si>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</si>
  <si>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</si>
  <si>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</si>
  <si>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</si>
  <si>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</si>
  <si>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</si>
  <si>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</si>
  <si>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</si>
  <si>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</si>
  <si>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</si>
  <si>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</si>
  <si>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</si>
  <si>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</si>
  <si>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</si>
  <si>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</si>
  <si>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</si>
  <si>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</si>
  <si>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</si>
  <si>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</si>
  <si>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</si>
  <si>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</si>
  <si>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</si>
  <si>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</si>
  <si>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</si>
  <si>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</si>
  <si>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</si>
  <si>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</si>
  <si>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</si>
  <si>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</si>
  <si>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</si>
  <si>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</si>
  <si>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</si>
  <si>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</si>
  <si>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</si>
  <si>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</si>
  <si>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</si>
  <si>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</si>
  <si>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</si>
  <si>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</si>
  <si>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</si>
  <si>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</si>
  <si>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</si>
  <si>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</si>
  <si>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</si>
  <si>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</si>
  <si>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</si>
  <si>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</si>
  <si>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</si>
  <si>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</si>
  <si>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</si>
  <si>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</si>
  <si>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</si>
  <si>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</si>
  <si>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</si>
  <si>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</si>
  <si>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</si>
  <si>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</si>
  <si>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</si>
  <si>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</si>
  <si>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</si>
  <si>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</si>
  <si>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</si>
  <si>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</si>
  <si>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</si>
  <si>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</si>
  <si>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</si>
  <si>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</si>
  <si>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</si>
  <si>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</si>
  <si>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</si>
  <si>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</si>
  <si>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</si>
  <si>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</si>
  <si>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</si>
  <si>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</si>
  <si>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</si>
  <si>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</si>
  <si>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</si>
  <si>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</si>
  <si>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</si>
  <si>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</si>
  <si>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</si>
  <si>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</si>
  <si>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</si>
  <si>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</si>
  <si>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</si>
  <si>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</si>
  <si>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</si>
  <si>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</si>
  <si>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</si>
  <si>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</si>
  <si>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</si>
  <si>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</si>
  <si>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</si>
  <si>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</si>
  <si>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</si>
  <si>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</si>
  <si>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</si>
  <si>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</si>
  <si>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</si>
  <si>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</si>
  <si>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</si>
  <si>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</si>
  <si>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</si>
  <si>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</si>
  <si>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</si>
  <si>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</si>
  <si>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</si>
  <si>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</si>
  <si>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</si>
  <si>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</si>
  <si>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</si>
  <si>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</si>
  <si>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</si>
  <si>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</si>
  <si>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</si>
  <si>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</si>
  <si>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</si>
  <si>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</si>
  <si>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</si>
  <si>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</si>
  <si>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</si>
  <si>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</si>
  <si>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</si>
  <si>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</si>
  <si>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</si>
  <si>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</si>
  <si>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</si>
  <si>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</si>
  <si>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</si>
  <si>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</si>
  <si>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</si>
  <si>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</si>
  <si>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</si>
  <si>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</si>
  <si>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</si>
  <si>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</si>
  <si>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</si>
  <si>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</si>
  <si>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</si>
  <si>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</si>
  <si>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</si>
  <si>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</si>
  <si>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</si>
  <si>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</si>
  <si>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</si>
  <si>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</si>
  <si>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</si>
  <si>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</si>
  <si>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</si>
  <si>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</si>
  <si>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</si>
  <si>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</si>
  <si>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</si>
  <si>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</si>
  <si>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</si>
  <si>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</si>
  <si>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</si>
  <si>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</si>
  <si>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</si>
  <si>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</si>
  <si>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</si>
  <si>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</si>
  <si>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</si>
  <si>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</si>
  <si>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</si>
  <si>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</si>
  <si>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</si>
  <si>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</si>
  <si>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</si>
  <si>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</si>
  <si>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</si>
  <si>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</si>
  <si>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</si>
  <si>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</si>
  <si>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</si>
  <si>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</si>
  <si>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</si>
  <si>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</si>
  <si>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</si>
  <si>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</si>
  <si>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</si>
  <si>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</si>
  <si>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</si>
  <si>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</si>
  <si>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</si>
  <si>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</si>
  <si>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</si>
  <si>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</si>
  <si>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</si>
  <si>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</si>
  <si>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</si>
  <si>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</si>
  <si>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</si>
  <si>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</si>
  <si>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</si>
  <si>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</si>
  <si>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</si>
  <si>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</si>
  <si>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</si>
  <si>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</si>
  <si>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</si>
  <si>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</si>
  <si>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</si>
  <si>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</si>
  <si>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</si>
  <si>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</si>
  <si>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</si>
  <si>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</si>
  <si>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</si>
  <si>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</si>
  <si>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</si>
  <si>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</si>
  <si>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</si>
  <si>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</si>
  <si>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</si>
  <si>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</si>
  <si>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</si>
  <si>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</si>
  <si>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</si>
  <si>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</si>
  <si>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</si>
  <si>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</si>
  <si>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</si>
  <si>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</si>
  <si>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</si>
  <si>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</si>
  <si>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</si>
  <si>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</si>
  <si>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</si>
  <si>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</si>
  <si>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</si>
  <si>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</si>
  <si>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</si>
  <si>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</si>
  <si>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</si>
  <si>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</si>
  <si>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</si>
  <si>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</si>
  <si>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</si>
  <si>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</si>
  <si>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</si>
  <si>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</si>
  <si>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</si>
  <si>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</si>
  <si>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</si>
  <si>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</si>
  <si>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</si>
  <si>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</si>
  <si>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</si>
  <si>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</si>
  <si>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</si>
  <si>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</si>
  <si>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</si>
  <si>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</si>
  <si>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</si>
  <si>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</si>
  <si>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</si>
  <si>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</si>
  <si>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</si>
  <si>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</si>
  <si>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</si>
  <si>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</si>
  <si>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</si>
  <si>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</si>
  <si>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</si>
  <si>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</si>
  <si>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</si>
  <si>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</si>
  <si>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</si>
  <si>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</si>
  <si>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</si>
  <si>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</si>
  <si>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</si>
  <si>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</si>
  <si>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</si>
  <si>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</si>
  <si>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</si>
  <si>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</si>
  <si>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</si>
  <si>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</si>
  <si>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</si>
  <si>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</si>
  <si>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</si>
  <si>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</si>
  <si>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</si>
  <si>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</si>
  <si>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</si>
  <si>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</si>
  <si>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</si>
  <si>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</si>
  <si>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</si>
  <si>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</si>
  <si>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</si>
  <si>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</si>
  <si>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</si>
  <si>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</si>
  <si>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</si>
  <si>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</si>
  <si>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</si>
  <si>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</si>
  <si>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</si>
  <si>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</si>
  <si>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</si>
  <si>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</si>
  <si>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</si>
  <si>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</si>
  <si>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</si>
  <si>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</si>
  <si>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</si>
  <si>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</si>
  <si>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</si>
  <si>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</si>
  <si>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</si>
  <si>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</si>
  <si>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</si>
  <si>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</si>
  <si>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</si>
  <si>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</si>
  <si>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</si>
  <si>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</si>
  <si>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</si>
  <si>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</si>
  <si>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</si>
  <si>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</si>
  <si>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</si>
  <si>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</si>
  <si>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</si>
  <si>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</si>
  <si>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</si>
  <si>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</si>
  <si>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</si>
  <si>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</si>
  <si>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</si>
  <si>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</si>
  <si>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</si>
  <si>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</si>
  <si>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</si>
  <si>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</si>
  <si>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</si>
  <si>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</si>
  <si>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</si>
  <si>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</si>
  <si>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</si>
  <si>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</si>
  <si>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</si>
  <si>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</si>
  <si>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</si>
  <si>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</si>
  <si>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</si>
  <si>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</si>
  <si>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</si>
  <si>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</si>
  <si>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</si>
  <si>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</si>
  <si>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</si>
  <si>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</si>
  <si>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</si>
  <si>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</si>
  <si>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</si>
  <si>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</si>
  <si>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</si>
  <si>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</si>
  <si>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</si>
  <si>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</si>
  <si>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</si>
  <si>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</si>
  <si>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</si>
  <si>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</si>
  <si>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</si>
  <si>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</si>
  <si>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</si>
  <si>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</si>
  <si>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</si>
  <si>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</si>
  <si>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</si>
  <si>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</si>
  <si>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</si>
  <si>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</si>
  <si>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</si>
  <si>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</si>
  <si>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</si>
  <si>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</si>
  <si>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</si>
  <si>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</si>
  <si>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</si>
  <si>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</si>
  <si>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</si>
  <si>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</si>
  <si>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</si>
  <si>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</si>
  <si>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</si>
  <si>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</si>
  <si>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</si>
  <si>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</si>
  <si>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</si>
  <si>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</si>
  <si>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</si>
  <si>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</si>
  <si>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</si>
  <si>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</si>
  <si>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</si>
  <si>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</si>
  <si>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</si>
  <si>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</si>
  <si>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</si>
  <si>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</si>
  <si>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</si>
  <si>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</si>
  <si>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</si>
  <si>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</si>
  <si>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</si>
  <si>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</si>
  <si>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</si>
  <si>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</si>
  <si>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</si>
  <si>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</si>
  <si>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</si>
  <si>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</si>
  <si>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</si>
  <si>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</si>
  <si>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</si>
  <si>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</si>
  <si>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</si>
  <si>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</si>
  <si>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</si>
  <si>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</si>
  <si>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</si>
  <si>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</si>
  <si>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</si>
  <si>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</si>
  <si>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</si>
  <si>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</si>
  <si>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</si>
  <si>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</si>
  <si>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</si>
  <si>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</si>
  <si>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</si>
  <si>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</si>
  <si>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</si>
  <si>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</si>
  <si>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</si>
  <si>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</si>
  <si>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</si>
  <si>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</si>
  <si>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</si>
  <si>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</si>
  <si>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</si>
  <si>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</si>
  <si>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</si>
  <si>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</si>
  <si>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</si>
  <si>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</si>
  <si>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</si>
  <si>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</si>
  <si>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</si>
  <si>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</si>
  <si>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</si>
  <si>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</si>
  <si>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</si>
  <si>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</si>
  <si>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</si>
  <si>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</si>
  <si>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</si>
  <si>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</si>
  <si>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</si>
  <si>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</si>
  <si>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</si>
  <si>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</si>
  <si>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</si>
  <si>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</si>
  <si>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</si>
  <si>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</si>
  <si>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</si>
  <si>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</si>
  <si>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</si>
  <si>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</si>
  <si>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</si>
  <si>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</si>
  <si>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</si>
  <si>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</si>
  <si>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</si>
  <si>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</si>
  <si>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</si>
  <si>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</si>
  <si>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</si>
  <si>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</si>
  <si>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</si>
  <si>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</si>
  <si>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</si>
  <si>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</si>
  <si>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</si>
  <si>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</si>
  <si>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</si>
  <si>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</si>
  <si>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</si>
  <si>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</si>
  <si>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</si>
  <si>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</si>
  <si>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</si>
  <si>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</si>
  <si>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</si>
  <si>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</si>
  <si>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</si>
  <si>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</si>
  <si>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</si>
  <si>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</si>
  <si>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</si>
  <si>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</si>
  <si>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</si>
  <si>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</si>
  <si>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</si>
  <si>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</si>
  <si>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</si>
  <si>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</si>
  <si>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</si>
  <si>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</si>
  <si>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</si>
  <si>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</si>
  <si>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</si>
  <si>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</si>
  <si>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</si>
  <si>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</si>
  <si>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</si>
  <si>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</si>
  <si>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</si>
  <si>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</si>
  <si>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</si>
  <si>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</si>
  <si>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</si>
  <si>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</si>
  <si>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</si>
  <si>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</si>
  <si>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</si>
  <si>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</si>
  <si>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</si>
  <si>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</si>
  <si>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</si>
  <si>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</si>
  <si>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</si>
  <si>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</si>
  <si>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</si>
  <si>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</si>
  <si>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</si>
  <si>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</si>
  <si>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</si>
  <si>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</si>
  <si>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</si>
  <si>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</si>
  <si>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</si>
  <si>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</si>
  <si>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</si>
  <si>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</si>
  <si>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</si>
  <si>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</si>
  <si>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</si>
  <si>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</si>
  <si>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</si>
  <si>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</si>
  <si>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</si>
  <si>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</si>
  <si>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</si>
  <si>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</si>
  <si>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</si>
  <si>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</si>
  <si>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</si>
  <si>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</si>
  <si>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</si>
  <si>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</si>
  <si>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</si>
  <si>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</si>
  <si>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</si>
  <si>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</si>
  <si>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</si>
  <si>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</si>
  <si>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</si>
  <si>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</si>
  <si>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</si>
  <si>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</si>
  <si>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</si>
  <si>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</si>
  <si>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</si>
  <si>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</si>
  <si>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</si>
  <si>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</si>
  <si>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</si>
  <si>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</si>
  <si>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</si>
  <si>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</si>
  <si>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</si>
  <si>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</si>
  <si>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</si>
  <si>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</si>
  <si>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</si>
  <si>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</si>
  <si>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</si>
  <si>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</si>
  <si>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</si>
  <si>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</si>
  <si>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</si>
  <si>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</si>
  <si>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</si>
  <si>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</si>
  <si>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</si>
  <si>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</si>
  <si>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</si>
  <si>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</si>
  <si>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</si>
  <si>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</si>
  <si>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</si>
  <si>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</si>
  <si>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</si>
  <si>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</si>
  <si>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</si>
  <si>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</si>
  <si>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</si>
  <si>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</si>
  <si>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</si>
  <si>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</si>
  <si>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</si>
  <si>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</si>
  <si>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</si>
  <si>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</si>
  <si>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</si>
  <si>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</si>
  <si>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</si>
  <si>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</si>
  <si>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</si>
  <si>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</si>
  <si>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</si>
  <si>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</si>
  <si>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</si>
  <si>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</si>
  <si>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</si>
  <si>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</si>
  <si>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</si>
  <si>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</si>
  <si>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</si>
  <si>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</si>
  <si>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</si>
  <si>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</si>
  <si>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</si>
  <si>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</si>
  <si>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</si>
  <si>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</si>
  <si>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</si>
  <si>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</si>
  <si>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</si>
  <si>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</si>
  <si>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</si>
  <si>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</si>
  <si>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</si>
  <si>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</si>
  <si>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</si>
  <si>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</si>
  <si>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</si>
  <si>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</si>
  <si>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</si>
  <si>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</si>
  <si>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</si>
  <si>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</si>
  <si>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</si>
  <si>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</si>
  <si>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</si>
  <si>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</si>
  <si>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</si>
  <si>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</si>
  <si>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</si>
  <si>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</si>
  <si>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</si>
  <si>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</si>
  <si>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</si>
  <si>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</si>
  <si>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</si>
  <si>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</si>
  <si>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</si>
  <si>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</si>
  <si>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</si>
  <si>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</si>
  <si>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</si>
  <si>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</si>
  <si>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</si>
  <si>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</si>
  <si>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</si>
  <si>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</si>
  <si>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</si>
  <si>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</si>
  <si>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</si>
  <si>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</si>
  <si>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</si>
  <si>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</si>
  <si>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</si>
  <si>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</si>
  <si>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</si>
  <si>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</si>
  <si>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</si>
  <si>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</si>
  <si>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</si>
  <si>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</si>
  <si>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</si>
  <si>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</si>
  <si>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</si>
  <si>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</si>
  <si>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</si>
  <si>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</si>
  <si>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</si>
  <si>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</si>
  <si>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</si>
  <si>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</si>
  <si>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</si>
  <si>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</si>
  <si>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</si>
  <si>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</si>
  <si>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</si>
  <si>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</si>
  <si>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</si>
  <si>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</si>
  <si>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</si>
  <si>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</si>
  <si>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</si>
  <si>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</si>
  <si>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</si>
  <si>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</si>
  <si>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</si>
  <si>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</si>
  <si>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</si>
  <si>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</si>
  <si>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</si>
  <si>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</si>
  <si>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</si>
  <si>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</si>
  <si>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</si>
  <si>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</si>
  <si>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</si>
  <si>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</si>
  <si>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</si>
  <si>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</si>
  <si>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</si>
  <si>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</si>
  <si>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</si>
  <si>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</si>
  <si>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</si>
  <si>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</si>
  <si>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</si>
  <si>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</si>
  <si>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</si>
  <si>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</si>
  <si>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</si>
  <si>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</si>
  <si>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</si>
  <si>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</si>
  <si>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</si>
  <si>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</si>
  <si>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</si>
  <si>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</si>
  <si>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</si>
  <si>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</si>
  <si>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</si>
  <si>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</si>
  <si>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</si>
  <si>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</si>
  <si>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</si>
  <si>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</si>
  <si>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</si>
  <si>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</si>
  <si>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</si>
  <si>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</si>
  <si>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</si>
  <si>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</si>
  <si>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</si>
  <si>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</si>
  <si>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</si>
  <si>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</si>
  <si>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</si>
  <si>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</si>
  <si>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</si>
  <si>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</si>
  <si>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</si>
  <si>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</si>
  <si>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</si>
  <si>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</si>
  <si>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</si>
  <si>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</si>
  <si>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</si>
  <si>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</si>
  <si>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</si>
  <si>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</si>
  <si>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</si>
  <si>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</si>
  <si>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</si>
  <si>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</si>
  <si>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</si>
  <si>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hazr-p-dis-rg</t>
    <phoneticPr fontId="1" type="noConversion"/>
  </si>
  <si>
    <t>hazr-p-dis-clvweb01</t>
    <phoneticPr fontId="1" type="noConversion"/>
  </si>
  <si>
    <t>hazr-p-dis-clvweb02</t>
  </si>
  <si>
    <t>hazr-p-dis-clvap01</t>
    <phoneticPr fontId="1" type="noConversion"/>
  </si>
  <si>
    <t>hazr-p-dis-clvap02</t>
    <phoneticPr fontId="1" type="noConversion"/>
  </si>
  <si>
    <t>hazr-p-dis-clvssrap01</t>
    <phoneticPr fontId="1" type="noConversion"/>
  </si>
  <si>
    <t>hazr-p-dis-clvssrap02</t>
  </si>
  <si>
    <t>hazr-p-dis-clvadmweb01</t>
    <phoneticPr fontId="1" type="noConversion"/>
  </si>
  <si>
    <t>hazr-p-dis-clvadmap01</t>
    <phoneticPr fontId="1" type="noConversion"/>
  </si>
  <si>
    <t>hazr-p-dis-clvadmweb02</t>
  </si>
  <si>
    <t>hazr-p-dis-clvadmap02</t>
  </si>
  <si>
    <t>hazr-p-dis-clvweb-lb</t>
    <phoneticPr fontId="1" type="noConversion"/>
  </si>
  <si>
    <t>hazr-p-dis-clvap-lb</t>
    <phoneticPr fontId="1" type="noConversion"/>
  </si>
  <si>
    <t>hazr-p-dis-clvssrap-lb</t>
    <phoneticPr fontId="1" type="noConversion"/>
  </si>
  <si>
    <t>hazr-p-dis-clvadmweb-lb</t>
    <phoneticPr fontId="1" type="noConversion"/>
  </si>
  <si>
    <t>hazr-p-dis-clvadmap-lb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</si>
  <si>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</si>
  <si>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</si>
  <si>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</si>
  <si>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p-dis-web-sbn</t>
    <phoneticPr fontId="1" type="noConversion"/>
  </si>
  <si>
    <t>p-dis-ap-sbn</t>
    <phoneticPr fontId="1" type="noConversion"/>
  </si>
  <si>
    <t>10.158.128.20</t>
    <phoneticPr fontId="1" type="noConversion"/>
  </si>
  <si>
    <t>10.158.144.50</t>
    <phoneticPr fontId="1" type="noConversion"/>
  </si>
  <si>
    <t>10.158.144.70</t>
    <phoneticPr fontId="1" type="noConversion"/>
  </si>
  <si>
    <t>10.158.144.130</t>
    <phoneticPr fontId="1" type="noConversion"/>
  </si>
  <si>
    <t>10.158.144.140</t>
    <phoneticPr fontId="1" type="noConversion"/>
  </si>
  <si>
    <t>1,2,3</t>
  </si>
  <si>
    <t>10.158.128.21</t>
    <phoneticPr fontId="1" type="noConversion"/>
  </si>
  <si>
    <t>10.158.128.22</t>
    <phoneticPr fontId="1" type="noConversion"/>
  </si>
  <si>
    <t>10.158.144.51</t>
    <phoneticPr fontId="1" type="noConversion"/>
  </si>
  <si>
    <t>10.158.144.52</t>
    <phoneticPr fontId="1" type="noConversion"/>
  </si>
  <si>
    <t>10.158.144.71</t>
    <phoneticPr fontId="1" type="noConversion"/>
  </si>
  <si>
    <t>10.158.144.72</t>
    <phoneticPr fontId="1" type="noConversion"/>
  </si>
  <si>
    <t>10.158.144.131</t>
    <phoneticPr fontId="1" type="noConversion"/>
  </si>
  <si>
    <t>10.158.144.132</t>
    <phoneticPr fontId="1" type="noConversion"/>
  </si>
  <si>
    <t>10.158.144.141</t>
    <phoneticPr fontId="1" type="noConversion"/>
  </si>
  <si>
    <t>10.158.144.142</t>
    <phoneticPr fontId="1" type="noConversion"/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</si>
  <si>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</si>
  <si>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</si>
  <si>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</si>
  <si>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</si>
  <si>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hazr-p-dis-rg</t>
    <phoneticPr fontId="1" type="noConversion"/>
  </si>
  <si>
    <t>hazr-p-dis-gaoweb01</t>
    <phoneticPr fontId="1" type="noConversion"/>
  </si>
  <si>
    <t>hazr-p-dis-gaoweb02</t>
    <phoneticPr fontId="1" type="noConversion"/>
  </si>
  <si>
    <t>hazr-p-dis-gaoap01</t>
    <phoneticPr fontId="1" type="noConversion"/>
  </si>
  <si>
    <t>hazr-p-dis-gaoap02</t>
    <phoneticPr fontId="1" type="noConversion"/>
  </si>
  <si>
    <t>10.158.128.51</t>
    <phoneticPr fontId="1" type="noConversion"/>
  </si>
  <si>
    <t>10.158.144.151</t>
    <phoneticPr fontId="1" type="noConversion"/>
  </si>
  <si>
    <t>10.158.144.152</t>
    <phoneticPr fontId="1" type="noConversion"/>
  </si>
  <si>
    <t>D2s_v5</t>
    <phoneticPr fontId="1" type="noConversion"/>
  </si>
  <si>
    <t>10.158.128.52</t>
    <phoneticPr fontId="1" type="noConversion"/>
  </si>
  <si>
    <t>hazr-p-dis-gaoweb-lb</t>
    <phoneticPr fontId="1" type="noConversion"/>
  </si>
  <si>
    <t>hazr-p-dis-gaopap-lb</t>
    <phoneticPr fontId="1" type="noConversion"/>
  </si>
  <si>
    <t>10.158.144.150</t>
    <phoneticPr fontId="1" type="noConversion"/>
  </si>
  <si>
    <t>10.158.128.50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</si>
</sst>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1" totalsRowShown="0" headerRowDxfId="32" dataDxfId="31">
  <autoFilter ref="B1:AF16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1"/>
  <sheetViews>
    <sheetView zoomScaleNormal="100" zoomScaleSheetLayoutView="100" workbookViewId="0">
      <pane xSplit="6" ySplit="1" topLeftCell="G138" activePane="bottomRight" state="frozen"/>
      <selection activeCell="B148" sqref="B148"/>
      <selection pane="topRight" activeCell="B148" sqref="B148"/>
      <selection pane="bottomLeft" activeCell="B148" sqref="B148"/>
      <selection pane="bottomRight" activeCell="F158" sqref="F158:F161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992</v>
      </c>
      <c r="N132" s="118" t="s">
        <v>1050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992</v>
      </c>
      <c r="N133" s="118" t="s">
        <v>1050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992</v>
      </c>
      <c r="N134" s="118" t="s">
        <v>1050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992</v>
      </c>
      <c r="N135" s="118" t="s">
        <v>1050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1081</v>
      </c>
      <c r="N140" s="118" t="s">
        <v>1082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1081</v>
      </c>
      <c r="N141" s="118" t="s">
        <v>1082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1081</v>
      </c>
      <c r="N142" s="119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1081</v>
      </c>
      <c r="N143" s="116" t="s">
        <v>1082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1081</v>
      </c>
      <c r="N144" s="116" t="s">
        <v>1082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1091</v>
      </c>
      <c r="N145" s="116" t="s">
        <v>1105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1106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1101</v>
      </c>
      <c r="N146" s="121" t="s">
        <v>1102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1106</v>
      </c>
      <c r="Z146" s="95" t="s">
        <v>1108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1101</v>
      </c>
      <c r="N147" s="121" t="s">
        <v>1102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1106</v>
      </c>
      <c r="Z147" s="95" t="s">
        <v>1108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B148" s="95" t="s">
        <v>23</v>
      </c>
      <c r="C148" s="74" t="str" cm="1">
        <f t="array" ref="C148">UPPER(INDEX(_xlfn.TEXTSPLIT($F148, "-"), 3))</f>
        <v>DIS</v>
      </c>
      <c r="D148" s="74" t="s">
        <v>1116</v>
      </c>
      <c r="E148" s="74" t="s">
        <v>24</v>
      </c>
      <c r="F148" s="82" t="s">
        <v>1117</v>
      </c>
      <c r="G148" s="74" t="s">
        <v>1143</v>
      </c>
      <c r="H148" s="74" t="s">
        <v>1153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992</v>
      </c>
      <c r="N148" s="121" t="s">
        <v>1102</v>
      </c>
      <c r="O148" s="117" t="str">
        <f t="shared" ref="O148:O157" si="18">SUBSTITUTE(F148,"hazr-","")&amp;"-osdisk"</f>
        <v>p-dis-clvweb01-osdisk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p-dis-clvweb01-nic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346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B149" s="95" t="s">
        <v>23</v>
      </c>
      <c r="C149" s="74" t="str" cm="1">
        <f t="array" ref="C149">UPPER(INDEX(_xlfn.TEXTSPLIT($F149, "-"), 3))</f>
        <v>DIS</v>
      </c>
      <c r="D149" s="74" t="s">
        <v>1116</v>
      </c>
      <c r="E149" s="74" t="s">
        <v>24</v>
      </c>
      <c r="F149" s="74" t="s">
        <v>1118</v>
      </c>
      <c r="G149" s="74" t="s">
        <v>1144</v>
      </c>
      <c r="H149" s="74" t="s">
        <v>1153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992</v>
      </c>
      <c r="N149" s="121" t="s">
        <v>1102</v>
      </c>
      <c r="O149" s="117" t="str">
        <f t="shared" si="18"/>
        <v>p-dis-clvweb02-osdisk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p-dis-clvweb02-nic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346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B150" s="95" t="s">
        <v>23</v>
      </c>
      <c r="C150" s="74" t="str" cm="1">
        <f t="array" ref="C150">UPPER(INDEX(_xlfn.TEXTSPLIT($F150, "-"), 3))</f>
        <v>DIS</v>
      </c>
      <c r="D150" s="74" t="s">
        <v>1116</v>
      </c>
      <c r="E150" s="74" t="s">
        <v>24</v>
      </c>
      <c r="F150" s="82" t="s">
        <v>1119</v>
      </c>
      <c r="G150" s="74" t="s">
        <v>1145</v>
      </c>
      <c r="H150" s="74" t="s">
        <v>1154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992</v>
      </c>
      <c r="N150" s="121" t="s">
        <v>1102</v>
      </c>
      <c r="O150" s="117" t="str">
        <f t="shared" si="18"/>
        <v>p-dis-clvap01-osdisk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p-dis-clvap01-nic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340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B151" s="95" t="s">
        <v>23</v>
      </c>
      <c r="C151" s="74" t="str" cm="1">
        <f t="array" ref="C151">UPPER(INDEX(_xlfn.TEXTSPLIT($F151, "-"), 3))</f>
        <v>DIS</v>
      </c>
      <c r="D151" s="74" t="s">
        <v>1116</v>
      </c>
      <c r="E151" s="74" t="s">
        <v>24</v>
      </c>
      <c r="F151" s="74" t="s">
        <v>1120</v>
      </c>
      <c r="G151" s="74" t="s">
        <v>1146</v>
      </c>
      <c r="H151" s="74" t="s">
        <v>1154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992</v>
      </c>
      <c r="N151" s="121" t="s">
        <v>1102</v>
      </c>
      <c r="O151" s="117" t="str">
        <f t="shared" si="18"/>
        <v>p-dis-clvap02-osdisk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p-dis-clvap02-nic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340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B152" s="95" t="s">
        <v>23</v>
      </c>
      <c r="C152" s="74" t="str" cm="1">
        <f t="array" ref="C152">UPPER(INDEX(_xlfn.TEXTSPLIT($F152, "-"), 3))</f>
        <v>DIS</v>
      </c>
      <c r="D152" s="74" t="s">
        <v>1116</v>
      </c>
      <c r="E152" s="74" t="s">
        <v>24</v>
      </c>
      <c r="F152" s="82" t="s">
        <v>1121</v>
      </c>
      <c r="G152" s="74" t="s">
        <v>1147</v>
      </c>
      <c r="H152" s="74" t="s">
        <v>1154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992</v>
      </c>
      <c r="N152" s="121" t="s">
        <v>1102</v>
      </c>
      <c r="O152" s="117" t="str">
        <f t="shared" si="18"/>
        <v>p-dis-clvssrap01-osdisk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p-dis-clvssrap01-nic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340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B153" s="95" t="s">
        <v>23</v>
      </c>
      <c r="C153" s="74" t="str" cm="1">
        <f t="array" ref="C153">UPPER(INDEX(_xlfn.TEXTSPLIT($F153, "-"), 3))</f>
        <v>DIS</v>
      </c>
      <c r="D153" s="74" t="s">
        <v>1116</v>
      </c>
      <c r="E153" s="74" t="s">
        <v>24</v>
      </c>
      <c r="F153" s="74" t="s">
        <v>1122</v>
      </c>
      <c r="G153" s="74" t="s">
        <v>1148</v>
      </c>
      <c r="H153" s="74" t="s">
        <v>1154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992</v>
      </c>
      <c r="N153" s="121" t="s">
        <v>1102</v>
      </c>
      <c r="O153" s="117" t="str">
        <f t="shared" si="18"/>
        <v>p-dis-clvssrap02-osdisk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p-dis-clvssrap02-nic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340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B154" s="95" t="s">
        <v>23</v>
      </c>
      <c r="C154" s="74" t="str" cm="1">
        <f t="array" ref="C154">UPPER(INDEX(_xlfn.TEXTSPLIT($F154, "-"), 3))</f>
        <v>DIS</v>
      </c>
      <c r="D154" s="74" t="s">
        <v>1116</v>
      </c>
      <c r="E154" s="74" t="s">
        <v>24</v>
      </c>
      <c r="F154" s="82" t="s">
        <v>1123</v>
      </c>
      <c r="G154" s="74" t="s">
        <v>1149</v>
      </c>
      <c r="H154" s="74" t="s">
        <v>1155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992</v>
      </c>
      <c r="N154" s="121" t="s">
        <v>1102</v>
      </c>
      <c r="O154" s="117" t="str">
        <f t="shared" si="18"/>
        <v>p-dis-clvadmweb01-osdisk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p-dis-clvadmweb01-nic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340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B155" s="95" t="s">
        <v>23</v>
      </c>
      <c r="C155" s="74" t="str" cm="1">
        <f t="array" ref="C155">UPPER(INDEX(_xlfn.TEXTSPLIT($F155, "-"), 3))</f>
        <v>DIS</v>
      </c>
      <c r="D155" s="74" t="s">
        <v>1116</v>
      </c>
      <c r="E155" s="74" t="s">
        <v>24</v>
      </c>
      <c r="F155" s="74" t="s">
        <v>1125</v>
      </c>
      <c r="G155" s="74" t="s">
        <v>1150</v>
      </c>
      <c r="H155" s="74" t="s">
        <v>1155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992</v>
      </c>
      <c r="N155" s="121" t="s">
        <v>1102</v>
      </c>
      <c r="O155" s="117" t="str">
        <f t="shared" si="18"/>
        <v>p-dis-clvadmweb02-osdisk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p-dis-clvadmweb02-nic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340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B156" s="95" t="s">
        <v>23</v>
      </c>
      <c r="C156" s="74" t="str" cm="1">
        <f t="array" ref="C156">UPPER(INDEX(_xlfn.TEXTSPLIT($F156, "-"), 3))</f>
        <v>DIS</v>
      </c>
      <c r="D156" s="74" t="s">
        <v>1116</v>
      </c>
      <c r="E156" s="74" t="s">
        <v>24</v>
      </c>
      <c r="F156" s="82" t="s">
        <v>1124</v>
      </c>
      <c r="G156" s="74" t="s">
        <v>1151</v>
      </c>
      <c r="H156" s="74" t="s">
        <v>1154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992</v>
      </c>
      <c r="N156" s="121" t="s">
        <v>1102</v>
      </c>
      <c r="O156" s="117" t="str">
        <f t="shared" si="18"/>
        <v>p-dis-clvadmap01-osdisk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p-dis-clvadmap01-nic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340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B157" s="95" t="s">
        <v>23</v>
      </c>
      <c r="C157" s="95" t="str" cm="1">
        <f t="array" ref="C157">UPPER(INDEX(_xlfn.TEXTSPLIT($F157, "-"), 3))</f>
        <v>DIS</v>
      </c>
      <c r="D157" s="74" t="s">
        <v>1116</v>
      </c>
      <c r="E157" s="74" t="s">
        <v>24</v>
      </c>
      <c r="F157" s="95" t="s">
        <v>1126</v>
      </c>
      <c r="G157" s="95" t="s">
        <v>1152</v>
      </c>
      <c r="H157" s="95" t="s">
        <v>1154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992</v>
      </c>
      <c r="N157" s="121" t="s">
        <v>1102</v>
      </c>
      <c r="O157" s="120" t="str">
        <f t="shared" si="18"/>
        <v>p-dis-clvadmap02-osdisk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p-dis-clvadmap02-nic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340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B158" s="95" t="s">
        <v>23</v>
      </c>
      <c r="C158" s="74" t="str" cm="1">
        <f t="array" ref="C158">UPPER(INDEX(_xlfn.TEXTSPLIT($F158, "-"), 3))</f>
        <v>DIS</v>
      </c>
      <c r="D158" s="74" t="s">
        <v>922</v>
      </c>
      <c r="E158" s="74" t="s">
        <v>24</v>
      </c>
      <c r="F158" s="74" t="s">
        <v>1158</v>
      </c>
      <c r="G158" s="74" t="s">
        <v>1162</v>
      </c>
      <c r="H158" s="74" t="s">
        <v>1165</v>
      </c>
      <c r="I158" s="74">
        <v>2</v>
      </c>
      <c r="J158" s="74">
        <v>8</v>
      </c>
      <c r="K158" s="95" t="s">
        <v>180</v>
      </c>
      <c r="L158" s="111" t="s">
        <v>224</v>
      </c>
      <c r="M158" s="95" t="s">
        <v>992</v>
      </c>
      <c r="N158" s="121" t="s">
        <v>1102</v>
      </c>
      <c r="O158" s="117" t="str">
        <f t="shared" ref="O158:O159" si="20">SUBSTITUTE(F158,"hazr-","")&amp;"-osdisk"</f>
        <v>p-dis-gaoweb01-osdisk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p-dis-gaoweb01-nic</v>
      </c>
      <c r="V158" s="95" t="b">
        <v>1</v>
      </c>
      <c r="W158" s="95" t="b">
        <v>1</v>
      </c>
      <c r="X158" s="95" t="s">
        <v>317</v>
      </c>
      <c r="Y158" s="95" t="s">
        <v>345</v>
      </c>
      <c r="Z158" s="95" t="s">
        <v>346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B159" s="95" t="s">
        <v>23</v>
      </c>
      <c r="C159" s="74" t="str" cm="1">
        <f t="array" ref="C159">UPPER(INDEX(_xlfn.TEXTSPLIT($F159, "-"), 3))</f>
        <v>DIS</v>
      </c>
      <c r="D159" s="74" t="s">
        <v>922</v>
      </c>
      <c r="E159" s="74" t="s">
        <v>24</v>
      </c>
      <c r="F159" s="74" t="s">
        <v>1159</v>
      </c>
      <c r="G159" s="74" t="s">
        <v>1166</v>
      </c>
      <c r="H159" s="74" t="s">
        <v>1165</v>
      </c>
      <c r="I159" s="74">
        <v>2</v>
      </c>
      <c r="J159" s="74">
        <v>8</v>
      </c>
      <c r="K159" s="95" t="s">
        <v>180</v>
      </c>
      <c r="L159" s="111" t="s">
        <v>224</v>
      </c>
      <c r="M159" s="95" t="s">
        <v>992</v>
      </c>
      <c r="N159" s="121" t="s">
        <v>1102</v>
      </c>
      <c r="O159" s="117" t="str">
        <f t="shared" si="20"/>
        <v>p-dis-gaoweb02-osdisk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p-dis-gaoweb02-nic</v>
      </c>
      <c r="V159" s="95" t="b">
        <v>1</v>
      </c>
      <c r="W159" s="95" t="b">
        <v>1</v>
      </c>
      <c r="X159" s="95" t="s">
        <v>317</v>
      </c>
      <c r="Y159" s="95" t="s">
        <v>345</v>
      </c>
      <c r="Z159" s="95" t="s">
        <v>346</v>
      </c>
      <c r="AA159" s="95" t="b">
        <v>1</v>
      </c>
      <c r="AB159" s="95" t="s">
        <v>317</v>
      </c>
      <c r="AC159" s="95" t="s">
        <v>318</v>
      </c>
      <c r="AD159" s="112">
        <v>2</v>
      </c>
      <c r="AE159" s="74"/>
      <c r="AF159" s="74"/>
    </row>
    <row r="160" spans="1:32" x14ac:dyDescent="0.3">
      <c r="B160" s="95" t="s">
        <v>23</v>
      </c>
      <c r="C160" s="74" t="str" cm="1">
        <f t="array" ref="C160">UPPER(INDEX(_xlfn.TEXTSPLIT($F160, "-"), 3))</f>
        <v>DIS</v>
      </c>
      <c r="D160" s="74" t="s">
        <v>922</v>
      </c>
      <c r="E160" s="74" t="s">
        <v>24</v>
      </c>
      <c r="F160" s="74" t="s">
        <v>1160</v>
      </c>
      <c r="G160" s="74" t="s">
        <v>1163</v>
      </c>
      <c r="H160" s="74" t="s">
        <v>1165</v>
      </c>
      <c r="I160" s="74">
        <v>2</v>
      </c>
      <c r="J160" s="74">
        <v>8</v>
      </c>
      <c r="K160" s="95" t="s">
        <v>180</v>
      </c>
      <c r="L160" s="111" t="s">
        <v>224</v>
      </c>
      <c r="M160" s="95" t="s">
        <v>992</v>
      </c>
      <c r="N160" s="121" t="s">
        <v>1102</v>
      </c>
      <c r="O160" s="117" t="str">
        <f>SUBSTITUTE(F160,"hazr-","")&amp;"-osdisk"</f>
        <v>p-dis-gaoap01-osdisk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p-dis-gaoap01-nic</v>
      </c>
      <c r="V160" s="95" t="b">
        <v>1</v>
      </c>
      <c r="W160" s="95" t="b">
        <v>1</v>
      </c>
      <c r="X160" s="95" t="s">
        <v>317</v>
      </c>
      <c r="Y160" s="95" t="s">
        <v>338</v>
      </c>
      <c r="Z160" s="95" t="s">
        <v>340</v>
      </c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2:32" x14ac:dyDescent="0.3">
      <c r="B161" s="95" t="s">
        <v>23</v>
      </c>
      <c r="C161" s="95" t="str" cm="1">
        <f t="array" ref="C161">UPPER(INDEX(_xlfn.TEXTSPLIT($F161, "-"), 3))</f>
        <v>DIS</v>
      </c>
      <c r="D161" s="95" t="s">
        <v>1157</v>
      </c>
      <c r="E161" s="95" t="s">
        <v>24</v>
      </c>
      <c r="F161" s="95" t="s">
        <v>1161</v>
      </c>
      <c r="G161" s="95" t="s">
        <v>1164</v>
      </c>
      <c r="H161" s="95" t="s">
        <v>1165</v>
      </c>
      <c r="I161" s="95">
        <v>2</v>
      </c>
      <c r="J161" s="95">
        <v>8</v>
      </c>
      <c r="K161" s="95" t="s">
        <v>180</v>
      </c>
      <c r="L161" s="111" t="s">
        <v>224</v>
      </c>
      <c r="M161" s="95" t="s">
        <v>992</v>
      </c>
      <c r="N161" s="121" t="s">
        <v>1102</v>
      </c>
      <c r="O161" s="120" t="str">
        <f>SUBSTITUTE(F161,"hazr-","")&amp;"-osdisk"</f>
        <v>p-dis-gaoap02-osdisk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p-dis-gaoap02-nic</v>
      </c>
      <c r="V161" s="95" t="b">
        <v>1</v>
      </c>
      <c r="W161" s="95" t="b">
        <v>1</v>
      </c>
      <c r="X161" s="95" t="s">
        <v>317</v>
      </c>
      <c r="Y161" s="95" t="s">
        <v>338</v>
      </c>
      <c r="Z161" s="95" t="s">
        <v>340</v>
      </c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0"/>
  <sheetViews>
    <sheetView tabSelected="1" workbookViewId="0">
      <pane xSplit="6" ySplit="1" topLeftCell="K151" activePane="bottomRight" state="frozen"/>
      <selection activeCell="B148" sqref="B148"/>
      <selection pane="topRight" activeCell="B148" sqref="B148"/>
      <selection pane="bottomLeft" activeCell="B148" sqref="B148"/>
      <selection pane="bottomRight" activeCell="F170" sqref="F167:F170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4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5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5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1109</v>
      </c>
      <c r="E155" s="78" t="s">
        <v>24</v>
      </c>
      <c r="F155" s="114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1109</v>
      </c>
      <c r="E156" s="80" t="s">
        <v>24</v>
      </c>
      <c r="F156" s="115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DIS</v>
      </c>
      <c r="D157" s="78" t="s">
        <v>922</v>
      </c>
      <c r="E157" s="78" t="s">
        <v>24</v>
      </c>
      <c r="F157" s="82" t="s">
        <v>1117</v>
      </c>
      <c r="G157" s="73" t="str">
        <f t="shared" si="4"/>
        <v>p-dis-clvweb01-disk01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p-dis-clvweb01-disk02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DIS</v>
      </c>
      <c r="D158" s="80" t="s">
        <v>922</v>
      </c>
      <c r="E158" s="80" t="s">
        <v>24</v>
      </c>
      <c r="F158" s="74" t="s">
        <v>1118</v>
      </c>
      <c r="G158" s="74" t="str">
        <f t="shared" si="4"/>
        <v>p-dis-clvweb02-disk01</v>
      </c>
      <c r="H158" s="74" t="s">
        <v>179</v>
      </c>
      <c r="I158" s="74">
        <v>128</v>
      </c>
      <c r="J158" s="74" t="str">
        <f t="shared" si="6"/>
        <v>p-dis-clvweb02-disk02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DIS</v>
      </c>
      <c r="D159" s="78" t="s">
        <v>922</v>
      </c>
      <c r="E159" s="78" t="s">
        <v>24</v>
      </c>
      <c r="F159" s="82" t="s">
        <v>1119</v>
      </c>
      <c r="G159" s="73" t="str">
        <f t="shared" si="4"/>
        <v>p-dis-clvap01-disk01</v>
      </c>
      <c r="H159" s="73" t="s">
        <v>179</v>
      </c>
      <c r="I159" s="73">
        <v>128</v>
      </c>
      <c r="J159" s="73" t="str">
        <f t="shared" si="6"/>
        <v>p-dis-clvap01-disk02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DIS</v>
      </c>
      <c r="D160" s="80" t="s">
        <v>922</v>
      </c>
      <c r="E160" s="80" t="s">
        <v>24</v>
      </c>
      <c r="F160" s="74" t="s">
        <v>1120</v>
      </c>
      <c r="G160" s="74" t="str">
        <f t="shared" si="4"/>
        <v>p-dis-clvap02-disk01</v>
      </c>
      <c r="H160" s="74" t="s">
        <v>179</v>
      </c>
      <c r="I160" s="74">
        <v>128</v>
      </c>
      <c r="J160" s="74" t="str">
        <f t="shared" si="6"/>
        <v>p-dis-clvap02-disk02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DIS</v>
      </c>
      <c r="D161" s="78" t="s">
        <v>922</v>
      </c>
      <c r="E161" s="78" t="s">
        <v>24</v>
      </c>
      <c r="F161" s="82" t="s">
        <v>1121</v>
      </c>
      <c r="G161" s="73" t="str">
        <f t="shared" si="4"/>
        <v>p-dis-clvssrap01-disk01</v>
      </c>
      <c r="H161" s="73" t="s">
        <v>179</v>
      </c>
      <c r="I161" s="73">
        <v>128</v>
      </c>
      <c r="J161" s="73" t="str">
        <f t="shared" si="6"/>
        <v>p-dis-clvssrap01-disk02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DIS</v>
      </c>
      <c r="D162" s="80" t="s">
        <v>922</v>
      </c>
      <c r="E162" s="80" t="s">
        <v>24</v>
      </c>
      <c r="F162" s="74" t="s">
        <v>1122</v>
      </c>
      <c r="G162" s="74" t="str">
        <f t="shared" si="4"/>
        <v>p-dis-clvssrap02-disk01</v>
      </c>
      <c r="H162" s="74" t="s">
        <v>179</v>
      </c>
      <c r="I162" s="74">
        <v>128</v>
      </c>
      <c r="J162" s="74" t="str">
        <f t="shared" si="6"/>
        <v>p-dis-clvssrap02-disk02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DIS</v>
      </c>
      <c r="D163" s="78" t="s">
        <v>922</v>
      </c>
      <c r="E163" s="78" t="s">
        <v>24</v>
      </c>
      <c r="F163" s="82" t="s">
        <v>1123</v>
      </c>
      <c r="G163" s="73" t="str">
        <f t="shared" si="4"/>
        <v>p-dis-clvadmweb01-disk01</v>
      </c>
      <c r="H163" s="73" t="s">
        <v>179</v>
      </c>
      <c r="I163" s="73">
        <v>128</v>
      </c>
      <c r="J163" s="73" t="str">
        <f t="shared" si="6"/>
        <v>p-dis-clvadmweb01-disk02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DIS</v>
      </c>
      <c r="D164" s="80" t="s">
        <v>922</v>
      </c>
      <c r="E164" s="80" t="s">
        <v>24</v>
      </c>
      <c r="F164" s="74" t="s">
        <v>1125</v>
      </c>
      <c r="G164" s="74" t="str">
        <f t="shared" si="4"/>
        <v>p-dis-clvadmweb02-disk01</v>
      </c>
      <c r="H164" s="74" t="s">
        <v>179</v>
      </c>
      <c r="I164" s="74">
        <v>128</v>
      </c>
      <c r="J164" s="74" t="str">
        <f t="shared" si="6"/>
        <v>p-dis-clvadmweb02-disk02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DIS</v>
      </c>
      <c r="D165" s="78" t="s">
        <v>922</v>
      </c>
      <c r="E165" s="78" t="s">
        <v>24</v>
      </c>
      <c r="F165" s="82" t="s">
        <v>1124</v>
      </c>
      <c r="G165" s="73" t="str">
        <f t="shared" si="4"/>
        <v>p-dis-clvadmap01-disk01</v>
      </c>
      <c r="H165" s="73" t="s">
        <v>179</v>
      </c>
      <c r="I165" s="73">
        <v>128</v>
      </c>
      <c r="J165" s="73" t="str">
        <f t="shared" si="6"/>
        <v>p-dis-clvadmap01-disk02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DIS</v>
      </c>
      <c r="D166" s="80" t="s">
        <v>922</v>
      </c>
      <c r="E166" s="80" t="s">
        <v>24</v>
      </c>
      <c r="F166" s="115" t="s">
        <v>1126</v>
      </c>
      <c r="G166" s="74" t="str">
        <f t="shared" si="4"/>
        <v>p-dis-clvadmap02-disk01</v>
      </c>
      <c r="H166" s="74" t="s">
        <v>179</v>
      </c>
      <c r="I166" s="74">
        <v>128</v>
      </c>
      <c r="J166" s="74" t="str">
        <f t="shared" si="6"/>
        <v>p-dis-clvadmap02-disk02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B167" s="78" t="s">
        <v>23</v>
      </c>
      <c r="C167" s="82" t="str" cm="1">
        <f t="array" ref="C167">UPPER(INDEX(_xlfn.TEXTSPLIT($D167, "-"), 3))</f>
        <v>DIS</v>
      </c>
      <c r="D167" s="78" t="s">
        <v>922</v>
      </c>
      <c r="E167" s="78" t="s">
        <v>24</v>
      </c>
      <c r="F167" s="73" t="s">
        <v>1158</v>
      </c>
      <c r="G167" s="73" t="str">
        <f t="shared" ref="G167:G170" si="7">SUBSTITUTE(F167,"hazr-","")&amp;"-disk01"</f>
        <v>p-dis-gaoweb01-disk01</v>
      </c>
      <c r="H167" s="73" t="s">
        <v>179</v>
      </c>
      <c r="I167" s="73">
        <v>128</v>
      </c>
      <c r="J167" s="73" t="str">
        <f t="shared" ref="J167:J170" si="8">SUBSTITUTE(F167,"hazr-","")&amp;"-disk02"</f>
        <v>p-dis-gaoweb01-disk02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B168" s="80" t="s">
        <v>23</v>
      </c>
      <c r="C168" s="115" t="str" cm="1">
        <f t="array" ref="C168">UPPER(INDEX(_xlfn.TEXTSPLIT($D168, "-"), 3))</f>
        <v>DIS</v>
      </c>
      <c r="D168" s="80" t="s">
        <v>922</v>
      </c>
      <c r="E168" s="80" t="s">
        <v>24</v>
      </c>
      <c r="F168" s="74" t="s">
        <v>1159</v>
      </c>
      <c r="G168" s="74" t="str">
        <f t="shared" si="7"/>
        <v>p-dis-gaoweb02-disk01</v>
      </c>
      <c r="H168" s="74" t="s">
        <v>179</v>
      </c>
      <c r="I168" s="74">
        <v>128</v>
      </c>
      <c r="J168" s="74" t="str">
        <f t="shared" si="8"/>
        <v>p-dis-gaoweb02-disk02</v>
      </c>
      <c r="K168" s="74" t="s">
        <v>179</v>
      </c>
      <c r="L168" s="74">
        <v>128</v>
      </c>
      <c r="M168" s="80">
        <v>2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B169" s="78" t="s">
        <v>23</v>
      </c>
      <c r="C169" s="82" t="str" cm="1">
        <f t="array" ref="C169">UPPER(INDEX(_xlfn.TEXTSPLIT($D169, "-"), 3))</f>
        <v>DIS</v>
      </c>
      <c r="D169" s="78" t="s">
        <v>922</v>
      </c>
      <c r="E169" s="78" t="s">
        <v>24</v>
      </c>
      <c r="F169" s="73" t="s">
        <v>1160</v>
      </c>
      <c r="G169" s="73" t="str">
        <f t="shared" si="7"/>
        <v>p-dis-gaoap01-disk01</v>
      </c>
      <c r="H169" s="73" t="s">
        <v>179</v>
      </c>
      <c r="I169" s="73">
        <v>128</v>
      </c>
      <c r="J169" s="73" t="str">
        <f t="shared" si="8"/>
        <v>p-dis-gaoap01-disk02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B170" s="80" t="s">
        <v>23</v>
      </c>
      <c r="C170" s="115" t="str" cm="1">
        <f t="array" ref="C170">UPPER(INDEX(_xlfn.TEXTSPLIT($D170, "-"), 3))</f>
        <v>DIS</v>
      </c>
      <c r="D170" s="80" t="s">
        <v>922</v>
      </c>
      <c r="E170" s="80" t="s">
        <v>24</v>
      </c>
      <c r="F170" s="115" t="s">
        <v>1161</v>
      </c>
      <c r="G170" s="74" t="str">
        <f t="shared" si="7"/>
        <v>p-dis-gaoap02-disk01</v>
      </c>
      <c r="H170" s="74" t="s">
        <v>179</v>
      </c>
      <c r="I170" s="74">
        <v>128</v>
      </c>
      <c r="J170" s="74" t="str">
        <f t="shared" si="8"/>
        <v>p-dis-gaoap02-disk02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9"/>
  <sheetViews>
    <sheetView topLeftCell="A156" workbookViewId="0">
      <selection activeCell="E179" sqref="E176:L179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4" t="str" cm="1">
        <f t="array" ref="C150">UPPER(INDEX(_xlfn.TEXTSPLIT($E150, "-"), 2))</f>
        <v>COM</v>
      </c>
      <c r="D150" s="114" t="s">
        <v>317</v>
      </c>
      <c r="E150" s="73" t="str">
        <f t="shared" si="6"/>
        <v>p-com-esnweb01-nsg</v>
      </c>
      <c r="F150" s="73" t="s">
        <v>317</v>
      </c>
      <c r="G150" s="114" t="s">
        <v>345</v>
      </c>
      <c r="H150" s="114" t="s">
        <v>1045</v>
      </c>
      <c r="I150" s="114" t="s">
        <v>1036</v>
      </c>
      <c r="J150" s="114" t="s">
        <v>1035</v>
      </c>
      <c r="K150" s="73" t="str">
        <f t="shared" si="4"/>
        <v>p-com-esnweb01-nic</v>
      </c>
      <c r="L150" s="114" t="s">
        <v>226</v>
      </c>
      <c r="M150" s="114"/>
    </row>
    <row r="151" spans="1:13" x14ac:dyDescent="0.3">
      <c r="A151" s="90"/>
      <c r="B151" s="80" t="s">
        <v>23</v>
      </c>
      <c r="C151" s="115" t="str" cm="1">
        <f t="array" ref="C151">UPPER(INDEX(_xlfn.TEXTSPLIT($E151, "-"), 2))</f>
        <v>COM</v>
      </c>
      <c r="D151" s="115" t="s">
        <v>317</v>
      </c>
      <c r="E151" s="74" t="str">
        <f t="shared" si="6"/>
        <v>p-com-esnweb02-nsg</v>
      </c>
      <c r="F151" s="74" t="s">
        <v>317</v>
      </c>
      <c r="G151" s="115" t="s">
        <v>345</v>
      </c>
      <c r="H151" s="115" t="s">
        <v>240</v>
      </c>
      <c r="I151" s="115" t="s">
        <v>1037</v>
      </c>
      <c r="J151" s="115" t="s">
        <v>1035</v>
      </c>
      <c r="K151" s="74" t="str">
        <f t="shared" si="4"/>
        <v>p-com-esnweb02-nic</v>
      </c>
      <c r="L151" s="115" t="s">
        <v>226</v>
      </c>
      <c r="M151" s="115"/>
    </row>
    <row r="152" spans="1:13" x14ac:dyDescent="0.3">
      <c r="A152" s="90"/>
      <c r="B152" s="78" t="s">
        <v>23</v>
      </c>
      <c r="C152" s="114" t="str" cm="1">
        <f t="array" ref="C152">UPPER(INDEX(_xlfn.TEXTSPLIT($E152, "-"), 2))</f>
        <v>COM</v>
      </c>
      <c r="D152" s="114" t="s">
        <v>317</v>
      </c>
      <c r="E152" s="73" t="str">
        <f t="shared" si="6"/>
        <v>p-com-esnap01-nsg</v>
      </c>
      <c r="F152" s="73" t="s">
        <v>317</v>
      </c>
      <c r="G152" s="114" t="s">
        <v>338</v>
      </c>
      <c r="H152" s="114" t="s">
        <v>1054</v>
      </c>
      <c r="I152" s="114" t="s">
        <v>1038</v>
      </c>
      <c r="J152" s="114" t="s">
        <v>1035</v>
      </c>
      <c r="K152" s="73" t="str">
        <f t="shared" si="4"/>
        <v>p-com-esnap01-nic</v>
      </c>
      <c r="L152" s="114" t="s">
        <v>226</v>
      </c>
      <c r="M152" s="114"/>
    </row>
    <row r="153" spans="1:13" x14ac:dyDescent="0.3">
      <c r="A153" s="90"/>
      <c r="B153" s="80" t="s">
        <v>23</v>
      </c>
      <c r="C153" s="115" t="str" cm="1">
        <f t="array" ref="C153">UPPER(INDEX(_xlfn.TEXTSPLIT($E153, "-"), 2))</f>
        <v>COM</v>
      </c>
      <c r="D153" s="115" t="s">
        <v>317</v>
      </c>
      <c r="E153" s="74" t="str">
        <f t="shared" si="6"/>
        <v>p-com-esnap02-nsg</v>
      </c>
      <c r="F153" s="74" t="s">
        <v>317</v>
      </c>
      <c r="G153" s="115" t="s">
        <v>338</v>
      </c>
      <c r="H153" s="115" t="s">
        <v>1054</v>
      </c>
      <c r="I153" s="115" t="s">
        <v>1039</v>
      </c>
      <c r="J153" s="115" t="s">
        <v>1035</v>
      </c>
      <c r="K153" s="74" t="str">
        <f t="shared" si="4"/>
        <v>p-com-esnap02-nic</v>
      </c>
      <c r="L153" s="115" t="s">
        <v>226</v>
      </c>
      <c r="M153" s="115"/>
    </row>
    <row r="154" spans="1:13" x14ac:dyDescent="0.3">
      <c r="A154" s="90"/>
      <c r="B154" s="78" t="s">
        <v>23</v>
      </c>
      <c r="C154" s="114" t="s">
        <v>1055</v>
      </c>
      <c r="D154" s="114" t="s">
        <v>317</v>
      </c>
      <c r="E154" s="73" t="str">
        <f t="shared" si="6"/>
        <v>az-p-int-host1-nsg</v>
      </c>
      <c r="F154" s="73" t="s">
        <v>317</v>
      </c>
      <c r="G154" s="114" t="s">
        <v>338</v>
      </c>
      <c r="H154" s="114" t="s">
        <v>1063</v>
      </c>
      <c r="I154" s="114" t="s">
        <v>1057</v>
      </c>
      <c r="J154" s="114" t="s">
        <v>1056</v>
      </c>
      <c r="K154" s="73" t="str">
        <f t="shared" si="4"/>
        <v>az-p-int-host1-nic</v>
      </c>
      <c r="L154" s="114" t="s">
        <v>226</v>
      </c>
      <c r="M154" s="114"/>
    </row>
    <row r="155" spans="1:13" x14ac:dyDescent="0.3">
      <c r="A155" s="90"/>
      <c r="B155" s="80" t="s">
        <v>23</v>
      </c>
      <c r="C155" s="115" t="s">
        <v>1055</v>
      </c>
      <c r="D155" s="115" t="s">
        <v>317</v>
      </c>
      <c r="E155" s="74" t="str">
        <f t="shared" si="6"/>
        <v>az-p-int-host2-nsg</v>
      </c>
      <c r="F155" s="74" t="s">
        <v>317</v>
      </c>
      <c r="G155" s="115" t="s">
        <v>338</v>
      </c>
      <c r="H155" s="115" t="s">
        <v>1063</v>
      </c>
      <c r="I155" s="115" t="s">
        <v>1058</v>
      </c>
      <c r="J155" s="115" t="s">
        <v>1056</v>
      </c>
      <c r="K155" s="74" t="str">
        <f t="shared" si="4"/>
        <v>az-p-int-host2-nic</v>
      </c>
      <c r="L155" s="115" t="s">
        <v>226</v>
      </c>
      <c r="M155" s="115"/>
    </row>
    <row r="156" spans="1:13" x14ac:dyDescent="0.3">
      <c r="A156" s="90"/>
      <c r="B156" s="78" t="s">
        <v>23</v>
      </c>
      <c r="C156" s="114" t="s">
        <v>1055</v>
      </c>
      <c r="D156" s="114" t="s">
        <v>317</v>
      </c>
      <c r="E156" s="73" t="str">
        <f t="shared" si="6"/>
        <v>az-p-int-host3-nsg</v>
      </c>
      <c r="F156" s="73" t="s">
        <v>317</v>
      </c>
      <c r="G156" s="114" t="s">
        <v>338</v>
      </c>
      <c r="H156" s="114" t="s">
        <v>1063</v>
      </c>
      <c r="I156" s="114" t="s">
        <v>1064</v>
      </c>
      <c r="J156" s="114" t="s">
        <v>1056</v>
      </c>
      <c r="K156" s="73" t="str">
        <f t="shared" si="4"/>
        <v>az-p-int-host3-nic</v>
      </c>
      <c r="L156" s="114" t="s">
        <v>226</v>
      </c>
      <c r="M156" s="114"/>
    </row>
    <row r="157" spans="1:13" x14ac:dyDescent="0.3">
      <c r="A157" s="90"/>
      <c r="B157" s="80" t="s">
        <v>23</v>
      </c>
      <c r="C157" s="115" t="s">
        <v>1055</v>
      </c>
      <c r="D157" s="115" t="s">
        <v>317</v>
      </c>
      <c r="E157" s="74" t="str">
        <f t="shared" si="6"/>
        <v>az-p-int-host4-nsg</v>
      </c>
      <c r="F157" s="74" t="s">
        <v>317</v>
      </c>
      <c r="G157" s="115" t="s">
        <v>338</v>
      </c>
      <c r="H157" s="115" t="s">
        <v>1063</v>
      </c>
      <c r="I157" s="115" t="s">
        <v>1065</v>
      </c>
      <c r="J157" s="115" t="s">
        <v>1056</v>
      </c>
      <c r="K157" s="74" t="str">
        <f t="shared" si="4"/>
        <v>az-p-int-host4-nic</v>
      </c>
      <c r="L157" s="115" t="s">
        <v>226</v>
      </c>
      <c r="M157" s="115"/>
    </row>
    <row r="158" spans="1:13" x14ac:dyDescent="0.3">
      <c r="A158" s="90"/>
      <c r="B158" s="78" t="s">
        <v>23</v>
      </c>
      <c r="C158" s="114" t="str" cm="1">
        <f t="array" ref="C158">UPPER(INDEX(_xlfn.TEXTSPLIT($E158, "-"), 2))</f>
        <v>BDP</v>
      </c>
      <c r="D158" s="114" t="s">
        <v>317</v>
      </c>
      <c r="E158" s="73" t="str">
        <f t="shared" ref="E158:E175" si="7">IF(OR(L158="X", L158=""), SUBSTITUTE(H158,"-sbn","")&amp;"-nsg", IF(L158="O", SUBSTITUTE(I158,"hazr-","")&amp;"-nsg", ""))</f>
        <v>p-bdp-rlgcweb01-nsg</v>
      </c>
      <c r="F158" s="73" t="s">
        <v>317</v>
      </c>
      <c r="G158" s="114" t="s">
        <v>345</v>
      </c>
      <c r="H158" s="114" t="s">
        <v>1083</v>
      </c>
      <c r="I158" s="114" t="s">
        <v>1070</v>
      </c>
      <c r="J158" s="114" t="s">
        <v>1068</v>
      </c>
      <c r="K158" s="73" t="str">
        <f t="shared" ref="K158:K162" si="8">SUBSTITUTE(I158,"hazr-","")&amp;"-nic"</f>
        <v>p-bdp-rlgcweb01-nic</v>
      </c>
      <c r="L158" s="114" t="s">
        <v>226</v>
      </c>
      <c r="M158" s="114"/>
    </row>
    <row r="159" spans="1:13" x14ac:dyDescent="0.3">
      <c r="A159" s="90"/>
      <c r="B159" s="80" t="s">
        <v>23</v>
      </c>
      <c r="C159" s="115" t="str" cm="1">
        <f t="array" ref="C159">UPPER(INDEX(_xlfn.TEXTSPLIT($E159, "-"), 2))</f>
        <v>BDP</v>
      </c>
      <c r="D159" s="115" t="s">
        <v>317</v>
      </c>
      <c r="E159" s="74" t="str">
        <f t="shared" si="7"/>
        <v>p-bdp-rlgcweb02-nsg</v>
      </c>
      <c r="F159" s="74" t="s">
        <v>317</v>
      </c>
      <c r="G159" s="115" t="s">
        <v>345</v>
      </c>
      <c r="H159" s="115" t="s">
        <v>1083</v>
      </c>
      <c r="I159" s="115" t="s">
        <v>1071</v>
      </c>
      <c r="J159" s="115" t="s">
        <v>1068</v>
      </c>
      <c r="K159" s="74" t="str">
        <f t="shared" si="8"/>
        <v>p-bdp-rlgcweb02-nic</v>
      </c>
      <c r="L159" s="115" t="s">
        <v>226</v>
      </c>
      <c r="M159" s="115"/>
    </row>
    <row r="160" spans="1:13" x14ac:dyDescent="0.3">
      <c r="A160" s="90"/>
      <c r="B160" s="78" t="s">
        <v>23</v>
      </c>
      <c r="C160" s="114" t="str" cm="1">
        <f t="array" ref="C160">UPPER(INDEX(_xlfn.TEXTSPLIT($E160, "-"), 2))</f>
        <v>BDP</v>
      </c>
      <c r="D160" s="114" t="s">
        <v>317</v>
      </c>
      <c r="E160" s="73" t="str">
        <f t="shared" si="7"/>
        <v>p-bdp-rlgcap01-nsg</v>
      </c>
      <c r="F160" s="73" t="s">
        <v>317</v>
      </c>
      <c r="G160" s="114" t="s">
        <v>338</v>
      </c>
      <c r="H160" s="114" t="s">
        <v>1063</v>
      </c>
      <c r="I160" s="73" t="s">
        <v>1072</v>
      </c>
      <c r="J160" s="114" t="s">
        <v>1068</v>
      </c>
      <c r="K160" s="73" t="str">
        <f t="shared" si="8"/>
        <v>p-bdp-rlgcap01-nic</v>
      </c>
      <c r="L160" s="114" t="s">
        <v>226</v>
      </c>
      <c r="M160" s="114"/>
    </row>
    <row r="161" spans="1:13" x14ac:dyDescent="0.3">
      <c r="A161" s="90"/>
      <c r="B161" s="80" t="s">
        <v>23</v>
      </c>
      <c r="C161" s="115" t="str" cm="1">
        <f t="array" ref="C161">UPPER(INDEX(_xlfn.TEXTSPLIT($E161, "-"), 2))</f>
        <v>BDP</v>
      </c>
      <c r="D161" s="115" t="s">
        <v>317</v>
      </c>
      <c r="E161" s="74" t="str">
        <f t="shared" si="7"/>
        <v>p-bdp-rlgcap02-nsg</v>
      </c>
      <c r="F161" s="74" t="s">
        <v>317</v>
      </c>
      <c r="G161" s="115" t="s">
        <v>338</v>
      </c>
      <c r="H161" s="115" t="s">
        <v>1063</v>
      </c>
      <c r="I161" s="74" t="s">
        <v>1073</v>
      </c>
      <c r="J161" s="115" t="s">
        <v>1068</v>
      </c>
      <c r="K161" s="74" t="str">
        <f t="shared" si="8"/>
        <v>p-bdp-rlgcap02-nic</v>
      </c>
      <c r="L161" s="115" t="s">
        <v>226</v>
      </c>
      <c r="M161" s="115"/>
    </row>
    <row r="162" spans="1:13" x14ac:dyDescent="0.3">
      <c r="A162" s="90"/>
      <c r="B162" s="78" t="s">
        <v>23</v>
      </c>
      <c r="C162" s="114" t="str" cm="1">
        <f t="array" ref="C162">UPPER(INDEX(_xlfn.TEXTSPLIT($E162, "-"), 2))</f>
        <v>BDP</v>
      </c>
      <c r="D162" s="114" t="s">
        <v>317</v>
      </c>
      <c r="E162" s="73" t="str">
        <f t="shared" si="7"/>
        <v>p-bdp-rlgcap03-nsg</v>
      </c>
      <c r="F162" s="73" t="s">
        <v>317</v>
      </c>
      <c r="G162" s="114" t="s">
        <v>338</v>
      </c>
      <c r="H162" s="114" t="s">
        <v>1063</v>
      </c>
      <c r="I162" s="73" t="s">
        <v>1074</v>
      </c>
      <c r="J162" s="114" t="s">
        <v>1068</v>
      </c>
      <c r="K162" s="73" t="str">
        <f t="shared" si="8"/>
        <v>p-bdp-rlgcap03-nic</v>
      </c>
      <c r="L162" s="114" t="s">
        <v>226</v>
      </c>
      <c r="M162" s="114"/>
    </row>
    <row r="163" spans="1:13" x14ac:dyDescent="0.3">
      <c r="A163" s="90"/>
      <c r="B163" s="115" t="s">
        <v>1095</v>
      </c>
      <c r="C163" s="115" t="str" cm="1">
        <f t="array" ref="C163">UPPER(INDEX(_xlfn.TEXTSPLIT($E163, "-"), 2))</f>
        <v>IF</v>
      </c>
      <c r="D163" s="115" t="s">
        <v>317</v>
      </c>
      <c r="E163" s="115" t="str">
        <f t="shared" si="7"/>
        <v>p-if-sastweb01-nsg</v>
      </c>
      <c r="F163" s="115" t="s">
        <v>317</v>
      </c>
      <c r="G163" s="115" t="s">
        <v>1106</v>
      </c>
      <c r="H163" s="115" t="s">
        <v>965</v>
      </c>
      <c r="I163" s="115" t="s">
        <v>1093</v>
      </c>
      <c r="J163" s="115" t="s">
        <v>925</v>
      </c>
      <c r="K163" s="115" t="str">
        <f t="shared" ref="K163:K165" si="9">SUBSTITUTE(I163,"hazr-","")&amp;"-nic"</f>
        <v>p-if-sastweb01-nic</v>
      </c>
      <c r="L163" s="115" t="s">
        <v>226</v>
      </c>
      <c r="M163" s="115"/>
    </row>
    <row r="164" spans="1:13" x14ac:dyDescent="0.3">
      <c r="A164" s="90"/>
      <c r="B164" s="114" t="s">
        <v>1095</v>
      </c>
      <c r="C164" s="114" t="str" cm="1">
        <f t="array" ref="C164">UPPER(INDEX(_xlfn.TEXTSPLIT($E164, "-"), 2))</f>
        <v>SEC</v>
      </c>
      <c r="D164" s="114" t="s">
        <v>317</v>
      </c>
      <c r="E164" s="114" t="str">
        <f t="shared" si="7"/>
        <v>p-sec-mevrsol01-nsg</v>
      </c>
      <c r="F164" s="114" t="s">
        <v>317</v>
      </c>
      <c r="G164" s="114" t="s">
        <v>345</v>
      </c>
      <c r="H164" s="114" t="s">
        <v>346</v>
      </c>
      <c r="I164" s="114" t="s">
        <v>1103</v>
      </c>
      <c r="J164" s="114" t="s">
        <v>1109</v>
      </c>
      <c r="K164" s="114" t="str">
        <f t="shared" si="9"/>
        <v>p-sec-mevrsol01-nic</v>
      </c>
      <c r="L164" s="114" t="s">
        <v>226</v>
      </c>
      <c r="M164" s="114"/>
    </row>
    <row r="165" spans="1:13" x14ac:dyDescent="0.3">
      <c r="A165" s="90"/>
      <c r="B165" s="115" t="s">
        <v>1095</v>
      </c>
      <c r="C165" s="115" t="str" cm="1">
        <f t="array" ref="C165">UPPER(INDEX(_xlfn.TEXTSPLIT($E165, "-"), 2))</f>
        <v>SEC</v>
      </c>
      <c r="D165" s="115" t="s">
        <v>317</v>
      </c>
      <c r="E165" s="115" t="str">
        <f t="shared" si="7"/>
        <v>p-sec-mevrsol02-nsg</v>
      </c>
      <c r="F165" s="115" t="s">
        <v>317</v>
      </c>
      <c r="G165" s="115" t="s">
        <v>345</v>
      </c>
      <c r="H165" s="115" t="s">
        <v>346</v>
      </c>
      <c r="I165" s="115" t="s">
        <v>1104</v>
      </c>
      <c r="J165" s="115" t="s">
        <v>1109</v>
      </c>
      <c r="K165" s="115" t="str">
        <f t="shared" si="9"/>
        <v>p-sec-mevrsol02-nic</v>
      </c>
      <c r="L165" s="115" t="s">
        <v>226</v>
      </c>
      <c r="M165" s="115"/>
    </row>
    <row r="166" spans="1:13" x14ac:dyDescent="0.3">
      <c r="A166" s="90"/>
      <c r="B166" s="114" t="s">
        <v>23</v>
      </c>
      <c r="C166" s="114" t="str" cm="1">
        <f t="array" ref="C166">UPPER(INDEX(_xlfn.TEXTSPLIT($E166, "-"), 2))</f>
        <v>DIS</v>
      </c>
      <c r="D166" s="114" t="s">
        <v>317</v>
      </c>
      <c r="E166" s="114" t="str">
        <f t="shared" si="7"/>
        <v>p-dis-clvweb01-nsg</v>
      </c>
      <c r="F166" s="114" t="s">
        <v>317</v>
      </c>
      <c r="G166" s="114" t="s">
        <v>338</v>
      </c>
      <c r="H166" s="114" t="s">
        <v>340</v>
      </c>
      <c r="I166" s="114" t="s">
        <v>1117</v>
      </c>
      <c r="J166" s="114" t="s">
        <v>922</v>
      </c>
      <c r="K166" s="114" t="str">
        <f t="shared" ref="K166:K175" si="10">SUBSTITUTE(I166,"hazr-","")&amp;"-nic"</f>
        <v>p-dis-clvweb01-nic</v>
      </c>
      <c r="L166" s="114" t="s">
        <v>226</v>
      </c>
      <c r="M166" s="114"/>
    </row>
    <row r="167" spans="1:13" x14ac:dyDescent="0.3">
      <c r="A167" s="90"/>
      <c r="B167" s="115" t="s">
        <v>23</v>
      </c>
      <c r="C167" s="115" t="str" cm="1">
        <f t="array" ref="C167">UPPER(INDEX(_xlfn.TEXTSPLIT($E167, "-"), 2))</f>
        <v>DIS</v>
      </c>
      <c r="D167" s="115" t="s">
        <v>317</v>
      </c>
      <c r="E167" s="115" t="str">
        <f t="shared" si="7"/>
        <v>p-dis-clvweb02-nsg</v>
      </c>
      <c r="F167" s="115" t="s">
        <v>317</v>
      </c>
      <c r="G167" s="115" t="s">
        <v>338</v>
      </c>
      <c r="H167" s="115" t="s">
        <v>340</v>
      </c>
      <c r="I167" s="115" t="s">
        <v>1118</v>
      </c>
      <c r="J167" s="115" t="s">
        <v>922</v>
      </c>
      <c r="K167" s="115" t="str">
        <f t="shared" si="10"/>
        <v>p-dis-clvweb02-nic</v>
      </c>
      <c r="L167" s="115" t="s">
        <v>226</v>
      </c>
      <c r="M167" s="115"/>
    </row>
    <row r="168" spans="1:13" x14ac:dyDescent="0.3">
      <c r="A168" s="90"/>
      <c r="B168" s="114" t="s">
        <v>23</v>
      </c>
      <c r="C168" s="114" t="str" cm="1">
        <f t="array" ref="C168">UPPER(INDEX(_xlfn.TEXTSPLIT($E168, "-"), 2))</f>
        <v>DIS</v>
      </c>
      <c r="D168" s="114" t="s">
        <v>317</v>
      </c>
      <c r="E168" s="114" t="str">
        <f t="shared" si="7"/>
        <v>p-dis-clvap01-nsg</v>
      </c>
      <c r="F168" s="114" t="s">
        <v>317</v>
      </c>
      <c r="G168" s="114" t="s">
        <v>338</v>
      </c>
      <c r="H168" s="114" t="s">
        <v>340</v>
      </c>
      <c r="I168" s="114" t="s">
        <v>1119</v>
      </c>
      <c r="J168" s="114" t="s">
        <v>922</v>
      </c>
      <c r="K168" s="114" t="str">
        <f t="shared" si="10"/>
        <v>p-dis-clvap01-nic</v>
      </c>
      <c r="L168" s="114" t="s">
        <v>226</v>
      </c>
      <c r="M168" s="114"/>
    </row>
    <row r="169" spans="1:13" x14ac:dyDescent="0.3">
      <c r="A169" s="90"/>
      <c r="B169" s="115" t="s">
        <v>23</v>
      </c>
      <c r="C169" s="115" t="str" cm="1">
        <f t="array" ref="C169">UPPER(INDEX(_xlfn.TEXTSPLIT($E169, "-"), 2))</f>
        <v>DIS</v>
      </c>
      <c r="D169" s="115" t="s">
        <v>317</v>
      </c>
      <c r="E169" s="115" t="str">
        <f t="shared" si="7"/>
        <v>p-dis-clvap02-nsg</v>
      </c>
      <c r="F169" s="115" t="s">
        <v>317</v>
      </c>
      <c r="G169" s="115" t="s">
        <v>338</v>
      </c>
      <c r="H169" s="115" t="s">
        <v>340</v>
      </c>
      <c r="I169" s="115" t="s">
        <v>1120</v>
      </c>
      <c r="J169" s="115" t="s">
        <v>922</v>
      </c>
      <c r="K169" s="115" t="str">
        <f t="shared" si="10"/>
        <v>p-dis-clvap02-nic</v>
      </c>
      <c r="L169" s="115" t="s">
        <v>226</v>
      </c>
      <c r="M169" s="115"/>
    </row>
    <row r="170" spans="1:13" x14ac:dyDescent="0.3">
      <c r="A170" s="90"/>
      <c r="B170" s="114" t="s">
        <v>23</v>
      </c>
      <c r="C170" s="114" t="str" cm="1">
        <f t="array" ref="C170">UPPER(INDEX(_xlfn.TEXTSPLIT($E170, "-"), 2))</f>
        <v>DIS</v>
      </c>
      <c r="D170" s="114" t="s">
        <v>317</v>
      </c>
      <c r="E170" s="114" t="str">
        <f t="shared" si="7"/>
        <v>p-dis-clvssrap01-nsg</v>
      </c>
      <c r="F170" s="114" t="s">
        <v>317</v>
      </c>
      <c r="G170" s="114" t="s">
        <v>338</v>
      </c>
      <c r="H170" s="114" t="s">
        <v>340</v>
      </c>
      <c r="I170" s="114" t="s">
        <v>1121</v>
      </c>
      <c r="J170" s="114" t="s">
        <v>922</v>
      </c>
      <c r="K170" s="114" t="str">
        <f t="shared" si="10"/>
        <v>p-dis-clvssrap01-nic</v>
      </c>
      <c r="L170" s="114" t="s">
        <v>226</v>
      </c>
      <c r="M170" s="114"/>
    </row>
    <row r="171" spans="1:13" x14ac:dyDescent="0.3">
      <c r="A171" s="90"/>
      <c r="B171" s="115" t="s">
        <v>23</v>
      </c>
      <c r="C171" s="115" t="str" cm="1">
        <f t="array" ref="C171">UPPER(INDEX(_xlfn.TEXTSPLIT($E171, "-"), 2))</f>
        <v>DIS</v>
      </c>
      <c r="D171" s="115" t="s">
        <v>317</v>
      </c>
      <c r="E171" s="115" t="str">
        <f t="shared" si="7"/>
        <v>p-dis-clvssrap02-nsg</v>
      </c>
      <c r="F171" s="115" t="s">
        <v>317</v>
      </c>
      <c r="G171" s="115" t="s">
        <v>338</v>
      </c>
      <c r="H171" s="115" t="s">
        <v>340</v>
      </c>
      <c r="I171" s="115" t="s">
        <v>1122</v>
      </c>
      <c r="J171" s="115" t="s">
        <v>922</v>
      </c>
      <c r="K171" s="115" t="str">
        <f t="shared" si="10"/>
        <v>p-dis-clvssrap02-nic</v>
      </c>
      <c r="L171" s="115" t="s">
        <v>226</v>
      </c>
      <c r="M171" s="115"/>
    </row>
    <row r="172" spans="1:13" x14ac:dyDescent="0.3">
      <c r="A172" s="90"/>
      <c r="B172" s="114" t="s">
        <v>23</v>
      </c>
      <c r="C172" s="114" t="str" cm="1">
        <f t="array" ref="C172">UPPER(INDEX(_xlfn.TEXTSPLIT($E172, "-"), 2))</f>
        <v>DIS</v>
      </c>
      <c r="D172" s="114" t="s">
        <v>317</v>
      </c>
      <c r="E172" s="114" t="str">
        <f t="shared" si="7"/>
        <v>p-dis-clvadmweb01-nsg</v>
      </c>
      <c r="F172" s="114" t="s">
        <v>317</v>
      </c>
      <c r="G172" s="114" t="s">
        <v>338</v>
      </c>
      <c r="H172" s="114" t="s">
        <v>340</v>
      </c>
      <c r="I172" s="114" t="s">
        <v>1123</v>
      </c>
      <c r="J172" s="114" t="s">
        <v>922</v>
      </c>
      <c r="K172" s="114" t="str">
        <f t="shared" si="10"/>
        <v>p-dis-clvadmweb01-nic</v>
      </c>
      <c r="L172" s="114" t="s">
        <v>226</v>
      </c>
      <c r="M172" s="114"/>
    </row>
    <row r="173" spans="1:13" x14ac:dyDescent="0.3">
      <c r="A173" s="90"/>
      <c r="B173" s="115" t="s">
        <v>23</v>
      </c>
      <c r="C173" s="115" t="str" cm="1">
        <f t="array" ref="C173">UPPER(INDEX(_xlfn.TEXTSPLIT($E173, "-"), 2))</f>
        <v>DIS</v>
      </c>
      <c r="D173" s="115" t="s">
        <v>317</v>
      </c>
      <c r="E173" s="115" t="str">
        <f t="shared" si="7"/>
        <v>p-dis-clvadmweb02-nsg</v>
      </c>
      <c r="F173" s="115" t="s">
        <v>317</v>
      </c>
      <c r="G173" s="115" t="s">
        <v>338</v>
      </c>
      <c r="H173" s="115" t="s">
        <v>340</v>
      </c>
      <c r="I173" s="115" t="s">
        <v>1125</v>
      </c>
      <c r="J173" s="115" t="s">
        <v>922</v>
      </c>
      <c r="K173" s="115" t="str">
        <f t="shared" si="10"/>
        <v>p-dis-clvadmweb02-nic</v>
      </c>
      <c r="L173" s="115" t="s">
        <v>226</v>
      </c>
      <c r="M173" s="115"/>
    </row>
    <row r="174" spans="1:13" x14ac:dyDescent="0.3">
      <c r="A174" s="90"/>
      <c r="B174" s="114" t="s">
        <v>23</v>
      </c>
      <c r="C174" s="114" t="str" cm="1">
        <f t="array" ref="C174">UPPER(INDEX(_xlfn.TEXTSPLIT($E174, "-"), 2))</f>
        <v>DIS</v>
      </c>
      <c r="D174" s="114" t="s">
        <v>317</v>
      </c>
      <c r="E174" s="114" t="str">
        <f t="shared" si="7"/>
        <v>p-dis-clvadmap01-nsg</v>
      </c>
      <c r="F174" s="114" t="s">
        <v>317</v>
      </c>
      <c r="G174" s="114" t="s">
        <v>338</v>
      </c>
      <c r="H174" s="114" t="s">
        <v>340</v>
      </c>
      <c r="I174" s="114" t="s">
        <v>1124</v>
      </c>
      <c r="J174" s="114" t="s">
        <v>922</v>
      </c>
      <c r="K174" s="114" t="str">
        <f t="shared" si="10"/>
        <v>p-dis-clvadmap01-nic</v>
      </c>
      <c r="L174" s="114" t="s">
        <v>226</v>
      </c>
      <c r="M174" s="114"/>
    </row>
    <row r="175" spans="1:13" x14ac:dyDescent="0.3">
      <c r="A175" s="90"/>
      <c r="B175" s="115" t="s">
        <v>23</v>
      </c>
      <c r="C175" s="115" t="str" cm="1">
        <f t="array" ref="C175">UPPER(INDEX(_xlfn.TEXTSPLIT($E175, "-"), 2))</f>
        <v>DIS</v>
      </c>
      <c r="D175" s="115" t="s">
        <v>317</v>
      </c>
      <c r="E175" s="115" t="str">
        <f t="shared" si="7"/>
        <v>p-dis-clvadmap02-nsg</v>
      </c>
      <c r="F175" s="115" t="s">
        <v>317</v>
      </c>
      <c r="G175" s="115" t="s">
        <v>338</v>
      </c>
      <c r="H175" s="115" t="s">
        <v>340</v>
      </c>
      <c r="I175" s="115" t="s">
        <v>1126</v>
      </c>
      <c r="J175" s="115" t="s">
        <v>922</v>
      </c>
      <c r="K175" s="115" t="str">
        <f t="shared" si="10"/>
        <v>p-dis-clvadmap02-nic</v>
      </c>
      <c r="L175" s="115" t="s">
        <v>226</v>
      </c>
      <c r="M175" s="115"/>
    </row>
    <row r="176" spans="1:13" x14ac:dyDescent="0.3">
      <c r="B176" s="114" t="s">
        <v>23</v>
      </c>
      <c r="C176" s="114" t="str" cm="1">
        <f t="array" ref="C176">UPPER(INDEX(_xlfn.TEXTSPLIT($E176, "-"), 2))</f>
        <v>DIS</v>
      </c>
      <c r="D176" s="114" t="s">
        <v>317</v>
      </c>
      <c r="E176" s="114" t="str">
        <f t="shared" ref="E176:E179" si="11">IF(OR(L176="X", L176=""), SUBSTITUTE(H176,"-sbn","")&amp;"-nsg", IF(L176="O", SUBSTITUTE(I176,"hazr-","")&amp;"-nsg", ""))</f>
        <v>p-dis-gaoweb01-nsg</v>
      </c>
      <c r="F176" s="114" t="s">
        <v>317</v>
      </c>
      <c r="G176" s="114" t="s">
        <v>345</v>
      </c>
      <c r="H176" s="114" t="s">
        <v>346</v>
      </c>
      <c r="I176" s="73" t="s">
        <v>1158</v>
      </c>
      <c r="J176" s="114" t="s">
        <v>922</v>
      </c>
      <c r="K176" s="114" t="str">
        <f t="shared" ref="K176:K179" si="12">SUBSTITUTE(I176,"hazr-","")&amp;"-nic"</f>
        <v>p-dis-gaoweb01-nic</v>
      </c>
      <c r="L176" s="114" t="s">
        <v>226</v>
      </c>
      <c r="M176" s="114"/>
    </row>
    <row r="177" spans="2:13" x14ac:dyDescent="0.3">
      <c r="B177" s="115" t="s">
        <v>23</v>
      </c>
      <c r="C177" s="115" t="str" cm="1">
        <f t="array" ref="C177">UPPER(INDEX(_xlfn.TEXTSPLIT($E177, "-"), 2))</f>
        <v>DIS</v>
      </c>
      <c r="D177" s="115" t="s">
        <v>317</v>
      </c>
      <c r="E177" s="115" t="str">
        <f t="shared" si="11"/>
        <v>p-dis-gaoweb02-nsg</v>
      </c>
      <c r="F177" s="115" t="s">
        <v>317</v>
      </c>
      <c r="G177" s="115" t="s">
        <v>345</v>
      </c>
      <c r="H177" s="115" t="s">
        <v>346</v>
      </c>
      <c r="I177" s="74" t="s">
        <v>1159</v>
      </c>
      <c r="J177" s="115" t="s">
        <v>922</v>
      </c>
      <c r="K177" s="115" t="str">
        <f t="shared" si="12"/>
        <v>p-dis-gaoweb02-nic</v>
      </c>
      <c r="L177" s="115" t="s">
        <v>226</v>
      </c>
      <c r="M177" s="115"/>
    </row>
    <row r="178" spans="2:13" x14ac:dyDescent="0.3">
      <c r="B178" s="114" t="s">
        <v>23</v>
      </c>
      <c r="C178" s="114" t="str" cm="1">
        <f t="array" ref="C178">UPPER(INDEX(_xlfn.TEXTSPLIT($E178, "-"), 2))</f>
        <v>DIS</v>
      </c>
      <c r="D178" s="114" t="s">
        <v>317</v>
      </c>
      <c r="E178" s="114" t="str">
        <f t="shared" si="11"/>
        <v>p-dis-gaoap01-nsg</v>
      </c>
      <c r="F178" s="114" t="s">
        <v>317</v>
      </c>
      <c r="G178" s="114" t="s">
        <v>338</v>
      </c>
      <c r="H178" s="114" t="s">
        <v>340</v>
      </c>
      <c r="I178" s="73" t="s">
        <v>1160</v>
      </c>
      <c r="J178" s="114" t="s">
        <v>922</v>
      </c>
      <c r="K178" s="114" t="str">
        <f t="shared" si="12"/>
        <v>p-dis-gaoap01-nic</v>
      </c>
      <c r="L178" s="114" t="s">
        <v>226</v>
      </c>
      <c r="M178" s="114"/>
    </row>
    <row r="179" spans="2:13" x14ac:dyDescent="0.3">
      <c r="B179" s="115" t="s">
        <v>23</v>
      </c>
      <c r="C179" s="115" t="str" cm="1">
        <f t="array" ref="C179">UPPER(INDEX(_xlfn.TEXTSPLIT($E179, "-"), 2))</f>
        <v>DIS</v>
      </c>
      <c r="D179" s="115" t="s">
        <v>317</v>
      </c>
      <c r="E179" s="115" t="str">
        <f t="shared" si="11"/>
        <v>p-dis-gaoap02-nsg</v>
      </c>
      <c r="F179" s="115" t="s">
        <v>317</v>
      </c>
      <c r="G179" s="115" t="s">
        <v>338</v>
      </c>
      <c r="H179" s="115" t="s">
        <v>340</v>
      </c>
      <c r="I179" s="115" t="s">
        <v>1161</v>
      </c>
      <c r="J179" s="115" t="s">
        <v>922</v>
      </c>
      <c r="K179" s="115" t="str">
        <f t="shared" si="12"/>
        <v>p-dis-gaoap02-nic</v>
      </c>
      <c r="L179" s="115" t="s">
        <v>226</v>
      </c>
      <c r="M179" s="115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workbookViewId="0">
      <pane xSplit="6" ySplit="1" topLeftCell="H32" activePane="bottomRight" state="frozen"/>
      <selection pane="topRight" activeCell="G1" sqref="G1"/>
      <selection pane="bottomLeft" activeCell="A2" sqref="A2"/>
      <selection pane="bottomRight" activeCell="H46" sqref="H46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1111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1112</v>
      </c>
      <c r="M45" s="74" t="s">
        <v>1106</v>
      </c>
      <c r="N45" s="74" t="s">
        <v>1107</v>
      </c>
      <c r="O45" s="74" t="s">
        <v>108</v>
      </c>
      <c r="P45" s="74" t="s">
        <v>1114</v>
      </c>
      <c r="Q45" s="74" t="str">
        <f t="shared" si="6"/>
        <v>p-sec-mevrsol-lb-bp</v>
      </c>
    </row>
    <row r="46" spans="1:17" x14ac:dyDescent="0.3">
      <c r="B46" s="82" t="s">
        <v>1115</v>
      </c>
      <c r="C46" s="82" t="str" cm="1">
        <f t="array" ref="C46">UPPER(INDEX(_xlfn.TEXTSPLIT($F46, "-"), 3))</f>
        <v>DIS</v>
      </c>
      <c r="D46" s="82" t="s">
        <v>1116</v>
      </c>
      <c r="E46" s="82" t="s">
        <v>24</v>
      </c>
      <c r="F46" s="82" t="s">
        <v>1127</v>
      </c>
      <c r="G46" s="82"/>
      <c r="H46" s="82" t="s">
        <v>1016</v>
      </c>
      <c r="I46" s="82" t="s">
        <v>1142</v>
      </c>
      <c r="J46" s="82" t="s">
        <v>102</v>
      </c>
      <c r="K46" s="82" t="str">
        <f t="shared" si="5"/>
        <v>p-dis-clvweb-lb-fe</v>
      </c>
      <c r="L46" s="82" t="s">
        <v>1132</v>
      </c>
      <c r="M46" s="82" t="s">
        <v>1133</v>
      </c>
      <c r="N46" s="82" t="s">
        <v>1135</v>
      </c>
      <c r="O46" s="82" t="s">
        <v>108</v>
      </c>
      <c r="P46" s="82" t="s">
        <v>1137</v>
      </c>
      <c r="Q46" s="82" t="str">
        <f t="shared" si="6"/>
        <v>p-dis-clvweb-lb-bp</v>
      </c>
    </row>
    <row r="47" spans="1:17" x14ac:dyDescent="0.3">
      <c r="B47" s="74" t="s">
        <v>1115</v>
      </c>
      <c r="C47" s="74" t="str" cm="1">
        <f t="array" ref="C47">UPPER(INDEX(_xlfn.TEXTSPLIT($F47, "-"), 3))</f>
        <v>DIS</v>
      </c>
      <c r="D47" s="74" t="s">
        <v>1116</v>
      </c>
      <c r="E47" s="74" t="s">
        <v>24</v>
      </c>
      <c r="F47" s="74" t="s">
        <v>1128</v>
      </c>
      <c r="G47" s="74"/>
      <c r="H47" s="74" t="s">
        <v>1016</v>
      </c>
      <c r="I47" s="74" t="s">
        <v>1142</v>
      </c>
      <c r="J47" s="74" t="s">
        <v>102</v>
      </c>
      <c r="K47" s="74" t="str">
        <f t="shared" si="5"/>
        <v>p-dis-clvap-lb-fe</v>
      </c>
      <c r="L47" s="74" t="s">
        <v>317</v>
      </c>
      <c r="M47" s="74" t="s">
        <v>1134</v>
      </c>
      <c r="N47" s="74" t="s">
        <v>1136</v>
      </c>
      <c r="O47" s="74" t="s">
        <v>108</v>
      </c>
      <c r="P47" s="74" t="s">
        <v>1138</v>
      </c>
      <c r="Q47" s="74" t="str">
        <f t="shared" si="6"/>
        <v>p-dis-clvap-lb-bp</v>
      </c>
    </row>
    <row r="48" spans="1:17" x14ac:dyDescent="0.3">
      <c r="B48" s="82" t="s">
        <v>1115</v>
      </c>
      <c r="C48" s="82" t="str" cm="1">
        <f t="array" ref="C48">UPPER(INDEX(_xlfn.TEXTSPLIT($F48, "-"), 3))</f>
        <v>DIS</v>
      </c>
      <c r="D48" s="82" t="s">
        <v>1116</v>
      </c>
      <c r="E48" s="82" t="s">
        <v>24</v>
      </c>
      <c r="F48" s="82" t="s">
        <v>1129</v>
      </c>
      <c r="G48" s="82"/>
      <c r="H48" s="82" t="s">
        <v>1016</v>
      </c>
      <c r="I48" s="82" t="s">
        <v>1142</v>
      </c>
      <c r="J48" s="82" t="s">
        <v>102</v>
      </c>
      <c r="K48" s="82" t="str">
        <f t="shared" si="5"/>
        <v>p-dis-clvssrap-lb-fe</v>
      </c>
      <c r="L48" s="82" t="s">
        <v>1132</v>
      </c>
      <c r="M48" s="82" t="s">
        <v>1134</v>
      </c>
      <c r="N48" s="82" t="s">
        <v>340</v>
      </c>
      <c r="O48" s="82" t="s">
        <v>108</v>
      </c>
      <c r="P48" s="82" t="s">
        <v>1139</v>
      </c>
      <c r="Q48" s="82" t="str">
        <f t="shared" si="6"/>
        <v>p-dis-clvssrap-lb-bp</v>
      </c>
    </row>
    <row r="49" spans="2:17" x14ac:dyDescent="0.3">
      <c r="B49" s="74" t="s">
        <v>1115</v>
      </c>
      <c r="C49" s="74" t="str" cm="1">
        <f t="array" ref="C49">UPPER(INDEX(_xlfn.TEXTSPLIT($F49, "-"), 3))</f>
        <v>DIS</v>
      </c>
      <c r="D49" s="74" t="s">
        <v>1116</v>
      </c>
      <c r="E49" s="74" t="s">
        <v>24</v>
      </c>
      <c r="F49" s="74" t="s">
        <v>1130</v>
      </c>
      <c r="G49" s="74"/>
      <c r="H49" s="74" t="s">
        <v>1016</v>
      </c>
      <c r="I49" s="74" t="s">
        <v>1142</v>
      </c>
      <c r="J49" s="74" t="s">
        <v>102</v>
      </c>
      <c r="K49" s="74" t="str">
        <f t="shared" si="5"/>
        <v>p-dis-clvadmweb-lb-fe</v>
      </c>
      <c r="L49" s="74" t="s">
        <v>317</v>
      </c>
      <c r="M49" s="74" t="s">
        <v>1134</v>
      </c>
      <c r="N49" s="74" t="s">
        <v>1136</v>
      </c>
      <c r="O49" s="74" t="s">
        <v>108</v>
      </c>
      <c r="P49" s="74" t="s">
        <v>1140</v>
      </c>
      <c r="Q49" s="74" t="str">
        <f t="shared" si="6"/>
        <v>p-dis-clvadmweb-lb-bp</v>
      </c>
    </row>
    <row r="50" spans="2:17" x14ac:dyDescent="0.3">
      <c r="B50" s="82" t="s">
        <v>1115</v>
      </c>
      <c r="C50" s="82" t="str" cm="1">
        <f t="array" ref="C50">UPPER(INDEX(_xlfn.TEXTSPLIT($F50, "-"), 3))</f>
        <v>DIS</v>
      </c>
      <c r="D50" s="82" t="s">
        <v>1116</v>
      </c>
      <c r="E50" s="82" t="s">
        <v>24</v>
      </c>
      <c r="F50" s="82" t="s">
        <v>1131</v>
      </c>
      <c r="G50" s="82"/>
      <c r="H50" s="82" t="s">
        <v>1016</v>
      </c>
      <c r="I50" s="82" t="s">
        <v>1142</v>
      </c>
      <c r="J50" s="82" t="s">
        <v>102</v>
      </c>
      <c r="K50" s="82" t="str">
        <f t="shared" si="5"/>
        <v>p-dis-clvadmap-lb-fe</v>
      </c>
      <c r="L50" s="82" t="s">
        <v>1132</v>
      </c>
      <c r="M50" s="82" t="s">
        <v>1134</v>
      </c>
      <c r="N50" s="82" t="s">
        <v>340</v>
      </c>
      <c r="O50" s="82" t="s">
        <v>108</v>
      </c>
      <c r="P50" s="82" t="s">
        <v>1141</v>
      </c>
      <c r="Q50" s="82" t="str">
        <f t="shared" si="6"/>
        <v>p-dis-clvadmap-lb-bp</v>
      </c>
    </row>
    <row r="51" spans="2:17" x14ac:dyDescent="0.3">
      <c r="B51" s="74" t="s">
        <v>23</v>
      </c>
      <c r="C51" s="74" t="str" cm="1">
        <f t="array" ref="C51">UPPER(INDEX(_xlfn.TEXTSPLIT($F51, "-"), 3))</f>
        <v>DIS</v>
      </c>
      <c r="D51" s="74" t="s">
        <v>922</v>
      </c>
      <c r="E51" s="74" t="s">
        <v>24</v>
      </c>
      <c r="F51" s="74" t="s">
        <v>1167</v>
      </c>
      <c r="G51" s="74"/>
      <c r="H51" s="74" t="s">
        <v>1016</v>
      </c>
      <c r="I51" s="74" t="s">
        <v>1142</v>
      </c>
      <c r="J51" s="74" t="s">
        <v>102</v>
      </c>
      <c r="K51" s="74" t="str">
        <f t="shared" si="5"/>
        <v>p-dis-gaoweb-lb-fe</v>
      </c>
      <c r="L51" s="74" t="s">
        <v>317</v>
      </c>
      <c r="M51" s="74" t="s">
        <v>345</v>
      </c>
      <c r="N51" s="74" t="s">
        <v>346</v>
      </c>
      <c r="O51" s="74" t="s">
        <v>108</v>
      </c>
      <c r="P51" s="74" t="s">
        <v>1170</v>
      </c>
      <c r="Q51" s="74" t="str">
        <f t="shared" si="6"/>
        <v>p-dis-gaoweb-lb-bp</v>
      </c>
    </row>
    <row r="52" spans="2:17" x14ac:dyDescent="0.3">
      <c r="B52" s="82" t="s">
        <v>23</v>
      </c>
      <c r="C52" s="82" t="str" cm="1">
        <f t="array" ref="C52">UPPER(INDEX(_xlfn.TEXTSPLIT($F52, "-"), 3))</f>
        <v>DIS</v>
      </c>
      <c r="D52" s="82" t="s">
        <v>922</v>
      </c>
      <c r="E52" s="82" t="s">
        <v>24</v>
      </c>
      <c r="F52" s="82" t="s">
        <v>1168</v>
      </c>
      <c r="G52" s="82"/>
      <c r="H52" s="82" t="s">
        <v>1016</v>
      </c>
      <c r="I52" s="82" t="s">
        <v>1142</v>
      </c>
      <c r="J52" s="82" t="s">
        <v>102</v>
      </c>
      <c r="K52" s="82" t="str">
        <f t="shared" si="5"/>
        <v>p-dis-gaopap-lb-fe</v>
      </c>
      <c r="L52" s="82" t="s">
        <v>317</v>
      </c>
      <c r="M52" s="82" t="s">
        <v>338</v>
      </c>
      <c r="N52" s="82" t="s">
        <v>340</v>
      </c>
      <c r="O52" s="82" t="s">
        <v>108</v>
      </c>
      <c r="P52" s="82" t="s">
        <v>1169</v>
      </c>
      <c r="Q52" s="82" t="str">
        <f t="shared" si="6"/>
        <v>p-dis-gaopap-lb-bp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H78" sqref="G78:H8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1113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1113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1113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1113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1113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1113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DIS</v>
      </c>
      <c r="D73" s="82" t="s">
        <v>1116</v>
      </c>
      <c r="E73" s="82" t="s">
        <v>1127</v>
      </c>
      <c r="F73" s="82" t="str">
        <f t="shared" si="15"/>
        <v>p-dis-clvweb-lb-pb443</v>
      </c>
      <c r="G73" s="82" t="s">
        <v>1156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DIS</v>
      </c>
      <c r="D74" s="74" t="s">
        <v>1116</v>
      </c>
      <c r="E74" s="74" t="s">
        <v>1128</v>
      </c>
      <c r="F74" s="74" t="str">
        <f t="shared" si="15"/>
        <v>p-dis-clvap-lb-pb8080</v>
      </c>
      <c r="G74" s="74" t="s">
        <v>1156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DIS</v>
      </c>
      <c r="D75" s="82" t="s">
        <v>1116</v>
      </c>
      <c r="E75" s="82" t="s">
        <v>1129</v>
      </c>
      <c r="F75" s="82" t="str">
        <f t="shared" si="15"/>
        <v>p-dis-clvssrap-lb-pb8080</v>
      </c>
      <c r="G75" s="82" t="s">
        <v>1156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DIS</v>
      </c>
      <c r="D76" s="74" t="s">
        <v>1116</v>
      </c>
      <c r="E76" s="74" t="s">
        <v>1130</v>
      </c>
      <c r="F76" s="74" t="str">
        <f t="shared" si="15"/>
        <v>p-dis-clvadmweb-lb-pb443</v>
      </c>
      <c r="G76" s="74" t="s">
        <v>1156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DIS</v>
      </c>
      <c r="D77" s="82" t="s">
        <v>1116</v>
      </c>
      <c r="E77" s="82" t="s">
        <v>1131</v>
      </c>
      <c r="F77" s="82" t="str">
        <f t="shared" si="15"/>
        <v>p-dis-clvadmap-lb-pb8080</v>
      </c>
      <c r="G77" s="82" t="s">
        <v>1156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str" cm="1">
        <f t="array" ref="C78">UPPER(INDEX(_xlfn.TEXTSPLIT($D78, "-"), 3))</f>
        <v>DIS</v>
      </c>
      <c r="D78" s="74" t="s">
        <v>922</v>
      </c>
      <c r="E78" s="74" t="s">
        <v>1167</v>
      </c>
      <c r="F78" s="74" t="str">
        <f t="shared" si="15"/>
        <v>p-dis-gaoweb-lb-pb443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str" cm="1">
        <f t="array" ref="C79">UPPER(INDEX(_xlfn.TEXTSPLIT($D79, "-"), 3))</f>
        <v>DIS</v>
      </c>
      <c r="D79" s="82" t="s">
        <v>922</v>
      </c>
      <c r="E79" s="82" t="s">
        <v>1168</v>
      </c>
      <c r="F79" s="82" t="str">
        <f>SUBSTITUTE(E79, "hazr-", "")&amp;"-pb"&amp;H79</f>
        <v>p-dis-gaopap-lb-pb8080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>SUBSTITUTE(E80, "hazr-", "")&amp;"-pb"&amp;H80</f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>SUBSTITUTE(E81, "hazr-", "")&amp;"-pb"&amp;H81</f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>SUBSTITUTE(E82, "hazr-", "")&amp;"-pb"&amp;H82</f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>SUBSTITUTE(E83, "hazr-", "")&amp;"-pb"&amp;H83</f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>SUBSTITUTE(E84, "hazr-", "")&amp;"-pb"&amp;H84</f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>SUBSTITUTE(E85, "hazr-", "")&amp;"-pb"&amp;H85</f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>SUBSTITUTE(E86, "hazr-", "")&amp;"-pb"&amp;H86</f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>SUBSTITUTE(E87, "hazr-", "")&amp;"-pb"&amp;H87</f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C61" workbookViewId="0">
      <selection activeCell="G87" sqref="G84:G87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1110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1110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1110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1110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1110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1110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DIS</v>
      </c>
      <c r="D73" s="82" t="s">
        <v>922</v>
      </c>
      <c r="E73" s="82" t="s">
        <v>1127</v>
      </c>
      <c r="F73" s="82" t="str">
        <f t="shared" ref="F73:F87" si="34">SUBSTITUTE(E73, "hazr-", "")&amp;"-rule"&amp;O73</f>
        <v>p-dis-clvweb-lb-rule443</v>
      </c>
      <c r="G73" s="82" t="str">
        <f t="shared" ref="G73:G77" si="35">SUBSTITUTE(E73, "hazr-", "")&amp;"-fe"</f>
        <v>p-dis-clvweb-lb-fe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p-dis-clvweb-lb-bp</v>
      </c>
      <c r="L73" s="82">
        <v>443</v>
      </c>
      <c r="M73" s="82" t="str">
        <f t="shared" ref="M73:M77" si="37">SUBSTITUTE(E73, "hazr-", "")&amp;"-pb"&amp;IF(O73="", "", O73)</f>
        <v>p-dis-clvweb-lb-pb443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DIS</v>
      </c>
      <c r="D74" s="74" t="s">
        <v>922</v>
      </c>
      <c r="E74" s="74" t="s">
        <v>1128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DIS</v>
      </c>
      <c r="D75" s="82" t="s">
        <v>922</v>
      </c>
      <c r="E75" s="82" t="s">
        <v>1129</v>
      </c>
      <c r="F75" s="82" t="str">
        <f t="shared" si="34"/>
        <v>p-dis-clvssrap-lb-rule8080</v>
      </c>
      <c r="G75" s="82" t="str">
        <f t="shared" si="35"/>
        <v>p-dis-clvssrap-lb-fe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p-dis-clvssrap-lb-bp</v>
      </c>
      <c r="L75" s="82">
        <v>8080</v>
      </c>
      <c r="M75" s="82" t="str">
        <f t="shared" si="37"/>
        <v>p-dis-clvssrap-lb-pb8080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DIS</v>
      </c>
      <c r="D76" s="74" t="s">
        <v>922</v>
      </c>
      <c r="E76" s="74" t="s">
        <v>1130</v>
      </c>
      <c r="F76" s="74" t="str">
        <f t="shared" si="34"/>
        <v>p-dis-clvadmweb-lb-rule443</v>
      </c>
      <c r="G76" s="74" t="str">
        <f t="shared" si="35"/>
        <v>p-dis-clvadmweb-lb-fe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p-dis-clvadmweb-lb-bp</v>
      </c>
      <c r="L76" s="74">
        <v>443</v>
      </c>
      <c r="M76" s="74" t="str">
        <f t="shared" si="37"/>
        <v>p-dis-clvadmweb-lb-pb443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DIS</v>
      </c>
      <c r="D77" s="82" t="s">
        <v>922</v>
      </c>
      <c r="E77" s="82" t="s">
        <v>1131</v>
      </c>
      <c r="F77" s="82" t="str">
        <f t="shared" si="34"/>
        <v>p-dis-clvadmap-lb-rule8080</v>
      </c>
      <c r="G77" s="82" t="str">
        <f t="shared" si="35"/>
        <v>p-dis-clvadmap-lb-fe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p-dis-clvadmap-lb-bp</v>
      </c>
      <c r="L77" s="82">
        <v>8080</v>
      </c>
      <c r="M77" s="82" t="str">
        <f t="shared" si="37"/>
        <v>p-dis-clvadmap-lb-pb8080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str" cm="1">
        <f t="array" ref="C78">UPPER(INDEX(_xlfn.TEXTSPLIT($D78, "-"), 3))</f>
        <v>DIS</v>
      </c>
      <c r="D78" s="74" t="s">
        <v>922</v>
      </c>
      <c r="E78" s="74" t="s">
        <v>1167</v>
      </c>
      <c r="F78" s="74" t="str">
        <f t="shared" si="34"/>
        <v>p-dis-gaoweb-lb-rule443</v>
      </c>
      <c r="G78" s="74" t="str">
        <f t="shared" ref="G78:G87" si="38">SUBSTITUTE(E78, "hazr-", "")&amp;"-fe"</f>
        <v>p-dis-gaoweb-lb-fe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p-dis-gaoweb-lb-bp</v>
      </c>
      <c r="L78" s="74">
        <v>443</v>
      </c>
      <c r="M78" s="74" t="str">
        <f t="shared" ref="M78:M87" si="40">SUBSTITUTE(E78, "hazr-", "")&amp;"-pb"&amp;IF(O78="", "", O78)</f>
        <v>p-dis-gaoweb-lb-pb443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str" cm="1">
        <f t="array" ref="C79">UPPER(INDEX(_xlfn.TEXTSPLIT($D79, "-"), 3))</f>
        <v>DIS</v>
      </c>
      <c r="D79" s="82" t="s">
        <v>922</v>
      </c>
      <c r="E79" s="82" t="s">
        <v>1168</v>
      </c>
      <c r="F79" s="82" t="str">
        <f t="shared" si="34"/>
        <v>p-dis-gaopap-lb-rule8080</v>
      </c>
      <c r="G79" s="82" t="str">
        <f t="shared" si="38"/>
        <v>p-dis-gaopap-lb-fe</v>
      </c>
      <c r="H79" s="82" t="s">
        <v>57</v>
      </c>
      <c r="I79" s="82">
        <v>8080</v>
      </c>
      <c r="J79" s="82" t="b">
        <v>0</v>
      </c>
      <c r="K79" s="82" t="str">
        <f t="shared" si="39"/>
        <v>p-dis-gaopap-lb-bp</v>
      </c>
      <c r="L79" s="82">
        <v>8080</v>
      </c>
      <c r="M79" s="82" t="str">
        <f t="shared" si="40"/>
        <v>p-dis-gaopap-lb-pb8080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2:19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2:19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2:19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2:19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2:19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2:19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2:19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2026-09-21T08:25:52Z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