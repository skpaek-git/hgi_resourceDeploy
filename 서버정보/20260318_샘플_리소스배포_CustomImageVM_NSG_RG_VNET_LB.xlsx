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7F936018-C24D-44CF-BA12-1ADFF9DA207C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G" sheetId="5" r:id="rId1"/>
    <sheet name="VNET" sheetId="4" r:id="rId2"/>
    <sheet name="Storage" sheetId="7" r:id="rId3"/>
    <sheet name="VM_PRD" sheetId="1" r:id="rId4"/>
    <sheet name="NSG" sheetId="2" r:id="rId5"/>
    <sheet name="NSG_Detail" sheetId="3" r:id="rId6"/>
    <sheet name="Load Balancer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M3" i="1"/>
  <c r="S2" i="1"/>
  <c r="M2" i="1"/>
  <c r="D6" i="2"/>
  <c r="D3" i="2"/>
  <c r="D4" i="2"/>
  <c r="D5" i="2"/>
  <c r="D2" i="2"/>
  <c r="S4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H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비어둠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Any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sharedStrings.xml><?xml version="1.0" encoding="utf-8"?>
<sst xmlns="http://schemas.openxmlformats.org/spreadsheetml/2006/main" count="523" uniqueCount="167">
  <si>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</si>
  <si>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</si>
  <si>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</si>
  <si>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</si>
  <si>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</si>
  <si>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</si>
  <si>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</si>
  <si>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</si>
  <si>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</si>
  <si>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</si>
  <si>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</si>
  <si>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OsType</t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</si>
  <si>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</si>
  <si>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</si>
  <si>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</si>
  <si>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</si>
  <si>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</si>
  <si>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</si>
  <si>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</si>
  <si>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</si>
  <si>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</si>
  <si>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</si>
  <si>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</si>
  <si>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</si>
  <si>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</si>
  <si>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</si>
  <si>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</si>
  <si>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</si>
  <si>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TEST-Linux-RG</t>
    <phoneticPr fontId="1" type="noConversion"/>
  </si>
  <si>
    <t>azureadmin</t>
    <phoneticPr fontId="1" type="noConversion"/>
  </si>
  <si>
    <t>Zones</t>
    <phoneticPr fontId="1" type="noConversion"/>
  </si>
  <si>
    <t>260303TEST-vNET</t>
    <phoneticPr fontId="1" type="noConversion"/>
  </si>
  <si>
    <t>WEB2-Subnet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</si>
  <si>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</si>
  <si>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</si>
  <si>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</si>
  <si>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/subscriptions/cd49c1cd-99b9-4c13-b58c-a42211770a52/resourcegroups/TEST-Linux-RG/providers/Microsoft.Compute/images/TEST-Linux-001-image-20260316133721</t>
    <phoneticPr fontId="1" type="noConversion"/>
  </si>
  <si>
    <t>rkskekfk1234!@</t>
    <phoneticPr fontId="1" type="noConversion"/>
  </si>
  <si>
    <t>WEB1</t>
    <phoneticPr fontId="1" type="noConversion"/>
  </si>
  <si>
    <t>WEB2</t>
    <phoneticPr fontId="1" type="noConversion"/>
  </si>
  <si>
    <t>Subnet</t>
    <phoneticPr fontId="1" type="noConversion"/>
  </si>
  <si>
    <t>NIC</t>
    <phoneticPr fontId="1" type="noConversion"/>
  </si>
  <si>
    <t>Linux-001-nic</t>
    <phoneticPr fontId="1" type="noConversion"/>
  </si>
  <si>
    <t>TEST-Window-RG</t>
    <phoneticPr fontId="1" type="noConversion"/>
  </si>
  <si>
    <t>WEB3</t>
    <phoneticPr fontId="1" type="noConversion"/>
  </si>
  <si>
    <t>WEB3-Subnet</t>
    <phoneticPr fontId="1" type="noConversion"/>
  </si>
  <si>
    <t>TEST-Network-RG</t>
    <phoneticPr fontId="1" type="noConversion"/>
  </si>
  <si>
    <t>RG</t>
    <phoneticPr fontId="1" type="noConversion"/>
  </si>
  <si>
    <t>Linux-002-nic</t>
    <phoneticPr fontId="1" type="noConversion"/>
  </si>
  <si>
    <t>O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</si>
  <si>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</si>
  <si>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</si>
  <si>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</si>
  <si>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X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</si>
  <si>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</si>
  <si>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</si>
  <si>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</si>
  <si>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Linux-001-nic-NSG</t>
    <phoneticPr fontId="1" type="noConversion"/>
  </si>
  <si>
    <t>Linux-002-nic-NSG</t>
    <phoneticPr fontId="1" type="noConversion"/>
  </si>
  <si>
    <t>WEB2-Subnet-NSG</t>
    <phoneticPr fontId="1" type="noConversion"/>
  </si>
  <si>
    <t>WEB3-Subnet-NSG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</si>
  <si>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</si>
  <si>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</si>
  <si>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</si>
  <si>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</si>
  <si>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</si>
  <si>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</si>
  <si>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</si>
  <si>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</si>
  <si>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</si>
  <si>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</si>
  <si>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</si>
  <si>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</si>
  <si>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</si>
  <si>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</si>
  <si>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</si>
  <si>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</si>
  <si>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</si>
  <si>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</si>
  <si>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</si>
  <si>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</si>
  <si>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</si>
  <si>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</si>
  <si>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</si>
  <si>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</si>
  <si>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</si>
  <si>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</si>
  <si>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</si>
  <si>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</si>
  <si>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</si>
  <si>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</si>
  <si>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</si>
  <si>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</si>
  <si>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</si>
  <si>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</si>
  <si>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</si>
  <si>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</si>
  <si>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</si>
  <si>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</si>
  <si>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WEB4-Subnet</t>
    <phoneticPr fontId="1" type="noConversion"/>
  </si>
  <si>
    <t>비고</t>
    <phoneticPr fontId="1" type="noConversion"/>
  </si>
  <si>
    <t>DEV</t>
    <phoneticPr fontId="1" type="noConversion"/>
  </si>
  <si>
    <t>STG</t>
    <phoneticPr fontId="1" type="noConversion"/>
  </si>
  <si>
    <t>WEB</t>
    <phoneticPr fontId="1" type="noConversion"/>
  </si>
  <si>
    <t>NW</t>
    <phoneticPr fontId="1" type="noConversion"/>
  </si>
  <si>
    <t>PRD-NW-RG</t>
    <phoneticPr fontId="1" type="noConversion"/>
  </si>
  <si>
    <t>PRG-WEB-RG</t>
    <phoneticPr fontId="1" type="noConversion"/>
  </si>
  <si>
    <t>APP</t>
    <phoneticPr fontId="1" type="noConversion"/>
  </si>
  <si>
    <t>PRD-APP-RG</t>
    <phoneticPr fontId="1" type="noConversion"/>
  </si>
  <si>
    <t>STG-NW-RG</t>
    <phoneticPr fontId="1" type="noConversion"/>
  </si>
  <si>
    <t>STG-WEB-RG</t>
    <phoneticPr fontId="1" type="noConversion"/>
  </si>
  <si>
    <t>STG-APP-RG</t>
    <phoneticPr fontId="1" type="noConversion"/>
  </si>
  <si>
    <t>DEV-NW-RG</t>
    <phoneticPr fontId="1" type="noConversion"/>
  </si>
  <si>
    <t>DEV-WEB-RG</t>
    <phoneticPr fontId="1" type="noConversion"/>
  </si>
  <si>
    <t>DEV-APP-RG</t>
    <phoneticPr fontId="1" type="noConversion"/>
  </si>
  <si>
    <t>DB</t>
    <phoneticPr fontId="1" type="noConversion"/>
  </si>
  <si>
    <t>testprdnwvnet</t>
    <phoneticPr fontId="1" type="noConversion"/>
  </si>
  <si>
    <t>teststgnwvnet</t>
    <phoneticPr fontId="1" type="noConversion"/>
  </si>
  <si>
    <t>testdevnwvnet</t>
    <phoneticPr fontId="1" type="noConversion"/>
  </si>
  <si>
    <t>VNet name</t>
    <phoneticPr fontId="1" type="noConversion"/>
  </si>
  <si>
    <t>10.0.3.0/24</t>
    <phoneticPr fontId="1" type="noConversion"/>
  </si>
  <si>
    <t>10.0.4.0/24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</si>
  <si>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</si>
  <si>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</si>
  <si>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</si>
  <si>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</si>
  <si>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</si>
  <si>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</si>
  <si>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WEBSubnet</t>
    <phoneticPr fontId="1" type="noConversion"/>
  </si>
  <si>
    <t>10.0.0.0/27</t>
    <phoneticPr fontId="1" type="noConversion"/>
  </si>
  <si>
    <t>APPSubnet</t>
    <phoneticPr fontId="1" type="noConversion"/>
  </si>
  <si>
    <t>10.0.3.0/27</t>
    <phoneticPr fontId="1" type="noConversion"/>
  </si>
  <si>
    <t>10.0.1.0/27</t>
    <phoneticPr fontId="1" type="noConversion"/>
  </si>
  <si>
    <t>10.0.3.32/27</t>
    <phoneticPr fontId="1" type="noConversion"/>
  </si>
  <si>
    <t>10.0.4.0/27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</si>
  <si>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</si>
  <si>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</si>
  <si>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</si>
  <si>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10.0.0.0/24</t>
    <phoneticPr fontId="1" type="noConversion"/>
  </si>
  <si>
    <t>10.0.1.0/24</t>
    <phoneticPr fontId="1" type="noConversion"/>
  </si>
  <si>
    <t>10.0.2.0/24</t>
    <phoneticPr fontId="1" type="noConversion"/>
  </si>
  <si>
    <t>10.0.5.0/24</t>
    <phoneticPr fontId="1" type="noConversion"/>
  </si>
  <si>
    <t>10.0.5.32/27</t>
    <phoneticPr fontId="1" type="noConversion"/>
  </si>
  <si>
    <t>Storage name</t>
    <phoneticPr fontId="1" type="noConversion"/>
  </si>
  <si>
    <t>boot</t>
    <phoneticPr fontId="1" type="noConversion"/>
  </si>
  <si>
    <t>testprdstrboot</t>
    <phoneticPr fontId="1" type="noConversion"/>
  </si>
  <si>
    <t>teststgstrboot</t>
    <phoneticPr fontId="1" type="noConversion"/>
  </si>
  <si>
    <t>testdevstrboot</t>
    <phoneticPr fontId="1" type="noConversion"/>
  </si>
  <si>
    <t>SkuName</t>
    <phoneticPr fontId="1" type="noConversion"/>
  </si>
  <si>
    <t>StorageV2</t>
    <phoneticPr fontId="1" type="noConversion"/>
  </si>
  <si>
    <t>Kind</t>
    <phoneticPr fontId="1" type="noConversion"/>
  </si>
  <si>
    <t>PRD-WEB-RG</t>
    <phoneticPr fontId="1" type="noConversion"/>
  </si>
  <si>
    <t>PRDAPP01</t>
    <phoneticPr fontId="1" type="noConversion"/>
  </si>
  <si>
    <t>10.0.1.11</t>
    <phoneticPr fontId="1" type="noConversion"/>
  </si>
  <si>
    <t>rkskekfk1234!@</t>
  </si>
  <si>
    <t>StandardSSD_ZRS</t>
    <phoneticPr fontId="1" type="noConversion"/>
  </si>
  <si>
    <t>VnetRG</t>
    <phoneticPr fontId="1" type="noConversion"/>
  </si>
  <si>
    <t>DiagStrRG</t>
    <phoneticPr fontId="1" type="noConversion"/>
  </si>
  <si>
    <t>DiagStrName</t>
    <phoneticPr fontId="1" type="noConversion"/>
  </si>
  <si>
    <t>Standard_LRS</t>
    <phoneticPr fontId="1" type="noConversion"/>
  </si>
  <si>
    <t>StandardSSD_LRS</t>
    <phoneticPr fontId="1" type="noConversion"/>
  </si>
  <si>
    <t>PRDAPP01-DataDisk</t>
    <phoneticPr fontId="1" type="noConversion"/>
  </si>
  <si>
    <t>10.0.0.11</t>
    <phoneticPr fontId="1" type="noConversion"/>
  </si>
  <si>
    <t>PRDWEB01</t>
    <phoneticPr fontId="1" type="noConversion"/>
  </si>
  <si>
    <t>PRDWEB01-DataDisk_01</t>
    <phoneticPr fontId="1" type="noConversion"/>
  </si>
  <si>
    <t>PRDWEB02</t>
    <phoneticPr fontId="1" type="noConversion"/>
  </si>
  <si>
    <t>10.0.0.12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</si>
</sst>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FFFF00"/>
      <name val="맑은 고딕"/>
      <family val="3"/>
      <charset val="129"/>
      <scheme val="minor"/>
    </font>
    <font>
      <sz val="10"/>
      <color rgb="FFFFFF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0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10" fillId="2" borderId="0" xfId="0" applyFont="1" applyFill="1" applyAlignment="1">
      <alignment horizontal="left"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0" borderId="15" xfId="0" applyFont="1" applyBorder="1">
      <alignment vertical="center"/>
    </xf>
    <xf numFmtId="0" fontId="5" fillId="0" borderId="15" xfId="0" applyFont="1" applyBorder="1">
      <alignment vertical="center"/>
    </xf>
    <xf numFmtId="0" fontId="4" fillId="0" borderId="15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10" fillId="2" borderId="0" xfId="0" applyNumberFormat="1" applyFont="1" applyFill="1" applyAlignment="1">
      <alignment horizontal="left"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5" xfId="0" applyNumberFormat="1" applyFont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19" xfId="0" applyFont="1" applyFill="1" applyBorder="1">
      <alignment vertical="center"/>
    </xf>
    <xf numFmtId="0" fontId="10" fillId="2" borderId="20" xfId="0" applyFont="1" applyFill="1" applyBorder="1">
      <alignment vertical="center"/>
    </xf>
    <xf numFmtId="0" fontId="7" fillId="2" borderId="20" xfId="0" applyFont="1" applyFill="1" applyBorder="1">
      <alignment vertical="center"/>
    </xf>
    <xf numFmtId="0" fontId="10" fillId="2" borderId="19" xfId="0" applyFont="1" applyFill="1" applyBorder="1">
      <alignment vertical="center"/>
    </xf>
    <xf numFmtId="0" fontId="10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12" fillId="2" borderId="0" xfId="0" applyFont="1" applyFill="1">
      <alignment vertical="center"/>
    </xf>
    <xf numFmtId="41" fontId="0" fillId="0" borderId="0" xfId="1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49" fontId="14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30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B5" totalsRowShown="0" headerRowDxfId="29" dataDxfId="28">
  <autoFilter ref="A1:AB5" xr:uid="{00000000-0009-0000-0100-000001000000}"/>
  <tableColumns count="28">
    <tableColumn id="1" xr3:uid="{00000000-0010-0000-0000-000001000000}" name="Stage" dataDxfId="27"/>
    <tableColumn id="3" xr3:uid="{00000000-0010-0000-0000-000003000000}" name="RGname" dataDxfId="26">
      <calculatedColumnFormula>표1[[#This Row],[SubnetName]]</calculatedColumnFormula>
    </tableColumn>
    <tableColumn id="4" xr3:uid="{00000000-0010-0000-0000-000004000000}" name="Location" dataDxfId="25"/>
    <tableColumn id="5" xr3:uid="{00000000-0010-0000-0000-000005000000}" name="Name" dataDxfId="24"/>
    <tableColumn id="6" xr3:uid="{00000000-0010-0000-0000-000006000000}" name="PrivateIP" dataDxfId="23"/>
    <tableColumn id="22" xr3:uid="{00000000-0010-0000-0000-000016000000}" name="VmSize" dataDxfId="22"/>
    <tableColumn id="23" xr3:uid="{00000000-0010-0000-0000-000017000000}" name="CPU" dataDxfId="21"/>
    <tableColumn id="34" xr3:uid="{00000000-0010-0000-0000-000022000000}" name="RAM" dataDxfId="20"/>
    <tableColumn id="7" xr3:uid="{00000000-0010-0000-0000-000007000000}" name="AdminUsername" dataDxfId="19"/>
    <tableColumn id="8" xr3:uid="{00000000-0010-0000-0000-000008000000}" name="AdminPassword" dataDxfId="18"/>
    <tableColumn id="9" xr3:uid="{00000000-0010-0000-0000-000009000000}" name="OsType" dataDxfId="17"/>
    <tableColumn id="10" xr3:uid="{5C5FDBAD-A0A4-4C75-968A-8587646674EE}" name="ImageResourceId" dataDxfId="16"/>
    <tableColumn id="12" xr3:uid="{00000000-0010-0000-0000-00000C000000}" name="OsDiskName" dataDxfId="15">
      <calculatedColumnFormula>표1[[#This Row],[Name]]&amp;"-OSDisk"</calculatedColumnFormula>
    </tableColumn>
    <tableColumn id="13" xr3:uid="{00000000-0010-0000-0000-00000D000000}" name="OsDiskSize" dataDxfId="14"/>
    <tableColumn id="14" xr3:uid="{00000000-0010-0000-0000-00000E000000}" name="OsDiskStorageType" dataDxfId="13"/>
    <tableColumn id="24" xr3:uid="{00000000-0010-0000-0000-000018000000}" name="DataDiskName" dataDxfId="12"/>
    <tableColumn id="25" xr3:uid="{00000000-0010-0000-0000-000019000000}" name="DataDiskSize" dataDxfId="11"/>
    <tableColumn id="26" xr3:uid="{00000000-0010-0000-0000-00001A000000}" name="DataDiskStorageType" dataDxfId="10"/>
    <tableColumn id="15" xr3:uid="{00000000-0010-0000-0000-00000F000000}" name="NicName" dataDxfId="9">
      <calculatedColumnFormula>표1[[#This Row],[Name]]&amp;"-Nic"</calculatedColumnFormula>
    </tableColumn>
    <tableColumn id="17" xr3:uid="{00000000-0010-0000-0000-000011000000}" name="IsStatic" dataDxfId="8"/>
    <tableColumn id="11" xr3:uid="{65903CF2-1AF4-4B86-A9E4-474DE495E3CB}" name="VnetRG" dataDxfId="7"/>
    <tableColumn id="18" xr3:uid="{00000000-0010-0000-0000-000012000000}" name="VnetName" dataDxfId="6"/>
    <tableColumn id="19" xr3:uid="{00000000-0010-0000-0000-000013000000}" name="SubnetName" dataDxfId="5"/>
    <tableColumn id="36" xr3:uid="{9EB3DACA-84E4-4D05-8E76-433A4A9E33E7}" name="Zones" dataDxfId="4"/>
    <tableColumn id="16" xr3:uid="{71395BB5-C9FA-4D1D-AFD9-E866D1581D62}" name="DiagStrRG" dataDxfId="3"/>
    <tableColumn id="21" xr3:uid="{113E7062-3C99-41B0-AEB4-61486773F79B}" name="DiagStrName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dimension ref="A1:E12"/>
  <sheetViews>
    <sheetView workbookViewId="0">
      <selection activeCell="C2" sqref="C2"/>
    </sheetView>
  </sheetViews>
  <sheetFormatPr defaultRowHeight="16.5" x14ac:dyDescent="0.3"/>
  <cols>
    <col min="3" max="3" width="13.5" bestFit="1" customWidth="1"/>
    <col min="4" max="4" width="12.25" bestFit="1" customWidth="1"/>
  </cols>
  <sheetData>
    <row r="1" spans="1:5" x14ac:dyDescent="0.3">
      <c r="A1" s="56" t="s">
        <v>0</v>
      </c>
      <c r="B1" s="58" t="s">
        <v>1</v>
      </c>
      <c r="C1" s="57" t="s">
        <v>2</v>
      </c>
      <c r="D1" s="59" t="s">
        <v>3</v>
      </c>
      <c r="E1" s="56" t="s">
        <v>100</v>
      </c>
    </row>
    <row r="2" spans="1:5" x14ac:dyDescent="0.3">
      <c r="A2" t="s">
        <v>24</v>
      </c>
      <c r="B2" t="s">
        <v>104</v>
      </c>
      <c r="C2" t="s">
        <v>105</v>
      </c>
      <c r="D2" t="s">
        <v>25</v>
      </c>
    </row>
    <row r="3" spans="1:5" x14ac:dyDescent="0.3">
      <c r="A3" t="s">
        <v>24</v>
      </c>
      <c r="B3" t="s">
        <v>103</v>
      </c>
      <c r="C3" t="s">
        <v>106</v>
      </c>
      <c r="D3" t="s">
        <v>25</v>
      </c>
    </row>
    <row r="4" spans="1:5" x14ac:dyDescent="0.3">
      <c r="A4" t="s">
        <v>24</v>
      </c>
      <c r="B4" t="s">
        <v>107</v>
      </c>
      <c r="C4" t="s">
        <v>108</v>
      </c>
      <c r="D4" t="s">
        <v>25</v>
      </c>
    </row>
    <row r="5" spans="1:5" x14ac:dyDescent="0.3">
      <c r="B5" t="s">
        <v>115</v>
      </c>
    </row>
    <row r="6" spans="1:5" x14ac:dyDescent="0.3">
      <c r="A6" t="s">
        <v>102</v>
      </c>
      <c r="B6" t="s">
        <v>104</v>
      </c>
      <c r="C6" t="s">
        <v>109</v>
      </c>
      <c r="D6" t="s">
        <v>25</v>
      </c>
    </row>
    <row r="7" spans="1:5" x14ac:dyDescent="0.3">
      <c r="A7" t="s">
        <v>102</v>
      </c>
      <c r="B7" t="s">
        <v>103</v>
      </c>
      <c r="C7" t="s">
        <v>110</v>
      </c>
      <c r="D7" t="s">
        <v>25</v>
      </c>
    </row>
    <row r="8" spans="1:5" x14ac:dyDescent="0.3">
      <c r="A8" t="s">
        <v>102</v>
      </c>
      <c r="B8" t="s">
        <v>107</v>
      </c>
      <c r="C8" t="s">
        <v>111</v>
      </c>
      <c r="D8" t="s">
        <v>25</v>
      </c>
    </row>
    <row r="9" spans="1:5" x14ac:dyDescent="0.3">
      <c r="A9" t="s">
        <v>102</v>
      </c>
    </row>
    <row r="10" spans="1:5" x14ac:dyDescent="0.3">
      <c r="A10" t="s">
        <v>101</v>
      </c>
      <c r="B10" t="s">
        <v>104</v>
      </c>
      <c r="C10" t="s">
        <v>112</v>
      </c>
      <c r="D10" t="s">
        <v>25</v>
      </c>
    </row>
    <row r="11" spans="1:5" x14ac:dyDescent="0.3">
      <c r="A11" t="s">
        <v>101</v>
      </c>
      <c r="B11" t="s">
        <v>103</v>
      </c>
      <c r="C11" t="s">
        <v>113</v>
      </c>
      <c r="D11" t="s">
        <v>25</v>
      </c>
    </row>
    <row r="12" spans="1:5" x14ac:dyDescent="0.3">
      <c r="A12" t="s">
        <v>101</v>
      </c>
      <c r="B12" t="s">
        <v>107</v>
      </c>
      <c r="C12" t="s">
        <v>114</v>
      </c>
      <c r="D12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dimension ref="A1:N4"/>
  <sheetViews>
    <sheetView workbookViewId="0">
      <selection activeCell="F20" sqref="F20"/>
    </sheetView>
  </sheetViews>
  <sheetFormatPr defaultRowHeight="16.5" x14ac:dyDescent="0.3"/>
  <cols>
    <col min="3" max="3" width="12.5" bestFit="1" customWidth="1"/>
    <col min="4" max="4" width="12.25" bestFit="1" customWidth="1"/>
    <col min="5" max="5" width="13.875" bestFit="1" customWidth="1"/>
    <col min="6" max="8" width="13.125" bestFit="1" customWidth="1"/>
    <col min="9" max="9" width="12.25" bestFit="1" customWidth="1"/>
    <col min="10" max="10" width="14" bestFit="1" customWidth="1"/>
    <col min="11" max="11" width="13.375" bestFit="1" customWidth="1"/>
    <col min="12" max="12" width="15.125" bestFit="1" customWidth="1"/>
    <col min="13" max="13" width="13.375" bestFit="1" customWidth="1"/>
    <col min="14" max="14" width="15.125" bestFit="1" customWidth="1"/>
  </cols>
  <sheetData>
    <row r="1" spans="1:14" x14ac:dyDescent="0.3">
      <c r="A1" s="56" t="s">
        <v>0</v>
      </c>
      <c r="B1" s="58" t="s">
        <v>1</v>
      </c>
      <c r="C1" s="57" t="s">
        <v>2</v>
      </c>
      <c r="D1" s="59" t="s">
        <v>3</v>
      </c>
      <c r="E1" s="57" t="s">
        <v>119</v>
      </c>
      <c r="F1" s="59" t="s">
        <v>135</v>
      </c>
      <c r="G1" s="61" t="s">
        <v>136</v>
      </c>
      <c r="H1" s="62" t="s">
        <v>137</v>
      </c>
      <c r="I1" s="60" t="s">
        <v>122</v>
      </c>
      <c r="J1" s="60" t="s">
        <v>123</v>
      </c>
      <c r="K1" s="60" t="s">
        <v>124</v>
      </c>
      <c r="L1" s="60" t="s">
        <v>125</v>
      </c>
      <c r="M1" s="61" t="s">
        <v>126</v>
      </c>
      <c r="N1" s="62" t="s">
        <v>127</v>
      </c>
    </row>
    <row r="2" spans="1:14" x14ac:dyDescent="0.3">
      <c r="A2" t="s">
        <v>24</v>
      </c>
      <c r="B2" t="s">
        <v>104</v>
      </c>
      <c r="C2" t="s">
        <v>105</v>
      </c>
      <c r="D2" t="s">
        <v>25</v>
      </c>
      <c r="E2" t="s">
        <v>116</v>
      </c>
      <c r="F2" t="s">
        <v>138</v>
      </c>
      <c r="G2" t="s">
        <v>139</v>
      </c>
      <c r="H2" t="s">
        <v>140</v>
      </c>
      <c r="I2" t="s">
        <v>128</v>
      </c>
      <c r="J2" t="s">
        <v>129</v>
      </c>
      <c r="K2" t="s">
        <v>130</v>
      </c>
      <c r="L2" t="s">
        <v>132</v>
      </c>
    </row>
    <row r="3" spans="1:14" x14ac:dyDescent="0.3">
      <c r="A3" t="s">
        <v>102</v>
      </c>
      <c r="B3" t="s">
        <v>104</v>
      </c>
      <c r="C3" t="s">
        <v>109</v>
      </c>
      <c r="D3" t="s">
        <v>25</v>
      </c>
      <c r="E3" t="s">
        <v>117</v>
      </c>
      <c r="F3" t="s">
        <v>120</v>
      </c>
      <c r="I3" t="s">
        <v>128</v>
      </c>
      <c r="J3" t="s">
        <v>131</v>
      </c>
      <c r="K3" t="s">
        <v>130</v>
      </c>
      <c r="L3" t="s">
        <v>133</v>
      </c>
    </row>
    <row r="4" spans="1:14" x14ac:dyDescent="0.3">
      <c r="A4" t="s">
        <v>101</v>
      </c>
      <c r="B4" t="s">
        <v>104</v>
      </c>
      <c r="C4" t="s">
        <v>112</v>
      </c>
      <c r="D4" t="s">
        <v>25</v>
      </c>
      <c r="E4" t="s">
        <v>118</v>
      </c>
      <c r="F4" t="s">
        <v>121</v>
      </c>
      <c r="G4" t="s">
        <v>141</v>
      </c>
      <c r="I4" t="s">
        <v>128</v>
      </c>
      <c r="J4" t="s">
        <v>134</v>
      </c>
      <c r="K4" t="s">
        <v>130</v>
      </c>
      <c r="L4" t="s">
        <v>142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B1D4-728A-4AD2-A1F4-3F0B6878863C}">
  <dimension ref="A1:G22"/>
  <sheetViews>
    <sheetView workbookViewId="0">
      <selection activeCell="E2" sqref="E2"/>
    </sheetView>
  </sheetViews>
  <sheetFormatPr defaultRowHeight="16.5" x14ac:dyDescent="0.3"/>
  <cols>
    <col min="3" max="3" width="12.5" bestFit="1" customWidth="1"/>
    <col min="4" max="4" width="12.25" bestFit="1" customWidth="1"/>
    <col min="5" max="5" width="12.5" bestFit="1" customWidth="1"/>
    <col min="6" max="6" width="13.125" bestFit="1" customWidth="1"/>
    <col min="7" max="7" width="10.25" bestFit="1" customWidth="1"/>
  </cols>
  <sheetData>
    <row r="1" spans="1:7" x14ac:dyDescent="0.3">
      <c r="A1" s="56" t="s">
        <v>0</v>
      </c>
      <c r="B1" s="58" t="s">
        <v>1</v>
      </c>
      <c r="C1" s="57" t="s">
        <v>2</v>
      </c>
      <c r="D1" s="59" t="s">
        <v>3</v>
      </c>
      <c r="E1" s="57" t="s">
        <v>143</v>
      </c>
      <c r="F1" s="59" t="s">
        <v>148</v>
      </c>
      <c r="G1" s="59" t="s">
        <v>150</v>
      </c>
    </row>
    <row r="2" spans="1:7" x14ac:dyDescent="0.3">
      <c r="A2" t="s">
        <v>24</v>
      </c>
      <c r="B2" t="s">
        <v>144</v>
      </c>
      <c r="C2" t="s">
        <v>105</v>
      </c>
      <c r="D2" t="s">
        <v>25</v>
      </c>
      <c r="E2" t="s">
        <v>145</v>
      </c>
      <c r="F2" t="s">
        <v>159</v>
      </c>
      <c r="G2" t="s">
        <v>149</v>
      </c>
    </row>
    <row r="3" spans="1:7" x14ac:dyDescent="0.3">
      <c r="A3" t="s">
        <v>102</v>
      </c>
      <c r="B3" t="s">
        <v>144</v>
      </c>
      <c r="C3" t="s">
        <v>109</v>
      </c>
      <c r="D3" t="s">
        <v>25</v>
      </c>
      <c r="E3" t="s">
        <v>146</v>
      </c>
      <c r="F3" t="s">
        <v>159</v>
      </c>
      <c r="G3" t="s">
        <v>149</v>
      </c>
    </row>
    <row r="4" spans="1:7" x14ac:dyDescent="0.3">
      <c r="A4" t="s">
        <v>101</v>
      </c>
      <c r="B4" t="s">
        <v>144</v>
      </c>
      <c r="C4" t="s">
        <v>112</v>
      </c>
      <c r="D4" t="s">
        <v>25</v>
      </c>
      <c r="E4" t="s">
        <v>147</v>
      </c>
      <c r="F4" t="s">
        <v>159</v>
      </c>
      <c r="G4" t="s">
        <v>149</v>
      </c>
    </row>
    <row r="22" spans="3:3" x14ac:dyDescent="0.3">
      <c r="C22" s="6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"/>
  <sheetViews>
    <sheetView tabSelected="1" zoomScaleNormal="100" zoomScaleSheetLayoutView="100" workbookViewId="0"/>
  </sheetViews>
  <sheetFormatPr defaultRowHeight="16.5" x14ac:dyDescent="0.3"/>
  <cols>
    <col min="1" max="1" width="7.25" customWidth="1"/>
    <col min="2" max="2" width="16.125" bestFit="1" customWidth="1"/>
    <col min="3" max="3" width="12.25" bestFit="1" customWidth="1"/>
    <col min="4" max="4" width="10" bestFit="1" customWidth="1"/>
    <col min="5" max="5" width="11.75" bestFit="1" customWidth="1"/>
    <col min="6" max="6" width="9.125" bestFit="1" customWidth="1"/>
    <col min="7" max="7" width="6.75" bestFit="1" customWidth="1"/>
    <col min="8" max="8" width="7.25" bestFit="1" customWidth="1"/>
    <col min="9" max="9" width="15.875" customWidth="1"/>
    <col min="10" max="10" width="16.25" style="3" bestFit="1" customWidth="1"/>
    <col min="11" max="11" width="9" customWidth="1"/>
    <col min="12" max="12" width="126.75" customWidth="1"/>
    <col min="13" max="13" width="21.75" bestFit="1" customWidth="1"/>
    <col min="14" max="14" width="11.125" customWidth="1"/>
    <col min="15" max="15" width="19.25" bestFit="1" customWidth="1"/>
    <col min="16" max="16" width="20.25" bestFit="1" customWidth="1"/>
    <col min="17" max="17" width="17.375" customWidth="1"/>
    <col min="18" max="18" width="21" bestFit="1" customWidth="1"/>
    <col min="19" max="19" width="18" customWidth="1"/>
    <col min="21" max="21" width="10.625" bestFit="1" customWidth="1"/>
    <col min="22" max="22" width="15.125" customWidth="1"/>
    <col min="23" max="23" width="13.5" bestFit="1" customWidth="1"/>
    <col min="24" max="24" width="8.125" bestFit="1" customWidth="1"/>
    <col min="25" max="25" width="13.875" bestFit="1" customWidth="1"/>
    <col min="26" max="26" width="15" bestFit="1" customWidth="1"/>
    <col min="27" max="27" width="17" customWidth="1"/>
    <col min="28" max="28" width="58.5" bestFit="1" customWidth="1"/>
  </cols>
  <sheetData>
    <row r="1" spans="1:28" x14ac:dyDescent="0.3">
      <c r="A1" s="1" t="s">
        <v>0</v>
      </c>
      <c r="B1" s="64" t="s">
        <v>2</v>
      </c>
      <c r="C1" s="64" t="s">
        <v>3</v>
      </c>
      <c r="D1" s="64" t="s">
        <v>4</v>
      </c>
      <c r="E1" s="64" t="s">
        <v>5</v>
      </c>
      <c r="F1" s="64" t="s">
        <v>6</v>
      </c>
      <c r="G1" s="1" t="s">
        <v>7</v>
      </c>
      <c r="H1" s="1" t="s">
        <v>8</v>
      </c>
      <c r="I1" s="65" t="s">
        <v>9</v>
      </c>
      <c r="J1" s="66" t="s">
        <v>10</v>
      </c>
      <c r="K1" s="64" t="s">
        <v>11</v>
      </c>
      <c r="L1" s="64" t="s">
        <v>35</v>
      </c>
      <c r="M1" s="65" t="s">
        <v>12</v>
      </c>
      <c r="N1" s="64" t="s">
        <v>13</v>
      </c>
      <c r="O1" s="64" t="s">
        <v>14</v>
      </c>
      <c r="P1" s="1" t="s">
        <v>15</v>
      </c>
      <c r="Q1" s="1" t="s">
        <v>16</v>
      </c>
      <c r="R1" s="1" t="s">
        <v>17</v>
      </c>
      <c r="S1" s="65" t="s">
        <v>18</v>
      </c>
      <c r="T1" s="65" t="s">
        <v>19</v>
      </c>
      <c r="U1" s="65" t="s">
        <v>156</v>
      </c>
      <c r="V1" s="64" t="s">
        <v>20</v>
      </c>
      <c r="W1" s="64" t="s">
        <v>21</v>
      </c>
      <c r="X1" s="65" t="s">
        <v>30</v>
      </c>
      <c r="Y1" s="64" t="s">
        <v>157</v>
      </c>
      <c r="Z1" s="64" t="s">
        <v>158</v>
      </c>
      <c r="AA1" s="1" t="s">
        <v>22</v>
      </c>
      <c r="AB1" s="2" t="s">
        <v>23</v>
      </c>
    </row>
    <row r="2" spans="1:28" x14ac:dyDescent="0.3">
      <c r="A2" s="1" t="s">
        <v>24</v>
      </c>
      <c r="B2" s="1" t="s">
        <v>151</v>
      </c>
      <c r="C2" s="1" t="s">
        <v>25</v>
      </c>
      <c r="D2" s="1" t="s">
        <v>163</v>
      </c>
      <c r="E2" s="1" t="s">
        <v>162</v>
      </c>
      <c r="F2" s="1" t="s">
        <v>26</v>
      </c>
      <c r="G2" s="1">
        <v>2</v>
      </c>
      <c r="H2" s="1">
        <v>8</v>
      </c>
      <c r="I2" s="1" t="s">
        <v>29</v>
      </c>
      <c r="J2" s="4" t="s">
        <v>37</v>
      </c>
      <c r="K2" s="1" t="s">
        <v>27</v>
      </c>
      <c r="L2" s="1" t="s">
        <v>36</v>
      </c>
      <c r="M2" s="1" t="str">
        <f>표1[[#This Row],[Name]]&amp;"-OSDisk"</f>
        <v>PRDWEB01-OSDisk</v>
      </c>
      <c r="N2" s="1">
        <v>200</v>
      </c>
      <c r="O2" s="1" t="s">
        <v>155</v>
      </c>
      <c r="P2" s="1" t="s">
        <v>164</v>
      </c>
      <c r="Q2" s="1">
        <v>256</v>
      </c>
      <c r="R2" s="1" t="s">
        <v>155</v>
      </c>
      <c r="S2" s="1" t="str">
        <f>표1[[#This Row],[Name]]&amp;"-Nic"</f>
        <v>PRDWEB01-Nic</v>
      </c>
      <c r="T2" s="1" t="b">
        <v>1</v>
      </c>
      <c r="U2" s="1" t="s">
        <v>105</v>
      </c>
      <c r="V2" s="1" t="s">
        <v>116</v>
      </c>
      <c r="W2" s="1" t="s">
        <v>128</v>
      </c>
      <c r="X2" s="1">
        <v>1</v>
      </c>
      <c r="Y2" s="1" t="s">
        <v>105</v>
      </c>
      <c r="Z2" s="1" t="s">
        <v>145</v>
      </c>
      <c r="AA2" s="1"/>
      <c r="AB2" s="2"/>
    </row>
    <row r="3" spans="1:28" x14ac:dyDescent="0.3">
      <c r="A3" s="1" t="s">
        <v>24</v>
      </c>
      <c r="B3" s="1" t="s">
        <v>151</v>
      </c>
      <c r="C3" s="1" t="s">
        <v>25</v>
      </c>
      <c r="D3" s="1" t="s">
        <v>165</v>
      </c>
      <c r="E3" s="1" t="s">
        <v>166</v>
      </c>
      <c r="F3" s="1" t="s">
        <v>26</v>
      </c>
      <c r="G3" s="1">
        <v>2</v>
      </c>
      <c r="H3" s="1">
        <v>8</v>
      </c>
      <c r="I3" s="1" t="s">
        <v>29</v>
      </c>
      <c r="J3" s="4" t="s">
        <v>37</v>
      </c>
      <c r="K3" s="1" t="s">
        <v>27</v>
      </c>
      <c r="L3" s="1" t="s">
        <v>36</v>
      </c>
      <c r="M3" s="1" t="str">
        <f>표1[[#This Row],[Name]]&amp;"-OSDisk"</f>
        <v>PRDWEB02-OSDisk</v>
      </c>
      <c r="N3" s="1">
        <v>200</v>
      </c>
      <c r="O3" s="1" t="s">
        <v>155</v>
      </c>
      <c r="P3" s="1"/>
      <c r="Q3" s="1"/>
      <c r="R3" s="1"/>
      <c r="S3" s="1" t="str">
        <f>표1[[#This Row],[Name]]&amp;"-Nic"</f>
        <v>PRDWEB02-Nic</v>
      </c>
      <c r="T3" s="1" t="b">
        <v>1</v>
      </c>
      <c r="U3" s="1" t="s">
        <v>105</v>
      </c>
      <c r="V3" s="1" t="s">
        <v>116</v>
      </c>
      <c r="W3" s="1" t="s">
        <v>128</v>
      </c>
      <c r="X3" s="1">
        <v>1</v>
      </c>
      <c r="Y3" s="1" t="s">
        <v>105</v>
      </c>
      <c r="Z3" s="1" t="s">
        <v>145</v>
      </c>
      <c r="AA3" s="1"/>
      <c r="AB3" s="2"/>
    </row>
    <row r="4" spans="1:28" x14ac:dyDescent="0.3">
      <c r="A4" s="1" t="s">
        <v>24</v>
      </c>
      <c r="B4" s="1" t="s">
        <v>108</v>
      </c>
      <c r="C4" s="1" t="s">
        <v>25</v>
      </c>
      <c r="D4" s="1" t="s">
        <v>152</v>
      </c>
      <c r="E4" s="1" t="s">
        <v>153</v>
      </c>
      <c r="F4" s="1" t="s">
        <v>26</v>
      </c>
      <c r="G4" s="1">
        <v>2</v>
      </c>
      <c r="H4" s="1">
        <v>8</v>
      </c>
      <c r="I4" s="1" t="s">
        <v>29</v>
      </c>
      <c r="J4" s="4" t="s">
        <v>154</v>
      </c>
      <c r="K4" s="1" t="s">
        <v>27</v>
      </c>
      <c r="L4" s="1" t="s">
        <v>36</v>
      </c>
      <c r="M4" s="1" t="str">
        <f>표1[[#This Row],[Name]]&amp;"-OSDisk"</f>
        <v>PRDAPP01-OSDisk</v>
      </c>
      <c r="N4" s="1">
        <v>127</v>
      </c>
      <c r="O4" s="1" t="s">
        <v>160</v>
      </c>
      <c r="P4" s="1" t="s">
        <v>161</v>
      </c>
      <c r="Q4" s="1">
        <v>256</v>
      </c>
      <c r="R4" s="1" t="s">
        <v>160</v>
      </c>
      <c r="S4" s="1" t="str">
        <f>표1[[#This Row],[Name]]&amp;"-Nic"</f>
        <v>PRDAPP01-Nic</v>
      </c>
      <c r="T4" s="1" t="b">
        <v>1</v>
      </c>
      <c r="U4" s="1" t="s">
        <v>105</v>
      </c>
      <c r="V4" s="1" t="s">
        <v>116</v>
      </c>
      <c r="W4" s="1" t="s">
        <v>130</v>
      </c>
      <c r="X4" s="2">
        <v>1</v>
      </c>
      <c r="Y4" s="1" t="s">
        <v>105</v>
      </c>
      <c r="Z4" s="1" t="s">
        <v>145</v>
      </c>
      <c r="AA4" s="1"/>
      <c r="AB4" s="2"/>
    </row>
    <row r="5" spans="1:28" ht="17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2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dimension ref="A1:H6"/>
  <sheetViews>
    <sheetView workbookViewId="0">
      <selection activeCell="D4" sqref="D4"/>
    </sheetView>
  </sheetViews>
  <sheetFormatPr defaultRowHeight="16.5" x14ac:dyDescent="0.3"/>
  <cols>
    <col min="3" max="3" width="17.25" bestFit="1" customWidth="1"/>
    <col min="4" max="4" width="15.875" bestFit="1" customWidth="1"/>
    <col min="5" max="5" width="20" bestFit="1" customWidth="1"/>
    <col min="6" max="6" width="18.5" bestFit="1" customWidth="1"/>
    <col min="7" max="7" width="18" customWidth="1"/>
  </cols>
  <sheetData>
    <row r="1" spans="1:8" x14ac:dyDescent="0.3">
      <c r="A1" s="5" t="s">
        <v>0</v>
      </c>
      <c r="B1" s="10" t="s">
        <v>1</v>
      </c>
      <c r="C1" s="11" t="s">
        <v>47</v>
      </c>
      <c r="D1" s="12" t="s">
        <v>50</v>
      </c>
      <c r="E1" s="12" t="s">
        <v>51</v>
      </c>
      <c r="F1" s="11" t="s">
        <v>40</v>
      </c>
      <c r="G1" s="10" t="s">
        <v>41</v>
      </c>
      <c r="H1" s="11" t="s">
        <v>52</v>
      </c>
    </row>
    <row r="2" spans="1:8" x14ac:dyDescent="0.3">
      <c r="A2" s="6" t="s">
        <v>24</v>
      </c>
      <c r="B2" s="6" t="s">
        <v>38</v>
      </c>
      <c r="C2" s="6" t="s">
        <v>28</v>
      </c>
      <c r="D2" s="6" t="str">
        <f>IF(H2="O",G2&amp;"-NSG",F2&amp;"-NSG")</f>
        <v>Linux-001-nic-NSG</v>
      </c>
      <c r="E2" s="6" t="s">
        <v>31</v>
      </c>
      <c r="F2" s="6"/>
      <c r="G2" s="6" t="s">
        <v>42</v>
      </c>
      <c r="H2" s="7" t="s">
        <v>49</v>
      </c>
    </row>
    <row r="3" spans="1:8" x14ac:dyDescent="0.3">
      <c r="A3" s="8" t="s">
        <v>24</v>
      </c>
      <c r="B3" s="8" t="s">
        <v>38</v>
      </c>
      <c r="C3" s="8" t="s">
        <v>28</v>
      </c>
      <c r="D3" s="8" t="str">
        <f t="shared" ref="D3:D5" si="0">IF(H3="O",G3&amp;"-NSG",F3&amp;"-NSG")</f>
        <v>Linux-002-nic-NSG</v>
      </c>
      <c r="E3" s="8" t="s">
        <v>31</v>
      </c>
      <c r="F3" s="8"/>
      <c r="G3" s="8" t="s">
        <v>48</v>
      </c>
      <c r="H3" s="9" t="s">
        <v>49</v>
      </c>
    </row>
    <row r="4" spans="1:8" x14ac:dyDescent="0.3">
      <c r="A4" s="6" t="s">
        <v>24</v>
      </c>
      <c r="B4" s="6" t="s">
        <v>39</v>
      </c>
      <c r="C4" s="6" t="s">
        <v>43</v>
      </c>
      <c r="D4" s="6" t="str">
        <f t="shared" si="0"/>
        <v>WEB2-Subnet-NSG</v>
      </c>
      <c r="E4" s="6" t="s">
        <v>31</v>
      </c>
      <c r="F4" s="6" t="s">
        <v>32</v>
      </c>
      <c r="G4" s="6"/>
      <c r="H4" s="7" t="s">
        <v>53</v>
      </c>
    </row>
    <row r="5" spans="1:8" x14ac:dyDescent="0.3">
      <c r="A5" s="8" t="s">
        <v>24</v>
      </c>
      <c r="B5" s="8" t="s">
        <v>44</v>
      </c>
      <c r="C5" s="8" t="s">
        <v>46</v>
      </c>
      <c r="D5" s="8" t="str">
        <f t="shared" si="0"/>
        <v>WEB3-Subnet-NSG</v>
      </c>
      <c r="E5" s="8" t="s">
        <v>31</v>
      </c>
      <c r="F5" s="8" t="s">
        <v>45</v>
      </c>
      <c r="G5" s="8"/>
      <c r="H5" s="9" t="s">
        <v>53</v>
      </c>
    </row>
    <row r="6" spans="1:8" x14ac:dyDescent="0.3">
      <c r="A6" s="8" t="s">
        <v>24</v>
      </c>
      <c r="B6" s="8" t="s">
        <v>44</v>
      </c>
      <c r="C6" s="8" t="s">
        <v>46</v>
      </c>
      <c r="D6" s="8" t="str">
        <f t="shared" ref="D6" si="1">IF(H6="O",G6&amp;"-NSG",F6&amp;"-NSG")</f>
        <v>WEB4-Subnet-NSG</v>
      </c>
      <c r="E6" s="8" t="s">
        <v>31</v>
      </c>
      <c r="F6" s="8" t="s">
        <v>99</v>
      </c>
      <c r="G6" s="8"/>
      <c r="H6" s="9" t="s">
        <v>53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C1" workbookViewId="0">
      <selection activeCell="A20" sqref="A20:M27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3" bestFit="1" customWidth="1"/>
    <col min="10" max="10" width="9" style="3"/>
    <col min="11" max="11" width="19" style="3" bestFit="1" customWidth="1"/>
    <col min="12" max="12" width="13.625" style="3" bestFit="1" customWidth="1"/>
    <col min="13" max="13" width="23.625" bestFit="1" customWidth="1"/>
  </cols>
  <sheetData>
    <row r="1" spans="1:16" ht="17.25" thickBot="1" x14ac:dyDescent="0.35">
      <c r="A1" s="5" t="s">
        <v>0</v>
      </c>
      <c r="B1" s="10" t="s">
        <v>1</v>
      </c>
      <c r="C1" s="12" t="s">
        <v>50</v>
      </c>
      <c r="D1" s="12" t="s">
        <v>54</v>
      </c>
      <c r="E1" s="11" t="s">
        <v>55</v>
      </c>
      <c r="F1" s="12" t="s">
        <v>61</v>
      </c>
      <c r="G1" s="10" t="s">
        <v>56</v>
      </c>
      <c r="H1" s="17" t="s">
        <v>73</v>
      </c>
      <c r="I1" s="41" t="s">
        <v>74</v>
      </c>
      <c r="J1" s="41" t="s">
        <v>75</v>
      </c>
      <c r="K1" s="41" t="s">
        <v>76</v>
      </c>
      <c r="L1" s="41" t="s">
        <v>77</v>
      </c>
      <c r="M1" s="17" t="s">
        <v>23</v>
      </c>
    </row>
    <row r="2" spans="1:16" x14ac:dyDescent="0.3">
      <c r="A2" s="20" t="s">
        <v>24</v>
      </c>
      <c r="B2" s="21" t="s">
        <v>38</v>
      </c>
      <c r="C2" s="21" t="s">
        <v>57</v>
      </c>
      <c r="D2" s="21">
        <v>100</v>
      </c>
      <c r="E2" s="21" t="s">
        <v>71</v>
      </c>
      <c r="F2" s="21" t="s">
        <v>62</v>
      </c>
      <c r="G2" s="21" t="s">
        <v>65</v>
      </c>
      <c r="H2" s="21" t="s">
        <v>78</v>
      </c>
      <c r="I2" s="42" t="s">
        <v>94</v>
      </c>
      <c r="J2" s="42" t="s">
        <v>79</v>
      </c>
      <c r="K2" s="42" t="s">
        <v>33</v>
      </c>
      <c r="L2" s="42">
        <v>22</v>
      </c>
      <c r="M2" s="35" t="s">
        <v>83</v>
      </c>
    </row>
    <row r="3" spans="1:16" x14ac:dyDescent="0.3">
      <c r="A3" s="22" t="s">
        <v>24</v>
      </c>
      <c r="B3" s="6" t="s">
        <v>38</v>
      </c>
      <c r="C3" s="6" t="s">
        <v>57</v>
      </c>
      <c r="D3" s="6">
        <v>110</v>
      </c>
      <c r="E3" s="6" t="s">
        <v>70</v>
      </c>
      <c r="F3" s="6" t="s">
        <v>62</v>
      </c>
      <c r="G3" s="6" t="s">
        <v>65</v>
      </c>
      <c r="H3" s="6" t="s">
        <v>78</v>
      </c>
      <c r="I3" s="43" t="s">
        <v>79</v>
      </c>
      <c r="J3" s="43" t="s">
        <v>95</v>
      </c>
      <c r="K3" s="43" t="s">
        <v>92</v>
      </c>
      <c r="L3" s="43">
        <v>80</v>
      </c>
      <c r="M3" s="36" t="s">
        <v>84</v>
      </c>
    </row>
    <row r="4" spans="1:16" x14ac:dyDescent="0.3">
      <c r="A4" s="23" t="s">
        <v>24</v>
      </c>
      <c r="B4" s="14" t="s">
        <v>38</v>
      </c>
      <c r="C4" s="14" t="s">
        <v>57</v>
      </c>
      <c r="D4" s="14">
        <v>4095</v>
      </c>
      <c r="E4" s="14" t="s">
        <v>69</v>
      </c>
      <c r="F4" s="14" t="s">
        <v>62</v>
      </c>
      <c r="G4" s="14" t="s">
        <v>65</v>
      </c>
      <c r="H4" s="14" t="s">
        <v>80</v>
      </c>
      <c r="I4" s="44" t="s">
        <v>81</v>
      </c>
      <c r="J4" s="44" t="s">
        <v>79</v>
      </c>
      <c r="K4" s="44" t="s">
        <v>79</v>
      </c>
      <c r="L4" s="44" t="s">
        <v>79</v>
      </c>
      <c r="M4" s="37" t="s">
        <v>87</v>
      </c>
    </row>
    <row r="5" spans="1:16" x14ac:dyDescent="0.3">
      <c r="A5" s="24" t="s">
        <v>24</v>
      </c>
      <c r="B5" s="14" t="s">
        <v>38</v>
      </c>
      <c r="C5" s="14" t="s">
        <v>57</v>
      </c>
      <c r="D5" s="14">
        <v>4096</v>
      </c>
      <c r="E5" s="14" t="s">
        <v>72</v>
      </c>
      <c r="F5" s="14" t="s">
        <v>62</v>
      </c>
      <c r="G5" s="14" t="s">
        <v>64</v>
      </c>
      <c r="H5" s="14" t="s">
        <v>80</v>
      </c>
      <c r="I5" s="44" t="s">
        <v>51</v>
      </c>
      <c r="J5" s="44" t="s">
        <v>79</v>
      </c>
      <c r="K5" s="44" t="s">
        <v>51</v>
      </c>
      <c r="L5" s="44" t="s">
        <v>79</v>
      </c>
      <c r="M5" s="37" t="s">
        <v>86</v>
      </c>
    </row>
    <row r="6" spans="1:16" x14ac:dyDescent="0.3">
      <c r="A6" s="25" t="s">
        <v>24</v>
      </c>
      <c r="B6" s="18" t="s">
        <v>38</v>
      </c>
      <c r="C6" s="18" t="s">
        <v>57</v>
      </c>
      <c r="D6" s="18">
        <v>100</v>
      </c>
      <c r="E6" s="18" t="s">
        <v>67</v>
      </c>
      <c r="F6" s="18" t="s">
        <v>63</v>
      </c>
      <c r="G6" s="18" t="s">
        <v>65</v>
      </c>
      <c r="H6" s="18" t="s">
        <v>78</v>
      </c>
      <c r="I6" s="45" t="s">
        <v>33</v>
      </c>
      <c r="J6" s="45" t="s">
        <v>79</v>
      </c>
      <c r="K6" s="45" t="s">
        <v>88</v>
      </c>
      <c r="L6" s="45" t="s">
        <v>96</v>
      </c>
      <c r="M6" s="38" t="s">
        <v>90</v>
      </c>
    </row>
    <row r="7" spans="1:16" x14ac:dyDescent="0.3">
      <c r="A7" s="26" t="s">
        <v>24</v>
      </c>
      <c r="B7" s="8" t="s">
        <v>38</v>
      </c>
      <c r="C7" s="8" t="s">
        <v>57</v>
      </c>
      <c r="D7" s="8"/>
      <c r="E7" s="8"/>
      <c r="F7" s="8"/>
      <c r="G7" s="8"/>
      <c r="H7" s="8"/>
      <c r="I7" s="46"/>
      <c r="J7" s="46"/>
      <c r="K7" s="46"/>
      <c r="L7" s="46"/>
      <c r="M7" s="39"/>
    </row>
    <row r="8" spans="1:16" x14ac:dyDescent="0.3">
      <c r="A8" s="26" t="s">
        <v>24</v>
      </c>
      <c r="B8" s="8" t="s">
        <v>38</v>
      </c>
      <c r="C8" s="8" t="s">
        <v>57</v>
      </c>
      <c r="D8" s="8"/>
      <c r="E8" s="8"/>
      <c r="F8" s="8" t="s">
        <v>63</v>
      </c>
      <c r="G8" s="8"/>
      <c r="H8" s="8"/>
      <c r="I8" s="46"/>
      <c r="J8" s="46"/>
      <c r="K8" s="46"/>
      <c r="L8" s="46"/>
      <c r="M8" s="39"/>
    </row>
    <row r="9" spans="1:16" ht="17.25" thickBot="1" x14ac:dyDescent="0.35">
      <c r="A9" s="27" t="s">
        <v>24</v>
      </c>
      <c r="B9" s="28" t="s">
        <v>38</v>
      </c>
      <c r="C9" s="28" t="s">
        <v>57</v>
      </c>
      <c r="D9" s="28">
        <v>4096</v>
      </c>
      <c r="E9" s="28" t="s">
        <v>93</v>
      </c>
      <c r="F9" s="28" t="s">
        <v>63</v>
      </c>
      <c r="G9" s="28" t="s">
        <v>64</v>
      </c>
      <c r="H9" s="29" t="s">
        <v>80</v>
      </c>
      <c r="I9" s="47" t="s">
        <v>79</v>
      </c>
      <c r="J9" s="47" t="s">
        <v>79</v>
      </c>
      <c r="K9" s="47" t="s">
        <v>89</v>
      </c>
      <c r="L9" s="47" t="s">
        <v>79</v>
      </c>
      <c r="M9" s="40" t="s">
        <v>85</v>
      </c>
    </row>
    <row r="10" spans="1:16" ht="6.75" customHeight="1" x14ac:dyDescent="0.3">
      <c r="A10" s="51"/>
      <c r="B10" s="52"/>
      <c r="C10" s="52"/>
      <c r="D10" s="52"/>
      <c r="E10" s="52"/>
      <c r="F10" s="52"/>
      <c r="G10" s="52"/>
      <c r="H10" s="53"/>
      <c r="I10" s="54"/>
      <c r="J10" s="54"/>
      <c r="K10" s="54"/>
      <c r="L10" s="54"/>
      <c r="M10" s="55"/>
    </row>
    <row r="11" spans="1:16" x14ac:dyDescent="0.3">
      <c r="A11" s="19" t="s">
        <v>24</v>
      </c>
      <c r="B11" s="19" t="s">
        <v>38</v>
      </c>
      <c r="C11" s="19" t="s">
        <v>58</v>
      </c>
      <c r="D11" s="19">
        <v>100</v>
      </c>
      <c r="E11" s="19" t="s">
        <v>68</v>
      </c>
      <c r="F11" s="19" t="s">
        <v>62</v>
      </c>
      <c r="G11" s="19" t="s">
        <v>65</v>
      </c>
      <c r="H11" s="19" t="s">
        <v>78</v>
      </c>
      <c r="I11" s="48" t="s">
        <v>82</v>
      </c>
      <c r="J11" s="48" t="s">
        <v>79</v>
      </c>
      <c r="K11" s="48" t="s">
        <v>34</v>
      </c>
      <c r="L11" s="48">
        <v>22</v>
      </c>
      <c r="M11" s="19"/>
      <c r="P11" s="3"/>
    </row>
    <row r="12" spans="1:16" x14ac:dyDescent="0.3">
      <c r="A12" s="6" t="s">
        <v>24</v>
      </c>
      <c r="B12" s="6" t="s">
        <v>38</v>
      </c>
      <c r="C12" s="6" t="s">
        <v>58</v>
      </c>
      <c r="D12" s="6"/>
      <c r="E12" s="6"/>
      <c r="F12" s="6"/>
      <c r="G12" s="6"/>
      <c r="H12" s="6"/>
      <c r="I12" s="43"/>
      <c r="J12" s="43"/>
      <c r="K12" s="43"/>
      <c r="L12" s="43"/>
      <c r="M12" s="6"/>
    </row>
    <row r="13" spans="1:16" x14ac:dyDescent="0.3">
      <c r="A13" s="13" t="s">
        <v>24</v>
      </c>
      <c r="B13" s="14" t="s">
        <v>38</v>
      </c>
      <c r="C13" s="14" t="s">
        <v>58</v>
      </c>
      <c r="D13" s="14">
        <v>4095</v>
      </c>
      <c r="E13" s="14" t="s">
        <v>69</v>
      </c>
      <c r="F13" s="14" t="s">
        <v>62</v>
      </c>
      <c r="G13" s="14" t="s">
        <v>65</v>
      </c>
      <c r="H13" s="14" t="s">
        <v>80</v>
      </c>
      <c r="I13" s="44" t="s">
        <v>81</v>
      </c>
      <c r="J13" s="44" t="s">
        <v>79</v>
      </c>
      <c r="K13" s="44" t="s">
        <v>79</v>
      </c>
      <c r="L13" s="44" t="s">
        <v>79</v>
      </c>
      <c r="M13" s="37" t="s">
        <v>87</v>
      </c>
    </row>
    <row r="14" spans="1:16" x14ac:dyDescent="0.3">
      <c r="A14" s="14" t="s">
        <v>24</v>
      </c>
      <c r="B14" s="14" t="s">
        <v>38</v>
      </c>
      <c r="C14" s="14" t="s">
        <v>58</v>
      </c>
      <c r="D14" s="14">
        <v>4096</v>
      </c>
      <c r="E14" s="14" t="s">
        <v>72</v>
      </c>
      <c r="F14" s="14" t="s">
        <v>62</v>
      </c>
      <c r="G14" s="14" t="s">
        <v>64</v>
      </c>
      <c r="H14" s="14" t="s">
        <v>80</v>
      </c>
      <c r="I14" s="44" t="s">
        <v>51</v>
      </c>
      <c r="J14" s="44" t="s">
        <v>79</v>
      </c>
      <c r="K14" s="44" t="s">
        <v>51</v>
      </c>
      <c r="L14" s="44" t="s">
        <v>79</v>
      </c>
      <c r="M14" s="14" t="s">
        <v>86</v>
      </c>
    </row>
    <row r="15" spans="1:16" x14ac:dyDescent="0.3">
      <c r="A15" s="8" t="s">
        <v>24</v>
      </c>
      <c r="B15" s="8" t="s">
        <v>38</v>
      </c>
      <c r="C15" s="8" t="s">
        <v>58</v>
      </c>
      <c r="D15" s="8"/>
      <c r="E15" s="8"/>
      <c r="F15" s="8" t="s">
        <v>63</v>
      </c>
      <c r="G15" s="8"/>
      <c r="H15" s="18"/>
      <c r="I15" s="45"/>
      <c r="J15" s="45"/>
      <c r="K15" s="45"/>
      <c r="L15" s="45"/>
      <c r="M15" s="18"/>
    </row>
    <row r="16" spans="1:16" x14ac:dyDescent="0.3">
      <c r="A16" s="8" t="s">
        <v>24</v>
      </c>
      <c r="B16" s="8" t="s">
        <v>38</v>
      </c>
      <c r="C16" s="8" t="s">
        <v>58</v>
      </c>
      <c r="D16" s="8"/>
      <c r="E16" s="8"/>
      <c r="F16" s="8" t="s">
        <v>63</v>
      </c>
      <c r="G16" s="8"/>
      <c r="H16" s="8"/>
      <c r="I16" s="46"/>
      <c r="J16" s="46"/>
      <c r="K16" s="46"/>
      <c r="L16" s="46"/>
      <c r="M16" s="8"/>
    </row>
    <row r="17" spans="1:13" x14ac:dyDescent="0.3">
      <c r="A17" s="8" t="s">
        <v>24</v>
      </c>
      <c r="B17" s="8" t="s">
        <v>38</v>
      </c>
      <c r="C17" s="8" t="s">
        <v>58</v>
      </c>
      <c r="D17" s="8"/>
      <c r="E17" s="8"/>
      <c r="F17" s="8" t="s">
        <v>63</v>
      </c>
      <c r="G17" s="8"/>
      <c r="H17" s="8"/>
      <c r="I17" s="46"/>
      <c r="J17" s="46"/>
      <c r="K17" s="46"/>
      <c r="L17" s="46"/>
      <c r="M17" s="8"/>
    </row>
    <row r="18" spans="1:13" x14ac:dyDescent="0.3">
      <c r="A18" s="30" t="s">
        <v>24</v>
      </c>
      <c r="B18" s="30" t="s">
        <v>38</v>
      </c>
      <c r="C18" s="30" t="s">
        <v>58</v>
      </c>
      <c r="D18" s="31">
        <v>4096</v>
      </c>
      <c r="E18" s="31" t="s">
        <v>93</v>
      </c>
      <c r="F18" s="30" t="s">
        <v>63</v>
      </c>
      <c r="G18" s="31" t="s">
        <v>64</v>
      </c>
      <c r="H18" s="32" t="s">
        <v>80</v>
      </c>
      <c r="I18" s="49" t="s">
        <v>79</v>
      </c>
      <c r="J18" s="49" t="s">
        <v>79</v>
      </c>
      <c r="K18" s="49" t="s">
        <v>89</v>
      </c>
      <c r="L18" s="49" t="s">
        <v>79</v>
      </c>
      <c r="M18" s="31" t="s">
        <v>85</v>
      </c>
    </row>
    <row r="19" spans="1:13" ht="6.75" customHeight="1" thickBot="1" x14ac:dyDescent="0.35">
      <c r="A19" s="51"/>
      <c r="B19" s="52"/>
      <c r="C19" s="52"/>
      <c r="D19" s="52"/>
      <c r="E19" s="52"/>
      <c r="F19" s="52"/>
      <c r="G19" s="52"/>
      <c r="H19" s="53"/>
      <c r="I19" s="54"/>
      <c r="J19" s="54"/>
      <c r="K19" s="54"/>
      <c r="L19" s="54"/>
      <c r="M19" s="55"/>
    </row>
    <row r="20" spans="1:13" x14ac:dyDescent="0.3">
      <c r="A20" s="20" t="s">
        <v>24</v>
      </c>
      <c r="B20" s="21" t="s">
        <v>39</v>
      </c>
      <c r="C20" s="21" t="s">
        <v>59</v>
      </c>
      <c r="D20" s="21">
        <v>150</v>
      </c>
      <c r="E20" s="21" t="s">
        <v>71</v>
      </c>
      <c r="F20" s="21" t="s">
        <v>62</v>
      </c>
      <c r="G20" s="21" t="s">
        <v>65</v>
      </c>
      <c r="H20" s="21" t="s">
        <v>78</v>
      </c>
      <c r="I20" s="42" t="s">
        <v>94</v>
      </c>
      <c r="J20" s="42" t="s">
        <v>79</v>
      </c>
      <c r="K20" s="42" t="s">
        <v>33</v>
      </c>
      <c r="L20" s="42">
        <v>22</v>
      </c>
      <c r="M20" s="35" t="s">
        <v>83</v>
      </c>
    </row>
    <row r="21" spans="1:13" x14ac:dyDescent="0.3">
      <c r="A21" s="22" t="s">
        <v>24</v>
      </c>
      <c r="B21" s="6" t="s">
        <v>39</v>
      </c>
      <c r="C21" s="6" t="s">
        <v>59</v>
      </c>
      <c r="D21" s="6">
        <v>160</v>
      </c>
      <c r="E21" s="6" t="s">
        <v>66</v>
      </c>
      <c r="F21" s="6" t="s">
        <v>62</v>
      </c>
      <c r="G21" s="6" t="s">
        <v>65</v>
      </c>
      <c r="H21" s="6" t="s">
        <v>78</v>
      </c>
      <c r="I21" s="43" t="s">
        <v>79</v>
      </c>
      <c r="J21" s="43" t="s">
        <v>79</v>
      </c>
      <c r="K21" s="43" t="s">
        <v>34</v>
      </c>
      <c r="L21" s="43" t="s">
        <v>98</v>
      </c>
      <c r="M21" s="36"/>
    </row>
    <row r="22" spans="1:13" x14ac:dyDescent="0.3">
      <c r="A22" s="23" t="s">
        <v>24</v>
      </c>
      <c r="B22" s="14" t="s">
        <v>38</v>
      </c>
      <c r="C22" s="14" t="s">
        <v>59</v>
      </c>
      <c r="D22" s="14">
        <v>4095</v>
      </c>
      <c r="E22" s="14" t="s">
        <v>69</v>
      </c>
      <c r="F22" s="14" t="s">
        <v>62</v>
      </c>
      <c r="G22" s="14" t="s">
        <v>65</v>
      </c>
      <c r="H22" s="14" t="s">
        <v>80</v>
      </c>
      <c r="I22" s="44" t="s">
        <v>81</v>
      </c>
      <c r="J22" s="44" t="s">
        <v>79</v>
      </c>
      <c r="K22" s="44" t="s">
        <v>79</v>
      </c>
      <c r="L22" s="44" t="s">
        <v>79</v>
      </c>
      <c r="M22" s="37" t="s">
        <v>87</v>
      </c>
    </row>
    <row r="23" spans="1:13" x14ac:dyDescent="0.3">
      <c r="A23" s="24" t="s">
        <v>24</v>
      </c>
      <c r="B23" s="14" t="s">
        <v>38</v>
      </c>
      <c r="C23" s="14" t="s">
        <v>59</v>
      </c>
      <c r="D23" s="14">
        <v>4096</v>
      </c>
      <c r="E23" s="14" t="s">
        <v>72</v>
      </c>
      <c r="F23" s="14" t="s">
        <v>62</v>
      </c>
      <c r="G23" s="14" t="s">
        <v>64</v>
      </c>
      <c r="H23" s="14" t="s">
        <v>80</v>
      </c>
      <c r="I23" s="44" t="s">
        <v>51</v>
      </c>
      <c r="J23" s="44" t="s">
        <v>79</v>
      </c>
      <c r="K23" s="44" t="s">
        <v>51</v>
      </c>
      <c r="L23" s="44" t="s">
        <v>79</v>
      </c>
      <c r="M23" s="37" t="s">
        <v>86</v>
      </c>
    </row>
    <row r="24" spans="1:13" x14ac:dyDescent="0.3">
      <c r="A24" s="26" t="s">
        <v>24</v>
      </c>
      <c r="B24" s="8" t="s">
        <v>39</v>
      </c>
      <c r="C24" s="8" t="s">
        <v>59</v>
      </c>
      <c r="D24" s="8"/>
      <c r="E24" s="8"/>
      <c r="F24" s="8" t="s">
        <v>63</v>
      </c>
      <c r="G24" s="8"/>
      <c r="H24" s="18"/>
      <c r="I24" s="45"/>
      <c r="J24" s="45"/>
      <c r="K24" s="45"/>
      <c r="L24" s="45"/>
      <c r="M24" s="38"/>
    </row>
    <row r="25" spans="1:13" x14ac:dyDescent="0.3">
      <c r="A25" s="26" t="s">
        <v>24</v>
      </c>
      <c r="B25" s="8" t="s">
        <v>39</v>
      </c>
      <c r="C25" s="8" t="s">
        <v>59</v>
      </c>
      <c r="D25" s="8"/>
      <c r="E25" s="8"/>
      <c r="F25" s="8" t="s">
        <v>63</v>
      </c>
      <c r="G25" s="8"/>
      <c r="H25" s="8"/>
      <c r="I25" s="46"/>
      <c r="J25" s="46"/>
      <c r="K25" s="46"/>
      <c r="L25" s="46"/>
      <c r="M25" s="39"/>
    </row>
    <row r="26" spans="1:13" x14ac:dyDescent="0.3">
      <c r="A26" s="26" t="s">
        <v>24</v>
      </c>
      <c r="B26" s="8" t="s">
        <v>39</v>
      </c>
      <c r="C26" s="8" t="s">
        <v>59</v>
      </c>
      <c r="D26" s="8"/>
      <c r="E26" s="8"/>
      <c r="F26" s="8" t="s">
        <v>63</v>
      </c>
      <c r="G26" s="8"/>
      <c r="H26" s="8"/>
      <c r="I26" s="46"/>
      <c r="J26" s="46"/>
      <c r="K26" s="46"/>
      <c r="L26" s="46"/>
      <c r="M26" s="39"/>
    </row>
    <row r="27" spans="1:13" ht="17.25" thickBot="1" x14ac:dyDescent="0.35">
      <c r="A27" s="33" t="s">
        <v>24</v>
      </c>
      <c r="B27" s="34" t="s">
        <v>39</v>
      </c>
      <c r="C27" s="34" t="s">
        <v>59</v>
      </c>
      <c r="D27" s="28">
        <v>4096</v>
      </c>
      <c r="E27" s="28" t="s">
        <v>93</v>
      </c>
      <c r="F27" s="34" t="s">
        <v>63</v>
      </c>
      <c r="G27" s="28" t="s">
        <v>64</v>
      </c>
      <c r="H27" s="29" t="s">
        <v>80</v>
      </c>
      <c r="I27" s="47" t="s">
        <v>79</v>
      </c>
      <c r="J27" s="47" t="s">
        <v>79</v>
      </c>
      <c r="K27" s="47" t="s">
        <v>89</v>
      </c>
      <c r="L27" s="47" t="s">
        <v>79</v>
      </c>
      <c r="M27" s="40" t="s">
        <v>85</v>
      </c>
    </row>
    <row r="28" spans="1:13" ht="6.75" customHeight="1" x14ac:dyDescent="0.3">
      <c r="A28" s="51"/>
      <c r="B28" s="52"/>
      <c r="C28" s="52"/>
      <c r="D28" s="52"/>
      <c r="E28" s="52"/>
      <c r="F28" s="52"/>
      <c r="G28" s="52"/>
      <c r="H28" s="53"/>
      <c r="I28" s="54"/>
      <c r="J28" s="54"/>
      <c r="K28" s="54"/>
      <c r="L28" s="54"/>
      <c r="M28" s="55"/>
    </row>
    <row r="29" spans="1:13" x14ac:dyDescent="0.3">
      <c r="A29" s="19" t="s">
        <v>24</v>
      </c>
      <c r="B29" s="19" t="s">
        <v>44</v>
      </c>
      <c r="C29" s="19" t="s">
        <v>60</v>
      </c>
      <c r="D29" s="19"/>
      <c r="E29" s="19"/>
      <c r="F29" s="19" t="s">
        <v>62</v>
      </c>
      <c r="G29" s="19" t="s">
        <v>65</v>
      </c>
      <c r="H29" s="19"/>
      <c r="I29" s="48"/>
      <c r="J29" s="48"/>
      <c r="K29" s="48"/>
      <c r="L29" s="48"/>
      <c r="M29" s="19"/>
    </row>
    <row r="30" spans="1:13" x14ac:dyDescent="0.3">
      <c r="A30" s="6" t="s">
        <v>24</v>
      </c>
      <c r="B30" s="6" t="s">
        <v>44</v>
      </c>
      <c r="C30" s="6" t="s">
        <v>60</v>
      </c>
      <c r="D30" s="6"/>
      <c r="E30" s="6"/>
      <c r="F30" s="6" t="s">
        <v>62</v>
      </c>
      <c r="G30" s="6" t="s">
        <v>65</v>
      </c>
      <c r="H30" s="6"/>
      <c r="I30" s="43"/>
      <c r="J30" s="43"/>
      <c r="K30" s="43"/>
      <c r="L30" s="43"/>
      <c r="M30" s="6"/>
    </row>
    <row r="31" spans="1:13" x14ac:dyDescent="0.3">
      <c r="A31" s="13" t="s">
        <v>24</v>
      </c>
      <c r="B31" s="14" t="s">
        <v>38</v>
      </c>
      <c r="C31" s="14" t="s">
        <v>60</v>
      </c>
      <c r="D31" s="14">
        <v>4095</v>
      </c>
      <c r="E31" s="14" t="s">
        <v>69</v>
      </c>
      <c r="F31" s="14" t="s">
        <v>62</v>
      </c>
      <c r="G31" s="14" t="s">
        <v>65</v>
      </c>
      <c r="H31" s="14" t="s">
        <v>80</v>
      </c>
      <c r="I31" s="44" t="s">
        <v>81</v>
      </c>
      <c r="J31" s="44" t="s">
        <v>79</v>
      </c>
      <c r="K31" s="44" t="s">
        <v>79</v>
      </c>
      <c r="L31" s="44" t="s">
        <v>79</v>
      </c>
      <c r="M31" s="37" t="s">
        <v>87</v>
      </c>
    </row>
    <row r="32" spans="1:13" x14ac:dyDescent="0.3">
      <c r="A32" s="14" t="s">
        <v>24</v>
      </c>
      <c r="B32" s="14" t="s">
        <v>38</v>
      </c>
      <c r="C32" s="14" t="s">
        <v>60</v>
      </c>
      <c r="D32" s="14">
        <v>4096</v>
      </c>
      <c r="E32" s="14" t="s">
        <v>72</v>
      </c>
      <c r="F32" s="14" t="s">
        <v>62</v>
      </c>
      <c r="G32" s="14" t="s">
        <v>64</v>
      </c>
      <c r="H32" s="14" t="s">
        <v>80</v>
      </c>
      <c r="I32" s="44" t="s">
        <v>51</v>
      </c>
      <c r="J32" s="44" t="s">
        <v>79</v>
      </c>
      <c r="K32" s="44" t="s">
        <v>51</v>
      </c>
      <c r="L32" s="44" t="s">
        <v>79</v>
      </c>
      <c r="M32" s="14" t="s">
        <v>86</v>
      </c>
    </row>
    <row r="33" spans="1:13" x14ac:dyDescent="0.3">
      <c r="A33" s="8" t="s">
        <v>24</v>
      </c>
      <c r="B33" s="8" t="s">
        <v>44</v>
      </c>
      <c r="C33" s="8" t="s">
        <v>60</v>
      </c>
      <c r="D33" s="18">
        <v>200</v>
      </c>
      <c r="E33" s="18" t="s">
        <v>67</v>
      </c>
      <c r="F33" s="18" t="s">
        <v>63</v>
      </c>
      <c r="G33" s="18" t="s">
        <v>65</v>
      </c>
      <c r="H33" s="18" t="s">
        <v>78</v>
      </c>
      <c r="I33" s="45" t="s">
        <v>91</v>
      </c>
      <c r="J33" s="45" t="s">
        <v>79</v>
      </c>
      <c r="K33" s="45" t="s">
        <v>88</v>
      </c>
      <c r="L33" s="45" t="s">
        <v>97</v>
      </c>
      <c r="M33" s="38" t="s">
        <v>90</v>
      </c>
    </row>
    <row r="34" spans="1:13" x14ac:dyDescent="0.3">
      <c r="A34" s="8" t="s">
        <v>24</v>
      </c>
      <c r="B34" s="8" t="s">
        <v>44</v>
      </c>
      <c r="C34" s="8" t="s">
        <v>60</v>
      </c>
      <c r="D34" s="8"/>
      <c r="E34" s="8"/>
      <c r="F34" s="8" t="s">
        <v>63</v>
      </c>
      <c r="G34" s="8"/>
      <c r="H34" s="8"/>
      <c r="I34" s="46"/>
      <c r="J34" s="46"/>
      <c r="K34" s="46"/>
      <c r="L34" s="46"/>
      <c r="M34" s="8"/>
    </row>
    <row r="35" spans="1:13" x14ac:dyDescent="0.3">
      <c r="A35" s="8" t="s">
        <v>24</v>
      </c>
      <c r="B35" s="8" t="s">
        <v>44</v>
      </c>
      <c r="C35" s="8" t="s">
        <v>60</v>
      </c>
      <c r="D35" s="8"/>
      <c r="E35" s="8"/>
      <c r="F35" s="8" t="s">
        <v>63</v>
      </c>
      <c r="G35" s="8"/>
      <c r="H35" s="8"/>
      <c r="I35" s="46"/>
      <c r="J35" s="46"/>
      <c r="K35" s="46"/>
      <c r="L35" s="46"/>
      <c r="M35" s="8"/>
    </row>
    <row r="36" spans="1:13" x14ac:dyDescent="0.3">
      <c r="A36" s="8" t="s">
        <v>24</v>
      </c>
      <c r="B36" s="8" t="s">
        <v>44</v>
      </c>
      <c r="C36" s="8" t="s">
        <v>60</v>
      </c>
      <c r="D36" s="16">
        <v>4096</v>
      </c>
      <c r="E36" s="16" t="s">
        <v>93</v>
      </c>
      <c r="F36" s="8" t="s">
        <v>63</v>
      </c>
      <c r="G36" s="16" t="s">
        <v>64</v>
      </c>
      <c r="H36" s="15" t="s">
        <v>80</v>
      </c>
      <c r="I36" s="50" t="s">
        <v>79</v>
      </c>
      <c r="J36" s="50" t="s">
        <v>79</v>
      </c>
      <c r="K36" s="50" t="s">
        <v>89</v>
      </c>
      <c r="L36" s="50" t="s">
        <v>79</v>
      </c>
      <c r="M36" s="16" t="s">
        <v>85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RG</vt:lpstr>
      <vt:lpstr>VNET</vt:lpstr>
      <vt:lpstr>Storage</vt:lpstr>
      <vt:lpstr>VM_PRD</vt:lpstr>
      <vt:lpstr>NSG</vt:lpstr>
      <vt:lpstr>NSG_Detail</vt:lpstr>
      <vt:lpstr>Load Balancer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2026-03-20T01:14:34Z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