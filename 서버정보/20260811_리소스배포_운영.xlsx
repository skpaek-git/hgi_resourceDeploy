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C33C7B09-1499-4FDE-B7AB-2AEF59901AE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LB_Probe!$B$1:$K$59</definedName>
    <definedName name="_xlnm._FilterDatabase" localSheetId="9" hidden="1">LB_Rule!$B$1:$S$59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4" i="2" l="1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2" i="11"/>
  <c r="G62" i="11"/>
  <c r="K62" i="11"/>
  <c r="M62" i="11"/>
  <c r="F63" i="11"/>
  <c r="G63" i="11"/>
  <c r="K63" i="11"/>
  <c r="M63" i="11"/>
  <c r="F64" i="11"/>
  <c r="G64" i="11"/>
  <c r="K64" i="11"/>
  <c r="M64" i="11"/>
  <c r="F65" i="11"/>
  <c r="G65" i="11"/>
  <c r="K65" i="11"/>
  <c r="M65" i="11"/>
  <c r="C62" i="11" a="1"/>
  <c r="C62" i="11" s="1"/>
  <c r="C63" i="11" a="1"/>
  <c r="C63" i="11" s="1"/>
  <c r="C64" i="11" a="1"/>
  <c r="C64" i="11" s="1"/>
  <c r="C65" i="11" a="1"/>
  <c r="C65" i="11" s="1"/>
  <c r="F62" i="10"/>
  <c r="F63" i="10"/>
  <c r="F64" i="10"/>
  <c r="F65" i="10"/>
  <c r="C62" i="10" a="1"/>
  <c r="C62" i="10" s="1"/>
  <c r="C63" i="10" a="1"/>
  <c r="C63" i="10" s="1"/>
  <c r="C64" i="10" a="1"/>
  <c r="C64" i="10" s="1"/>
  <c r="C65" i="10" a="1"/>
  <c r="C65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1" i="11" l="1"/>
  <c r="K61" i="11"/>
  <c r="G61" i="11"/>
  <c r="F61" i="11"/>
  <c r="C61" i="11" a="1"/>
  <c r="C61" i="11" s="1"/>
  <c r="M60" i="11"/>
  <c r="K60" i="11"/>
  <c r="G60" i="11"/>
  <c r="F60" i="11"/>
  <c r="C60" i="11" a="1"/>
  <c r="C60" i="11" s="1"/>
  <c r="F61" i="10"/>
  <c r="F60" i="10"/>
  <c r="C61" i="10" a="1"/>
  <c r="C61" i="10" s="1"/>
  <c r="C60" i="10" a="1"/>
  <c r="C60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6" i="11" a="1"/>
  <c r="C56" i="11" s="1"/>
  <c r="C57" i="11" a="1"/>
  <c r="C57" i="11" s="1"/>
  <c r="C58" i="11" a="1"/>
  <c r="C58" i="11" s="1"/>
  <c r="C59" i="11" a="1"/>
  <c r="C59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6" i="10" a="1"/>
  <c r="C56" i="10" s="1"/>
  <c r="C57" i="10" a="1"/>
  <c r="C57" i="10" s="1"/>
  <c r="C58" i="10" a="1"/>
  <c r="C58" i="10" s="1"/>
  <c r="C59" i="10" a="1"/>
  <c r="C59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7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2" i="11"/>
  <c r="G53" i="11"/>
  <c r="G54" i="11"/>
  <c r="G55" i="11"/>
  <c r="G56" i="11"/>
  <c r="G57" i="11"/>
  <c r="G58" i="11"/>
  <c r="G59" i="11"/>
  <c r="K53" i="11"/>
  <c r="K54" i="11"/>
  <c r="K55" i="11"/>
  <c r="K56" i="11"/>
  <c r="K57" i="11"/>
  <c r="K58" i="11"/>
  <c r="K59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59" i="10"/>
  <c r="F56" i="10"/>
  <c r="F11" i="10"/>
  <c r="F2" i="10"/>
  <c r="F4" i="10"/>
  <c r="F55" i="10"/>
  <c r="F48" i="10"/>
  <c r="F50" i="10"/>
  <c r="F5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<sst xmlns="http://schemas.openxmlformats.org/spreadsheetml/2006/main" count="7112" uniqueCount="1068">
  <si>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</si>
  <si>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</si>
  <si>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</si>
  <si>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</si>
  <si>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</si>
  <si>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</si>
  <si>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</si>
  <si>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</si>
  <si>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</si>
  <si>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</si>
  <si>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</si>
  <si>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</si>
  <si>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</si>
  <si>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</si>
  <si>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</si>
  <si>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</si>
  <si>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</si>
  <si>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</si>
  <si>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</si>
  <si>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</si>
  <si>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</si>
  <si>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</si>
  <si>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</si>
  <si>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</si>
  <si>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</si>
  <si>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</si>
  <si>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</si>
  <si>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</si>
  <si>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</si>
  <si>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</si>
  <si>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</si>
  <si>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</si>
  <si>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</si>
  <si>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</si>
  <si>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</si>
  <si>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</si>
  <si>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</si>
  <si>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</si>
  <si>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</si>
  <si>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</si>
  <si>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</si>
  <si>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</si>
  <si>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</si>
  <si>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</si>
  <si>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</si>
  <si>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</si>
  <si>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</si>
  <si>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</si>
  <si>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</si>
  <si>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</si>
  <si>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</si>
  <si>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</si>
  <si>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</si>
  <si>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</si>
  <si>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</si>
  <si>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</si>
  <si>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</si>
  <si>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</si>
  <si>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</si>
  <si>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</si>
  <si>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</si>
  <si>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</si>
  <si>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</si>
  <si>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</si>
  <si>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</si>
  <si>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</si>
  <si>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</si>
  <si>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</si>
  <si>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</si>
  <si>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</si>
  <si>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</si>
  <si>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</si>
  <si>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</si>
  <si>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</si>
  <si>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</si>
  <si>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</si>
  <si>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</si>
  <si>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</si>
  <si>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</si>
  <si>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</si>
  <si>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</si>
  <si>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</si>
  <si>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</si>
  <si>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</si>
  <si>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</si>
  <si>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</si>
  <si>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</si>
  <si>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</si>
  <si>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</si>
  <si>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</si>
  <si>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</si>
  <si>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</si>
  <si>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</si>
  <si>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</si>
  <si>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</si>
  <si>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</si>
  <si>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</si>
  <si>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</si>
  <si>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</si>
  <si>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</si>
  <si>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</si>
  <si>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</si>
  <si>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</si>
  <si>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</si>
  <si>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</si>
  <si>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</si>
  <si>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</si>
  <si>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</si>
  <si>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</si>
  <si>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</si>
  <si>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</si>
  <si>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</si>
  <si>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</si>
  <si>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</si>
  <si>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</si>
  <si>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</si>
  <si>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</si>
  <si>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</si>
  <si>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</si>
  <si>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</si>
  <si>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</si>
  <si>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</si>
  <si>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</si>
  <si>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</si>
  <si>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</si>
  <si>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</si>
  <si>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</si>
  <si>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</si>
  <si>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</si>
  <si>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</si>
  <si>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</si>
  <si>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</si>
  <si>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</si>
  <si>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</si>
  <si>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</si>
  <si>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</si>
  <si>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</si>
  <si>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</si>
  <si>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</si>
  <si>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</si>
  <si>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</si>
  <si>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</si>
  <si>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</si>
  <si>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</si>
  <si>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</si>
  <si>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</si>
  <si>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</si>
  <si>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</si>
  <si>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</si>
  <si>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</si>
  <si>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</si>
  <si>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</si>
  <si>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</si>
  <si>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</si>
  <si>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</si>
  <si>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</si>
  <si>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</si>
  <si>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</si>
  <si>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</si>
  <si>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</si>
  <si>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</si>
  <si>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</si>
  <si>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</si>
  <si>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</si>
  <si>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</si>
  <si>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</si>
  <si>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</si>
  <si>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</si>
  <si>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</si>
  <si>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</si>
  <si>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</si>
  <si>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</si>
  <si>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</si>
  <si>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</si>
  <si>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</si>
  <si>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</si>
  <si>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</si>
  <si>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</si>
  <si>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</si>
  <si>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</si>
  <si>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</si>
  <si>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</si>
  <si>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</si>
  <si>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</si>
  <si>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</si>
  <si>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</si>
  <si>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</si>
  <si>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</si>
  <si>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</si>
  <si>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</si>
  <si>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</si>
  <si>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</si>
  <si>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</si>
  <si>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</si>
  <si>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</si>
  <si>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</si>
  <si>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</si>
  <si>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</si>
  <si>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</si>
  <si>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</si>
  <si>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</si>
  <si>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</si>
  <si>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</si>
  <si>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</si>
  <si>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</si>
  <si>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</si>
  <si>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</si>
  <si>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</si>
  <si>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</si>
  <si>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</si>
  <si>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</si>
  <si>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</si>
  <si>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</si>
  <si>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</si>
  <si>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</si>
  <si>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</si>
  <si>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</si>
  <si>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</si>
  <si>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</si>
  <si>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</si>
  <si>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</si>
  <si>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</si>
  <si>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</si>
  <si>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</si>
  <si>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</si>
  <si>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</si>
  <si>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</si>
  <si>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</si>
  <si>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</si>
  <si>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</si>
  <si>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</si>
  <si>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</si>
  <si>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</si>
  <si>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</si>
  <si>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</si>
  <si>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</si>
  <si>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</si>
  <si>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</si>
  <si>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</si>
  <si>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</si>
  <si>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</si>
  <si>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</si>
  <si>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</si>
  <si>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</si>
  <si>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</si>
  <si>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</si>
  <si>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</si>
  <si>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</si>
  <si>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</si>
  <si>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</si>
  <si>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</si>
  <si>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</si>
  <si>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</si>
  <si>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</si>
  <si>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</si>
  <si>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</si>
  <si>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</si>
  <si>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</si>
  <si>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</si>
  <si>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</si>
  <si>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</si>
  <si>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</si>
  <si>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</si>
  <si>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</si>
  <si>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</si>
  <si>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</si>
  <si>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</si>
  <si>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</si>
  <si>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</si>
  <si>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</si>
  <si>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</si>
  <si>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</si>
  <si>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</si>
  <si>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</si>
  <si>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</si>
  <si>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</si>
  <si>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</si>
  <si>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</si>
  <si>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</si>
  <si>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</si>
  <si>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</si>
  <si>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</si>
  <si>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</si>
  <si>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</si>
  <si>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</si>
  <si>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</si>
  <si>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</si>
  <si>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</si>
  <si>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</si>
  <si>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</si>
  <si>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</si>
  <si>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</si>
  <si>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</si>
  <si>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</si>
  <si>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</si>
  <si>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</si>
  <si>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</si>
  <si>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</si>
  <si>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</si>
  <si>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</si>
  <si>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</si>
  <si>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</si>
  <si>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</si>
  <si>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</si>
  <si>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</si>
  <si>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</si>
  <si>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</si>
  <si>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</si>
  <si>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</si>
  <si>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</si>
  <si>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</si>
  <si>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</si>
  <si>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</si>
  <si>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</si>
  <si>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</si>
  <si>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</si>
  <si>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</si>
  <si>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</si>
  <si>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</si>
  <si>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</si>
  <si>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</si>
  <si>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</si>
  <si>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</si>
  <si>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</si>
  <si>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</si>
  <si>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</si>
  <si>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</si>
  <si>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</si>
  <si>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</si>
  <si>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</si>
  <si>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</si>
  <si>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</si>
  <si>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</si>
  <si>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</si>
  <si>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</si>
  <si>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</si>
  <si>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</si>
  <si>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</si>
  <si>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</si>
  <si>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</si>
  <si>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</si>
  <si>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</si>
  <si>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</si>
  <si>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</si>
  <si>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</si>
  <si>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</si>
  <si>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</si>
  <si>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</si>
  <si>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</si>
  <si>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</si>
  <si>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</si>
  <si>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</si>
  <si>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</si>
  <si>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</si>
  <si>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</si>
  <si>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</si>
  <si>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</si>
  <si>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</si>
  <si>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</si>
  <si>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</si>
  <si>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</si>
  <si>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</si>
  <si>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</si>
  <si>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</si>
  <si>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</si>
  <si>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</si>
  <si>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</si>
  <si>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</si>
  <si>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</si>
  <si>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</si>
  <si>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</si>
  <si>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</si>
  <si>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</si>
  <si>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</si>
  <si>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</si>
  <si>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</si>
  <si>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</si>
  <si>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</si>
  <si>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</si>
  <si>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</si>
  <si>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</si>
  <si>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</si>
  <si>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</si>
  <si>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</si>
  <si>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</si>
  <si>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</si>
  <si>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</si>
  <si>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</si>
  <si>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</si>
  <si>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</si>
  <si>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</si>
  <si>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</si>
  <si>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</si>
  <si>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</si>
  <si>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</si>
  <si>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</si>
  <si>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</si>
  <si>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</si>
  <si>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</si>
  <si>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</si>
  <si>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</si>
  <si>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</si>
  <si>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</si>
  <si>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</si>
  <si>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</si>
  <si>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</si>
  <si>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</si>
  <si>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</si>
  <si>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</si>
  <si>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</si>
  <si>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</si>
  <si>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</si>
  <si>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</si>
  <si>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</si>
  <si>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</si>
  <si>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</si>
  <si>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</si>
  <si>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</si>
  <si>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</si>
  <si>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</si>
  <si>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</si>
  <si>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</si>
  <si>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</si>
  <si>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</si>
  <si>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</si>
  <si>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</si>
  <si>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</si>
  <si>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</si>
  <si>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</si>
  <si>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</si>
  <si>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</si>
  <si>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</si>
  <si>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</si>
  <si>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</si>
  <si>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</si>
  <si>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</si>
  <si>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</si>
  <si>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</si>
  <si>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</si>
  <si>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</si>
  <si>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</si>
  <si>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</si>
  <si>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</si>
  <si>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</si>
  <si>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</si>
  <si>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</si>
  <si>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</si>
  <si>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</si>
  <si>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</si>
  <si>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</si>
  <si>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</si>
  <si>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</si>
  <si>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</si>
  <si>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</si>
  <si>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</si>
  <si>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</si>
  <si>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</si>
  <si>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</si>
  <si>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</si>
  <si>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</si>
  <si>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</si>
  <si>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</si>
  <si>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</si>
  <si>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</si>
  <si>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</si>
  <si>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</si>
  <si>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</si>
  <si>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</si>
  <si>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</si>
  <si>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</si>
  <si>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</si>
  <si>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</si>
  <si>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</si>
  <si>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</si>
  <si>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</si>
  <si>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</si>
  <si>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</si>
  <si>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</si>
  <si>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</si>
  <si>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</si>
  <si>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</si>
  <si>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</si>
  <si>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</si>
  <si>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</si>
  <si>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</si>
  <si>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</si>
  <si>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</si>
  <si>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</si>
  <si>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</si>
  <si>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</si>
  <si>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</si>
  <si>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</si>
  <si>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</si>
  <si>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</si>
  <si>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</si>
  <si>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</si>
  <si>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</si>
  <si>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</si>
  <si>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</si>
  <si>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</si>
  <si>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</si>
  <si>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</si>
  <si>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</si>
  <si>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</si>
  <si>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</si>
  <si>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</si>
  <si>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</si>
  <si>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</si>
  <si>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</si>
  <si>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</si>
  <si>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</si>
  <si>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</si>
  <si>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</si>
  <si>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</si>
  <si>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</si>
  <si>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</si>
  <si>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</si>
  <si>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</si>
  <si>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</si>
  <si>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</si>
  <si>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</si>
  <si>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</si>
  <si>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</si>
  <si>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</si>
  <si>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</si>
  <si>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</si>
  <si>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</si>
  <si>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</si>
  <si>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</si>
  <si>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</si>
  <si>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</si>
  <si>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</si>
  <si>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</si>
  <si>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</si>
  <si>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</si>
  <si>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</si>
  <si>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</si>
  <si>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</si>
  <si>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</si>
  <si>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</si>
  <si>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</si>
  <si>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</si>
  <si>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</si>
  <si>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</si>
  <si>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</si>
  <si>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</si>
  <si>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</si>
  <si>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</si>
  <si>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</si>
  <si>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</si>
  <si>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</si>
  <si>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</si>
  <si>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</si>
  <si>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</si>
  <si>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</si>
  <si>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</si>
  <si>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</si>
  <si>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</si>
  <si>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</si>
  <si>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</si>
  <si>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</si>
  <si>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</si>
  <si>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</si>
  <si>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</si>
  <si>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</si>
  <si>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</si>
  <si>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</si>
  <si>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</si>
  <si>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</si>
  <si>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</si>
  <si>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</si>
  <si>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</si>
  <si>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</si>
  <si>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</si>
  <si>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</si>
  <si>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</si>
  <si>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</si>
  <si>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</si>
  <si>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</si>
  <si>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</si>
  <si>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</si>
  <si>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</si>
  <si>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</si>
  <si>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</si>
  <si>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</si>
  <si>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</si>
  <si>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</si>
  <si>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</si>
  <si>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</si>
  <si>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</si>
  <si>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</si>
  <si>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</si>
  <si>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</si>
  <si>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</si>
  <si>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</si>
  <si>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</si>
  <si>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</si>
  <si>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</si>
  <si>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</si>
  <si>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</si>
  <si>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</si>
  <si>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</si>
  <si>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</si>
  <si>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</si>
  <si>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</si>
  <si>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</si>
  <si>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</si>
  <si>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</si>
  <si>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</si>
  <si>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</si>
  <si>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</si>
  <si>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</si>
  <si>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</si>
  <si>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</si>
  <si>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</si>
  <si>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</si>
  <si>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</si>
  <si>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</si>
  <si>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</si>
  <si>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</si>
  <si>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</si>
  <si>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</si>
  <si>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</si>
  <si>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</si>
  <si>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</si>
  <si>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</si>
  <si>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</si>
  <si>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</si>
  <si>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</si>
  <si>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</si>
  <si>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</si>
  <si>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</si>
  <si>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</si>
  <si>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</si>
  <si>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</si>
  <si>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</si>
  <si>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</si>
  <si>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</si>
  <si>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</si>
  <si>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</si>
  <si>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</si>
  <si>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</si>
  <si>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</si>
  <si>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</si>
  <si>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</si>
  <si>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</si>
  <si>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</si>
  <si>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</si>
  <si>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</si>
  <si>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</si>
  <si>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</si>
  <si>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</si>
  <si>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</si>
  <si>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</si>
  <si>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</si>
  <si>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</si>
  <si>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</si>
  <si>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</si>
  <si>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</si>
  <si>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</si>
  <si>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</si>
  <si>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</si>
  <si>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</si>
  <si>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</si>
  <si>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</si>
  <si>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</si>
  <si>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</si>
  <si>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</si>
  <si>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</si>
  <si>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</si>
  <si>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</si>
  <si>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</si>
  <si>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</si>
  <si>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</si>
  <si>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</si>
  <si>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</si>
  <si>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</si>
  <si>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</si>
  <si>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</si>
  <si>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</si>
  <si>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</si>
  <si>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</si>
  <si>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</si>
  <si>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</si>
  <si>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</si>
  <si>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</si>
  <si>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</si>
  <si>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</si>
  <si>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</si>
  <si>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</si>
  <si>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</si>
  <si>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</si>
  <si>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</si>
  <si>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</si>
  <si>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</si>
  <si>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</si>
  <si>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</si>
  <si>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</si>
  <si>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</si>
  <si>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</si>
  <si>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</si>
  <si>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</si>
  <si>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</si>
  <si>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</si>
  <si>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</si>
  <si>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</si>
  <si>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</si>
  <si>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</si>
  <si>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</si>
  <si>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</si>
  <si>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</si>
  <si>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</si>
  <si>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</si>
  <si>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</si>
  <si>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</si>
  <si>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</si>
  <si>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</si>
  <si>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</si>
  <si>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</si>
  <si>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</si>
  <si>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</si>
  <si>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</si>
  <si>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</si>
  <si>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</si>
  <si>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</si>
  <si>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</si>
  <si>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</si>
  <si>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</si>
  <si>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</si>
  <si>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</si>
  <si>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</si>
  <si>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</si>
  <si>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</si>
  <si>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</si>
  <si>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</si>
  <si>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</si>
  <si>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</si>
  <si>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</si>
  <si>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</si>
  <si>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</si>
  <si>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</si>
  <si>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</si>
  <si>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</si>
  <si>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</si>
  <si>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</si>
  <si>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</si>
  <si>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</si>
  <si>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</si>
  <si>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</si>
  <si>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</si>
  <si>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</si>
  <si>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</si>
  <si>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</si>
  <si>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</si>
  <si>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</si>
  <si>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</si>
  <si>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</si>
  <si>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</si>
  <si>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</si>
  <si>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</si>
  <si>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</si>
  <si>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</si>
  <si>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</si>
  <si>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</si>
  <si>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</si>
  <si>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</si>
  <si>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</si>
  <si>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</si>
  <si>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</si>
  <si>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</si>
  <si>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</si>
  <si>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</si>
  <si>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</si>
  <si>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</si>
  <si>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</si>
  <si>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</si>
  <si>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</si>
  <si>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</si>
  <si>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</si>
  <si>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</si>
  <si>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</si>
  <si>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</si>
  <si>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</si>
  <si>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</si>
  <si>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</si>
  <si>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</si>
  <si>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</si>
  <si>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</si>
  <si>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</si>
  <si>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</si>
  <si>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</si>
  <si>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</si>
  <si>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</si>
  <si>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</si>
  <si>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</si>
  <si>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</si>
  <si>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</si>
  <si>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</si>
  <si>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</si>
  <si>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</si>
  <si>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</si>
  <si>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</si>
  <si>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</si>
  <si>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</si>
  <si>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</si>
  <si>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</si>
  <si>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</si>
  <si>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</si>
  <si>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</si>
  <si>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</si>
  <si>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</si>
  <si>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</si>
  <si>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</si>
  <si>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</si>
  <si>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</si>
  <si>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</si>
  <si>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</si>
  <si>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</si>
  <si>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</si>
  <si>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</si>
  <si>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</si>
  <si>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</si>
  <si>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</si>
  <si>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</si>
  <si>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</si>
  <si>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</si>
  <si>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</si>
  <si>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</si>
  <si>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</si>
  <si>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</si>
  <si>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</si>
  <si>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</si>
  <si>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</si>
  <si>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</si>
  <si>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</si>
  <si>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</si>
  <si>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</si>
  <si>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</si>
  <si>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</si>
  <si>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</si>
  <si>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</si>
  <si>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</si>
  <si>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</si>
  <si>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</si>
  <si>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</si>
  <si>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</si>
  <si>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</si>
  <si>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</si>
  <si>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</si>
  <si>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</si>
  <si>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</si>
  <si>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</si>
  <si>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</si>
  <si>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</si>
  <si>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</si>
  <si>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</si>
  <si>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</si>
  <si>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</si>
  <si>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</si>
  <si>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</si>
  <si>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</si>
  <si>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</si>
  <si>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</si>
  <si>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</si>
  <si>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</si>
  <si>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</si>
  <si>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</si>
  <si>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</si>
  <si>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</si>
  <si>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</si>
  <si>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</si>
  <si>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</si>
  <si>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</si>
  <si>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</si>
  <si>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</si>
  <si>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</si>
  <si>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</si>
  <si>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</si>
  <si>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</si>
  <si>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</si>
  <si>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</si>
  <si>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</si>
  <si>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</si>
  <si>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</si>
  <si>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</si>
  <si>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</si>
  <si>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</si>
  <si>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</si>
  <si>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</si>
  <si>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</si>
  <si>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</si>
  <si>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</si>
  <si>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</si>
  <si>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</si>
  <si>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</si>
  <si>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</si>
  <si>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</si>
  <si>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</si>
  <si>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</si>
  <si>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</si>
  <si>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</si>
  <si>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</si>
  <si>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</si>
  <si>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</si>
  <si>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</si>
  <si>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</si>
  <si>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</si>
  <si>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</si>
  <si>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</si>
  <si>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</si>
  <si>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</si>
  <si>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</si>
  <si>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</si>
  <si>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</si>
  <si>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</si>
  <si>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</si>
  <si>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</si>
  <si>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</si>
  <si>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</si>
  <si>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</si>
  <si>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</si>
  <si>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</si>
  <si>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</si>
  <si>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</si>
  <si>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</si>
  <si>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</si>
  <si>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</si>
  <si>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</si>
  <si>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</si>
  <si>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</si>
  <si>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</si>
  <si>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</si>
  <si>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</si>
  <si>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</si>
  <si>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</si>
  <si>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</si>
  <si>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</si>
  <si>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</si>
  <si>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</si>
  <si>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</si>
  <si>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</si>
  <si>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</si>
  <si>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</si>
  <si>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</si>
  <si>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</si>
  <si>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</si>
  <si>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</si>
  <si>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</si>
  <si>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</si>
  <si>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</si>
  <si>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</si>
  <si>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</si>
  <si>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</si>
  <si>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</si>
  <si>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</si>
  <si>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</si>
  <si>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</si>
  <si>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</si>
  <si>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</si>
  <si>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</si>
  <si>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</si>
  <si>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</si>
  <si>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</si>
  <si>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</si>
  <si>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</si>
  <si>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</si>
  <si>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</si>
  <si>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</si>
  <si>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</si>
  <si>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</si>
  <si>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</si>
  <si>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</si>
  <si>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</si>
  <si>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</si>
  <si>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</si>
  <si>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</si>
  <si>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</si>
  <si>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</si>
  <si>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</si>
  <si>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</si>
  <si>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</si>
  <si>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</si>
  <si>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</si>
  <si>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</si>
  <si>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</si>
  <si>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</si>
  <si>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</si>
  <si>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</si>
  <si>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</si>
  <si>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</si>
  <si>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</si>
  <si>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</si>
  <si>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</si>
  <si>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</si>
  <si>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</si>
  <si>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</si>
  <si>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</si>
  <si>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</si>
  <si>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</si>
  <si>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</si>
  <si>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</si>
  <si>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</si>
  <si>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</si>
  <si>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</si>
  <si>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</si>
  <si>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</si>
  <si>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</si>
  <si>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</si>
  <si>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</si>
  <si>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</si>
  <si>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</si>
  <si>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</si>
  <si>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</si>
  <si>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</si>
  <si>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</si>
  <si>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</si>
  <si>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</si>
  <si>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</si>
  <si>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</si>
  <si>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</si>
  <si>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</si>
  <si>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</si>
  <si>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</si>
  <si>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</si>
  <si>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</si>
  <si>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</si>
  <si>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</si>
  <si>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</si>
  <si>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</si>
  <si>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</si>
  <si>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</si>
  <si>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</si>
  <si>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</si>
  <si>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</si>
  <si>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</si>
  <si>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</si>
  <si>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</si>
  <si>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</si>
  <si>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</si>
  <si>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</si>
  <si>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</si>
  <si>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</si>
  <si>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</si>
  <si>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</si>
  <si>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</si>
  <si>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</si>
  <si>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</si>
  <si>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</si>
  <si>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</si>
  <si>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</si>
  <si>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</si>
  <si>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</si>
  <si>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</si>
  <si>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</si>
  <si>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</si>
  <si>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</si>
  <si>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</si>
  <si>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</si>
  <si>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</si>
  <si>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</si>
  <si>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</si>
  <si>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</si>
  <si>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</si>
  <si>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</si>
  <si>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</si>
  <si>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</si>
  <si>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/subscriptions/38befed7-7726-4784-910e-0cea5422077d/resourceGroups/hazr-d-dch-rg/providers/Microsoft.Compute/galleries/temp_ertest_gallery/images/temp_ertest_vm_image/versions/0.0.2</t>
  </si>
  <si>
    <t>/subscriptions/38befed7-7726-4784-910e-0cea5422077d/resourceGroups/hazr-d-dch-rg/providers/Microsoft.Compute/galleries/temp_ertest_gallery/images/temp_ertest_vm_image/versions/0.0.2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</si>
</sst>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3" borderId="24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9" totalsRowShown="0" headerRowDxfId="32" dataDxfId="31">
  <autoFilter ref="B1:AF13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9"/>
  <sheetViews>
    <sheetView tabSelected="1" zoomScaleNormal="100" zoomScaleSheetLayoutView="100" workbookViewId="0">
      <pane xSplit="6" ySplit="1" topLeftCell="G116" activePane="bottomRight" state="frozen"/>
      <selection pane="topRight"/>
      <selection pane="bottomLeft"/>
      <selection pane="bottomRight" activeCell="D133" sqref="D133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4" t="s">
        <v>178</v>
      </c>
      <c r="M129" s="95" t="s">
        <v>992</v>
      </c>
      <c r="N129" s="98" t="s">
        <v>986</v>
      </c>
      <c r="O129" s="115" t="str">
        <f t="shared" ref="O129:O135" si="12">SUBSTITUTE(F129,"hazr-","")&amp;"-osdisk"</f>
        <v>p-dtg-bbigeoap01-osdisk</v>
      </c>
      <c r="P129" s="116">
        <v>64</v>
      </c>
      <c r="Q129" s="117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6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113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4" t="s">
        <v>178</v>
      </c>
      <c r="M131" s="95" t="s">
        <v>992</v>
      </c>
      <c r="N131" s="98" t="s">
        <v>1034</v>
      </c>
      <c r="O131" s="115" t="str">
        <f t="shared" si="12"/>
        <v>p-if-hipsap01-osdisk</v>
      </c>
      <c r="P131" s="116">
        <v>64</v>
      </c>
      <c r="Q131" s="117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6">
        <v>1</v>
      </c>
      <c r="AE131" s="95"/>
      <c r="AF131" s="95"/>
    </row>
    <row r="132" spans="1:32" x14ac:dyDescent="0.3"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4" t="s">
        <v>178</v>
      </c>
      <c r="M132" s="95" t="s">
        <v>992</v>
      </c>
      <c r="N132" s="119" t="s">
        <v>1050</v>
      </c>
      <c r="O132" s="115" t="str">
        <f t="shared" si="12"/>
        <v>p-com-esnweb01-osdisk</v>
      </c>
      <c r="P132" s="80">
        <v>64</v>
      </c>
      <c r="Q132" s="117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4" t="s">
        <v>178</v>
      </c>
      <c r="M133" s="95" t="s">
        <v>992</v>
      </c>
      <c r="N133" s="119" t="s">
        <v>1050</v>
      </c>
      <c r="O133" s="115" t="str">
        <f t="shared" si="12"/>
        <v>p-com-esnweb02-osdisk</v>
      </c>
      <c r="P133" s="80">
        <v>64</v>
      </c>
      <c r="Q133" s="117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4" t="s">
        <v>178</v>
      </c>
      <c r="M134" s="95" t="s">
        <v>992</v>
      </c>
      <c r="N134" s="119" t="s">
        <v>1050</v>
      </c>
      <c r="O134" s="115" t="str">
        <f t="shared" si="12"/>
        <v>p-com-esnap01-osdisk</v>
      </c>
      <c r="P134" s="116">
        <v>64</v>
      </c>
      <c r="Q134" s="117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4" t="s">
        <v>178</v>
      </c>
      <c r="M135" s="95" t="s">
        <v>992</v>
      </c>
      <c r="N135" s="119" t="s">
        <v>1050</v>
      </c>
      <c r="O135" s="115" t="str">
        <f t="shared" si="12"/>
        <v>p-com-esnap02-osdisk</v>
      </c>
      <c r="P135" s="80">
        <v>64</v>
      </c>
      <c r="Q135" s="117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4" t="s">
        <v>178</v>
      </c>
      <c r="M136" s="95" t="s">
        <v>992</v>
      </c>
      <c r="N136" s="119" t="s">
        <v>1066</v>
      </c>
      <c r="O136" s="115" t="str">
        <f>SUBSTITUTE(F136,"hazr-","")&amp;"-osdisk"</f>
        <v>az-p-int-host1-osdisk</v>
      </c>
      <c r="P136" s="116">
        <v>64</v>
      </c>
      <c r="Q136" s="117" t="s">
        <v>179</v>
      </c>
      <c r="R136" s="95"/>
      <c r="S136" s="95"/>
      <c r="T136" s="95"/>
      <c r="U136" s="95" t="str">
        <f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4" t="s">
        <v>178</v>
      </c>
      <c r="M137" s="95" t="s">
        <v>992</v>
      </c>
      <c r="N137" s="119" t="s">
        <v>1067</v>
      </c>
      <c r="O137" s="115" t="str">
        <f>SUBSTITUTE(F137,"hazr-","")&amp;"-osdisk"</f>
        <v>az-p-int-host2-osdisk</v>
      </c>
      <c r="P137" s="116">
        <v>64</v>
      </c>
      <c r="Q137" s="117" t="s">
        <v>179</v>
      </c>
      <c r="R137" s="95"/>
      <c r="S137" s="95"/>
      <c r="T137" s="95"/>
      <c r="U137" s="95" t="str">
        <f>SUBSTITUTE(F137,"hazr-","")&amp;"-nic"</f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4" t="s">
        <v>178</v>
      </c>
      <c r="M138" s="95" t="s">
        <v>992</v>
      </c>
      <c r="N138" s="119" t="s">
        <v>1067</v>
      </c>
      <c r="O138" s="115" t="str">
        <f>SUBSTITUTE(F138,"hazr-","")&amp;"-osdisk"</f>
        <v>az-p-int-host3-osdisk</v>
      </c>
      <c r="P138" s="116">
        <v>64</v>
      </c>
      <c r="Q138" s="117" t="s">
        <v>179</v>
      </c>
      <c r="R138" s="95"/>
      <c r="S138" s="95"/>
      <c r="T138" s="95"/>
      <c r="U138" s="95" t="str">
        <f>SUBSTITUTE(F138,"hazr-","")&amp;"-nic"</f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4" t="s">
        <v>178</v>
      </c>
      <c r="M139" s="95" t="s">
        <v>992</v>
      </c>
      <c r="N139" s="119" t="s">
        <v>1067</v>
      </c>
      <c r="O139" s="115" t="str">
        <f>SUBSTITUTE(F139,"hazr-","")&amp;"-osdisk"</f>
        <v>az-p-int-host4-osdisk</v>
      </c>
      <c r="P139" s="116">
        <v>64</v>
      </c>
      <c r="Q139" s="117" t="s">
        <v>179</v>
      </c>
      <c r="R139" s="95"/>
      <c r="S139" s="95"/>
      <c r="T139" s="95"/>
      <c r="U139" s="95" t="str">
        <f>SUBSTITUTE(F139,"hazr-","")&amp;"-nic"</f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8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E157" sqref="E157:E15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2:18" x14ac:dyDescent="0.3"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2:18" x14ac:dyDescent="0.3"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2:18" x14ac:dyDescent="0.3"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2:18" x14ac:dyDescent="0.3"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7"/>
  <sheetViews>
    <sheetView topLeftCell="A138" workbookViewId="0">
      <selection activeCell="I158" sqref="I158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B150" s="78" t="s">
        <v>23</v>
      </c>
      <c r="C150" s="120" t="str" cm="1">
        <f t="array" ref="C150">UPPER(INDEX(_xlfn.TEXTSPLIT($E150, "-"), 2))</f>
        <v>COM</v>
      </c>
      <c r="D150" s="120" t="s">
        <v>317</v>
      </c>
      <c r="E150" s="73" t="str">
        <f t="shared" si="6"/>
        <v>p-com-esnweb01-nsg</v>
      </c>
      <c r="F150" s="73" t="s">
        <v>317</v>
      </c>
      <c r="G150" s="120" t="s">
        <v>345</v>
      </c>
      <c r="H150" s="120" t="s">
        <v>1045</v>
      </c>
      <c r="I150" s="120" t="s">
        <v>1036</v>
      </c>
      <c r="J150" s="120" t="s">
        <v>1035</v>
      </c>
      <c r="K150" s="73" t="str">
        <f t="shared" si="4"/>
        <v>p-com-esnweb01-nic</v>
      </c>
      <c r="L150" s="120" t="s">
        <v>226</v>
      </c>
      <c r="M150" s="120"/>
    </row>
    <row r="151" spans="1:13" x14ac:dyDescent="0.3">
      <c r="B151" s="80" t="s">
        <v>23</v>
      </c>
      <c r="C151" s="121" t="str" cm="1">
        <f t="array" ref="C151">UPPER(INDEX(_xlfn.TEXTSPLIT($E151, "-"), 2))</f>
        <v>COM</v>
      </c>
      <c r="D151" s="121" t="s">
        <v>317</v>
      </c>
      <c r="E151" s="74" t="str">
        <f t="shared" si="6"/>
        <v>p-com-esnweb02-nsg</v>
      </c>
      <c r="F151" s="74" t="s">
        <v>317</v>
      </c>
      <c r="G151" s="121" t="s">
        <v>345</v>
      </c>
      <c r="H151" s="121" t="s">
        <v>240</v>
      </c>
      <c r="I151" s="121" t="s">
        <v>1037</v>
      </c>
      <c r="J151" s="121" t="s">
        <v>1035</v>
      </c>
      <c r="K151" s="74" t="str">
        <f t="shared" si="4"/>
        <v>p-com-esnweb02-nic</v>
      </c>
      <c r="L151" s="121" t="s">
        <v>226</v>
      </c>
      <c r="M151" s="121"/>
    </row>
    <row r="152" spans="1:13" x14ac:dyDescent="0.3">
      <c r="B152" s="78" t="s">
        <v>23</v>
      </c>
      <c r="C152" s="120" t="str" cm="1">
        <f t="array" ref="C152">UPPER(INDEX(_xlfn.TEXTSPLIT($E152, "-"), 2))</f>
        <v>COM</v>
      </c>
      <c r="D152" s="120" t="s">
        <v>317</v>
      </c>
      <c r="E152" s="73" t="str">
        <f t="shared" si="6"/>
        <v>p-com-esnap01-nsg</v>
      </c>
      <c r="F152" s="73" t="s">
        <v>317</v>
      </c>
      <c r="G152" s="120" t="s">
        <v>338</v>
      </c>
      <c r="H152" s="120" t="s">
        <v>1054</v>
      </c>
      <c r="I152" s="120" t="s">
        <v>1038</v>
      </c>
      <c r="J152" s="120" t="s">
        <v>1035</v>
      </c>
      <c r="K152" s="73" t="str">
        <f t="shared" si="4"/>
        <v>p-com-esnap01-nic</v>
      </c>
      <c r="L152" s="120" t="s">
        <v>226</v>
      </c>
      <c r="M152" s="120"/>
    </row>
    <row r="153" spans="1:13" x14ac:dyDescent="0.3">
      <c r="B153" s="80" t="s">
        <v>23</v>
      </c>
      <c r="C153" s="121" t="str" cm="1">
        <f t="array" ref="C153">UPPER(INDEX(_xlfn.TEXTSPLIT($E153, "-"), 2))</f>
        <v>COM</v>
      </c>
      <c r="D153" s="121" t="s">
        <v>317</v>
      </c>
      <c r="E153" s="74" t="str">
        <f t="shared" si="6"/>
        <v>p-com-esnap02-nsg</v>
      </c>
      <c r="F153" s="74" t="s">
        <v>317</v>
      </c>
      <c r="G153" s="121" t="s">
        <v>338</v>
      </c>
      <c r="H153" s="121" t="s">
        <v>1054</v>
      </c>
      <c r="I153" s="121" t="s">
        <v>1039</v>
      </c>
      <c r="J153" s="121" t="s">
        <v>1035</v>
      </c>
      <c r="K153" s="74" t="str">
        <f t="shared" si="4"/>
        <v>p-com-esnap02-nic</v>
      </c>
      <c r="L153" s="121" t="s">
        <v>226</v>
      </c>
      <c r="M153" s="121"/>
    </row>
    <row r="154" spans="1:13" x14ac:dyDescent="0.3">
      <c r="B154" s="78" t="s">
        <v>23</v>
      </c>
      <c r="C154" s="120" t="s">
        <v>1055</v>
      </c>
      <c r="D154" s="120" t="s">
        <v>317</v>
      </c>
      <c r="E154" s="73" t="str">
        <f t="shared" si="6"/>
        <v>az-p-int-host1-nsg</v>
      </c>
      <c r="F154" s="73" t="s">
        <v>317</v>
      </c>
      <c r="G154" s="120" t="s">
        <v>338</v>
      </c>
      <c r="H154" s="120" t="s">
        <v>1063</v>
      </c>
      <c r="I154" s="120" t="s">
        <v>1057</v>
      </c>
      <c r="J154" s="120" t="s">
        <v>1056</v>
      </c>
      <c r="K154" s="73" t="str">
        <f t="shared" si="4"/>
        <v>az-p-int-host1-nic</v>
      </c>
      <c r="L154" s="120" t="s">
        <v>226</v>
      </c>
      <c r="M154" s="120"/>
    </row>
    <row r="155" spans="1:13" x14ac:dyDescent="0.3">
      <c r="B155" s="80" t="s">
        <v>23</v>
      </c>
      <c r="C155" s="121" t="s">
        <v>1055</v>
      </c>
      <c r="D155" s="121" t="s">
        <v>317</v>
      </c>
      <c r="E155" s="74" t="str">
        <f t="shared" si="6"/>
        <v>az-p-int-host2-nsg</v>
      </c>
      <c r="F155" s="74" t="s">
        <v>317</v>
      </c>
      <c r="G155" s="121" t="s">
        <v>338</v>
      </c>
      <c r="H155" s="121" t="s">
        <v>1063</v>
      </c>
      <c r="I155" s="121" t="s">
        <v>1058</v>
      </c>
      <c r="J155" s="121" t="s">
        <v>1056</v>
      </c>
      <c r="K155" s="74" t="str">
        <f t="shared" si="4"/>
        <v>az-p-int-host2-nic</v>
      </c>
      <c r="L155" s="121" t="s">
        <v>226</v>
      </c>
      <c r="M155" s="121"/>
    </row>
    <row r="156" spans="1:13" x14ac:dyDescent="0.3">
      <c r="B156" s="78" t="s">
        <v>23</v>
      </c>
      <c r="C156" s="120" t="s">
        <v>1055</v>
      </c>
      <c r="D156" s="120" t="s">
        <v>317</v>
      </c>
      <c r="E156" s="73" t="str">
        <f t="shared" si="6"/>
        <v>az-p-int-host3-nsg</v>
      </c>
      <c r="F156" s="73" t="s">
        <v>317</v>
      </c>
      <c r="G156" s="120" t="s">
        <v>338</v>
      </c>
      <c r="H156" s="120" t="s">
        <v>1063</v>
      </c>
      <c r="I156" s="120" t="s">
        <v>1064</v>
      </c>
      <c r="J156" s="120" t="s">
        <v>1056</v>
      </c>
      <c r="K156" s="73" t="str">
        <f t="shared" si="4"/>
        <v>az-p-int-host3-nic</v>
      </c>
      <c r="L156" s="120" t="s">
        <v>226</v>
      </c>
      <c r="M156" s="120"/>
    </row>
    <row r="157" spans="1:13" x14ac:dyDescent="0.3">
      <c r="B157" s="80" t="s">
        <v>23</v>
      </c>
      <c r="C157" s="121" t="s">
        <v>1055</v>
      </c>
      <c r="D157" s="121" t="s">
        <v>317</v>
      </c>
      <c r="E157" s="74" t="str">
        <f t="shared" si="6"/>
        <v>az-p-int-host4-nsg</v>
      </c>
      <c r="F157" s="74" t="s">
        <v>317</v>
      </c>
      <c r="G157" s="121" t="s">
        <v>338</v>
      </c>
      <c r="H157" s="121" t="s">
        <v>1063</v>
      </c>
      <c r="I157" s="121" t="s">
        <v>1065</v>
      </c>
      <c r="J157" s="121" t="s">
        <v>1056</v>
      </c>
      <c r="K157" s="74" t="str">
        <f t="shared" si="4"/>
        <v>az-p-int-host4-nic</v>
      </c>
      <c r="L157" s="121" t="s">
        <v>226</v>
      </c>
      <c r="M157" s="121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2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A41" sqref="A41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5"/>
  <sheetViews>
    <sheetView topLeftCell="A40" workbookViewId="0">
      <selection activeCell="F61" sqref="F6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984</v>
      </c>
      <c r="C53" s="102"/>
      <c r="D53" s="102" t="s">
        <v>926</v>
      </c>
      <c r="E53" s="102" t="s">
        <v>914</v>
      </c>
      <c r="F53" s="104" t="str">
        <f t="shared" ref="F53:F59" si="12">SUBSTITUTE(E53, "hazr-", "")&amp;"-pb"&amp;H53</f>
        <v>p-cs-chtap-lb-pb?</v>
      </c>
      <c r="G53" s="102" t="s">
        <v>57</v>
      </c>
      <c r="H53" s="102" t="s">
        <v>983</v>
      </c>
      <c r="I53" s="102"/>
      <c r="J53" s="102">
        <v>5</v>
      </c>
      <c r="K53" s="102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985</v>
      </c>
      <c r="F54" s="104" t="str">
        <f t="shared" si="12"/>
        <v>p-cs-chtweb-lb-pb?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916</v>
      </c>
      <c r="F55" s="104" t="str">
        <f t="shared" si="12"/>
        <v>p-cs-chtintweb-lb-pb?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50" t="str">
        <f t="shared" si="12"/>
        <v>p-bdp-crkweb-lb-pb443</v>
      </c>
      <c r="G56" s="74" t="s">
        <v>57</v>
      </c>
      <c r="H56" s="74">
        <v>443</v>
      </c>
      <c r="I56" s="74"/>
      <c r="J56" s="74">
        <v>5</v>
      </c>
      <c r="K56" s="74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ref="F57" si="13">SUBSTITUTE(E57, "hazr-", "")&amp;"-pb"&amp;H57</f>
        <v>p-bdp-crkweb-lb-pb8080</v>
      </c>
      <c r="G57" s="74" t="s">
        <v>57</v>
      </c>
      <c r="H57" s="74">
        <v>8080</v>
      </c>
      <c r="I57" s="74"/>
      <c r="J57" s="74"/>
      <c r="K57" s="74"/>
    </row>
    <row r="58" spans="1:11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51" t="str">
        <f t="shared" si="12"/>
        <v>p-bdp-crkap-lb-pb8085</v>
      </c>
      <c r="G58" s="82" t="s">
        <v>57</v>
      </c>
      <c r="H58" s="82">
        <v>8085</v>
      </c>
      <c r="I58" s="82"/>
      <c r="J58" s="82">
        <v>5</v>
      </c>
      <c r="K58" s="8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50" t="str">
        <f t="shared" si="12"/>
        <v>p-bdp-crkml-lb-pb8082</v>
      </c>
      <c r="G59" s="74" t="s">
        <v>57</v>
      </c>
      <c r="H59" s="74">
        <v>8082</v>
      </c>
      <c r="I59" s="74"/>
      <c r="J59" s="74">
        <v>5</v>
      </c>
      <c r="K59" s="74">
        <v>2</v>
      </c>
    </row>
    <row r="60" spans="1:11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1025</v>
      </c>
      <c r="F60" s="118" t="str">
        <f>SUBSTITUTE(E60, "hazr-", "")&amp;"-pb"&amp;H60</f>
        <v>p-dtg-bbigeoap-lb-pb8089</v>
      </c>
      <c r="G60" s="82" t="s">
        <v>57</v>
      </c>
      <c r="H60" s="82">
        <v>8089</v>
      </c>
      <c r="I60" s="82"/>
      <c r="J60" s="82">
        <v>5</v>
      </c>
      <c r="K60" s="82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8" t="str">
        <f>SUBSTITUTE(E61, "hazr-", "")&amp;"-pb"&amp;H61</f>
        <v>p-dtg-bbigeoap-lb-pb9089</v>
      </c>
      <c r="G61" s="82" t="s">
        <v>57</v>
      </c>
      <c r="H61" s="82">
        <v>9089</v>
      </c>
      <c r="I61" s="82"/>
      <c r="J61" s="82">
        <v>5</v>
      </c>
      <c r="K61" s="82">
        <v>2</v>
      </c>
    </row>
    <row r="62" spans="1:11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122" t="str">
        <f t="shared" ref="F62:F65" si="14">SUBSTITUTE(E62, "hazr-", "")&amp;"-pb"&amp;H62</f>
        <v>p-com-esnweb-lb-pb8080</v>
      </c>
      <c r="G62" s="74" t="s">
        <v>57</v>
      </c>
      <c r="H62" s="74">
        <v>8080</v>
      </c>
      <c r="I62" s="74"/>
      <c r="J62" s="74">
        <v>5</v>
      </c>
      <c r="K62" s="74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22" t="str">
        <f t="shared" si="14"/>
        <v>p-com-esnweb-lb-pb443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118" t="str">
        <f t="shared" si="14"/>
        <v>p-com-esnap-lb-pb8080</v>
      </c>
      <c r="G64" s="82" t="s">
        <v>57</v>
      </c>
      <c r="H64" s="82">
        <v>8080</v>
      </c>
      <c r="I64" s="82"/>
      <c r="J64" s="82">
        <v>5</v>
      </c>
      <c r="K64" s="82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8" t="str">
        <f t="shared" si="14"/>
        <v>p-com-esnap-lb-pb443</v>
      </c>
      <c r="G65" s="82" t="s">
        <v>57</v>
      </c>
      <c r="H65" s="82">
        <v>443</v>
      </c>
      <c r="I65" s="82"/>
      <c r="J65" s="82">
        <v>5</v>
      </c>
      <c r="K65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5"/>
  <sheetViews>
    <sheetView topLeftCell="A40" workbookViewId="0">
      <selection activeCell="E62" sqref="E6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59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59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82" t="str">
        <f t="shared" si="10"/>
        <v>p-dtg-cdmlap-lb-rule3000</v>
      </c>
      <c r="G36" s="82" t="str">
        <f t="shared" ref="G36:G59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59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984</v>
      </c>
      <c r="C53" s="102"/>
      <c r="D53" s="102" t="s">
        <v>926</v>
      </c>
      <c r="E53" s="102" t="s">
        <v>914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983</v>
      </c>
      <c r="J53" s="102" t="b">
        <v>0</v>
      </c>
      <c r="K53" s="102" t="str">
        <f t="shared" si="13"/>
        <v>p-cs-chtap-lb-bp</v>
      </c>
      <c r="L53" s="102" t="s">
        <v>983</v>
      </c>
      <c r="M53" s="102" t="str">
        <f t="shared" si="11"/>
        <v>p-cs-chtap-lb-pb?</v>
      </c>
      <c r="N53" s="102" t="s">
        <v>57</v>
      </c>
      <c r="O53" s="102" t="s">
        <v>983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985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983</v>
      </c>
      <c r="J54" s="102" t="b">
        <v>0</v>
      </c>
      <c r="K54" s="102" t="str">
        <f t="shared" si="13"/>
        <v>p-cs-chtweb-lb-bp</v>
      </c>
      <c r="L54" s="102" t="s">
        <v>983</v>
      </c>
      <c r="M54" s="102" t="str">
        <f t="shared" si="11"/>
        <v>p-cs-chtweb-lb-pb?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916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983</v>
      </c>
      <c r="J55" s="102" t="b">
        <v>0</v>
      </c>
      <c r="K55" s="102" t="str">
        <f t="shared" si="13"/>
        <v>p-cs-chtintweb-lb-bp</v>
      </c>
      <c r="L55" s="102" t="s">
        <v>983</v>
      </c>
      <c r="M55" s="102" t="str">
        <f t="shared" si="11"/>
        <v>p-cs-chtintweb-lb-pb?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74" t="str">
        <f t="shared" si="10"/>
        <v>p-bdp-crkweb-lb-rule443</v>
      </c>
      <c r="G56" s="74" t="str">
        <f t="shared" si="12"/>
        <v>p-bdp-crkweb-lb-fe</v>
      </c>
      <c r="H56" s="74" t="s">
        <v>57</v>
      </c>
      <c r="I56" s="74">
        <v>443</v>
      </c>
      <c r="J56" s="74" t="b">
        <v>0</v>
      </c>
      <c r="K56" s="74" t="str">
        <f t="shared" si="13"/>
        <v>p-bdp-crkweb-lb-bp</v>
      </c>
      <c r="L56" s="74">
        <v>443</v>
      </c>
      <c r="M56" s="74" t="str">
        <f t="shared" si="11"/>
        <v>p-bdp-crkweb-lb-pb443</v>
      </c>
      <c r="N56" s="74" t="s">
        <v>57</v>
      </c>
      <c r="O56" s="74">
        <v>443</v>
      </c>
      <c r="P56" s="74">
        <v>4</v>
      </c>
      <c r="Q56" s="74" t="s">
        <v>123</v>
      </c>
      <c r="R56" s="74" t="b">
        <v>1</v>
      </c>
      <c r="S56" s="74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p-bdp-crkweb-lb-rule8080</v>
      </c>
      <c r="G57" s="74" t="str">
        <f t="shared" si="12"/>
        <v>p-bdp-crkweb-lb-fe</v>
      </c>
      <c r="H57" s="74" t="s">
        <v>57</v>
      </c>
      <c r="I57" s="74">
        <v>8080</v>
      </c>
      <c r="J57" s="74" t="b">
        <v>0</v>
      </c>
      <c r="K57" s="74" t="str">
        <f t="shared" si="13"/>
        <v>p-bdp-crkweb-lb-bp</v>
      </c>
      <c r="L57" s="74">
        <v>8080</v>
      </c>
      <c r="M57" s="74" t="str">
        <f t="shared" si="11"/>
        <v>p-bdp-crkweb-lb-pb8080</v>
      </c>
      <c r="N57" s="74" t="s">
        <v>57</v>
      </c>
      <c r="O57" s="74">
        <v>8080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82" t="str">
        <f t="shared" si="10"/>
        <v>p-bdp-crkap-lb-rule8085</v>
      </c>
      <c r="G58" s="82" t="str">
        <f t="shared" si="12"/>
        <v>p-bdp-crkap-lb-fe</v>
      </c>
      <c r="H58" s="82" t="s">
        <v>57</v>
      </c>
      <c r="I58" s="82">
        <v>8085</v>
      </c>
      <c r="J58" s="82" t="b">
        <v>0</v>
      </c>
      <c r="K58" s="82" t="str">
        <f t="shared" si="13"/>
        <v>p-bdp-crkap-lb-bp</v>
      </c>
      <c r="L58" s="82">
        <v>8085</v>
      </c>
      <c r="M58" s="82" t="str">
        <f t="shared" si="11"/>
        <v>p-bdp-crkap-lb-pb8085</v>
      </c>
      <c r="N58" s="82" t="s">
        <v>57</v>
      </c>
      <c r="O58" s="82">
        <v>8085</v>
      </c>
      <c r="P58" s="82">
        <v>4</v>
      </c>
      <c r="Q58" s="82" t="s">
        <v>123</v>
      </c>
      <c r="R58" s="82" t="b">
        <v>1</v>
      </c>
      <c r="S58" s="8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74" t="str">
        <f t="shared" si="10"/>
        <v>p-bdp-crkml-lb-rule8082</v>
      </c>
      <c r="G59" s="74" t="str">
        <f t="shared" si="12"/>
        <v>p-bdp-crkml-lb-fe</v>
      </c>
      <c r="H59" s="74" t="s">
        <v>57</v>
      </c>
      <c r="I59" s="74">
        <v>8082</v>
      </c>
      <c r="J59" s="74" t="b">
        <v>0</v>
      </c>
      <c r="K59" s="74" t="str">
        <f t="shared" si="13"/>
        <v>p-bdp-crkml-lb-bp</v>
      </c>
      <c r="L59" s="74">
        <v>8082</v>
      </c>
      <c r="M59" s="74" t="str">
        <f t="shared" si="11"/>
        <v>p-bdp-crkml-lb-pb8082</v>
      </c>
      <c r="N59" s="74" t="s">
        <v>57</v>
      </c>
      <c r="O59" s="74">
        <v>8082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1027</v>
      </c>
      <c r="F60" s="82" t="str">
        <f t="shared" ref="F60:F61" si="14">SUBSTITUTE(E60, "hazr-", "")&amp;"-rule"&amp;O60</f>
        <v>p-dtg-bbigeoap-lb-rule8089</v>
      </c>
      <c r="G60" s="82" t="str">
        <f t="shared" ref="G60:G61" si="15">SUBSTITUTE(E60, "hazr-", "")&amp;"-fe"</f>
        <v>p-dtg-bbigeoap-lb-fe</v>
      </c>
      <c r="H60" s="82" t="s">
        <v>57</v>
      </c>
      <c r="I60" s="82">
        <v>8089</v>
      </c>
      <c r="J60" s="82" t="b">
        <v>0</v>
      </c>
      <c r="K60" s="82" t="str">
        <f t="shared" ref="K60:K61" si="16">SUBSTITUTE(E60, "hazr-", "")&amp;"-bp"</f>
        <v>p-dtg-bbigeoap-lb-bp</v>
      </c>
      <c r="L60" s="82">
        <v>8089</v>
      </c>
      <c r="M60" s="82" t="str">
        <f t="shared" ref="M60:M61" si="17">SUBSTITUTE(E60, "hazr-", "")&amp;"-pb"&amp;IF(O60="", "", O60)</f>
        <v>p-dtg-bbigeoap-lb-pb8089</v>
      </c>
      <c r="N60" s="82" t="s">
        <v>57</v>
      </c>
      <c r="O60" s="82">
        <v>8089</v>
      </c>
      <c r="P60" s="82">
        <v>4</v>
      </c>
      <c r="Q60" s="82" t="s">
        <v>123</v>
      </c>
      <c r="R60" s="82" t="b">
        <v>1</v>
      </c>
      <c r="S60" s="82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si="14"/>
        <v>p-dtg-bbigeoap-lb-rule9089</v>
      </c>
      <c r="G61" s="82" t="str">
        <f t="shared" si="15"/>
        <v>p-dtg-bbigeoap-lb-fe</v>
      </c>
      <c r="H61" s="82" t="s">
        <v>57</v>
      </c>
      <c r="I61" s="82">
        <v>9089</v>
      </c>
      <c r="J61" s="82" t="b">
        <v>0</v>
      </c>
      <c r="K61" s="82" t="str">
        <f t="shared" si="16"/>
        <v>p-dtg-bbigeoap-lb-bp</v>
      </c>
      <c r="L61" s="82">
        <v>9089</v>
      </c>
      <c r="M61" s="82" t="str">
        <f t="shared" si="17"/>
        <v>p-dtg-bbigeoap-lb-pb9089</v>
      </c>
      <c r="N61" s="82" t="s">
        <v>57</v>
      </c>
      <c r="O61" s="82">
        <v>9089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74" t="str">
        <f t="shared" ref="F62:F65" si="18">SUBSTITUTE(E62, "hazr-", "")&amp;"-rule"&amp;O62</f>
        <v>p-com-esnweb-lb-rule8080</v>
      </c>
      <c r="G62" s="74" t="str">
        <f t="shared" ref="G62:G65" si="19">SUBSTITUTE(E62, "hazr-", "")&amp;"-fe"</f>
        <v>p-com-esnweb-lb-fe</v>
      </c>
      <c r="H62" s="74" t="s">
        <v>57</v>
      </c>
      <c r="I62" s="74">
        <v>8080</v>
      </c>
      <c r="J62" s="74" t="b">
        <v>0</v>
      </c>
      <c r="K62" s="74" t="str">
        <f t="shared" ref="K62:K65" si="20">SUBSTITUTE(E62, "hazr-", "")&amp;"-bp"</f>
        <v>p-com-esnweb-lb-bp</v>
      </c>
      <c r="L62" s="74">
        <v>8080</v>
      </c>
      <c r="M62" s="74" t="str">
        <f t="shared" ref="M62:M65" si="21">SUBSTITUTE(E62, "hazr-", "")&amp;"-pb"&amp;IF(O62="", "", O62)</f>
        <v>p-com-esnweb-lb-pb8080</v>
      </c>
      <c r="N62" s="74" t="s">
        <v>57</v>
      </c>
      <c r="O62" s="74">
        <v>8080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si="18"/>
        <v>p-com-esnweb-lb-rule443</v>
      </c>
      <c r="G63" s="74" t="str">
        <f t="shared" si="19"/>
        <v>p-com-esnweb-lb-fe</v>
      </c>
      <c r="H63" s="74" t="s">
        <v>57</v>
      </c>
      <c r="I63" s="74">
        <v>443</v>
      </c>
      <c r="J63" s="74" t="b">
        <v>0</v>
      </c>
      <c r="K63" s="74" t="str">
        <f t="shared" si="20"/>
        <v>p-com-esnweb-lb-bp</v>
      </c>
      <c r="L63" s="74">
        <v>443</v>
      </c>
      <c r="M63" s="74" t="str">
        <f t="shared" si="21"/>
        <v>p-com-esnweb-lb-pb443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82" t="str">
        <f t="shared" si="18"/>
        <v>p-com-esnap-lb-rule8080</v>
      </c>
      <c r="G64" s="82" t="str">
        <f t="shared" si="19"/>
        <v>p-com-esnap-lb-fe</v>
      </c>
      <c r="H64" s="82" t="s">
        <v>57</v>
      </c>
      <c r="I64" s="82">
        <v>8080</v>
      </c>
      <c r="J64" s="82" t="b">
        <v>0</v>
      </c>
      <c r="K64" s="82" t="str">
        <f t="shared" si="20"/>
        <v>p-com-esnap-lb-bp</v>
      </c>
      <c r="L64" s="82">
        <v>8080</v>
      </c>
      <c r="M64" s="82" t="str">
        <f t="shared" si="21"/>
        <v>p-com-esnap-lb-pb8080</v>
      </c>
      <c r="N64" s="82" t="s">
        <v>57</v>
      </c>
      <c r="O64" s="82">
        <v>8080</v>
      </c>
      <c r="P64" s="82">
        <v>4</v>
      </c>
      <c r="Q64" s="82" t="s">
        <v>123</v>
      </c>
      <c r="R64" s="82" t="b">
        <v>1</v>
      </c>
      <c r="S64" s="82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8"/>
        <v>p-com-esnap-lb-rule443</v>
      </c>
      <c r="G65" s="82" t="str">
        <f t="shared" si="19"/>
        <v>p-com-esnap-lb-fe</v>
      </c>
      <c r="H65" s="82" t="s">
        <v>57</v>
      </c>
      <c r="I65" s="82">
        <v>443</v>
      </c>
      <c r="J65" s="82" t="b">
        <v>0</v>
      </c>
      <c r="K65" s="82" t="str">
        <f t="shared" si="20"/>
        <v>p-com-esnap-lb-bp</v>
      </c>
      <c r="L65" s="82">
        <v>443</v>
      </c>
      <c r="M65" s="82" t="str">
        <f t="shared" si="21"/>
        <v>p-com-esnap-lb-pb443</v>
      </c>
      <c r="N65" s="82" t="s">
        <v>57</v>
      </c>
      <c r="O65" s="82">
        <v>443</v>
      </c>
      <c r="P65" s="82">
        <v>4</v>
      </c>
      <c r="Q65" s="82" t="s">
        <v>123</v>
      </c>
      <c r="R65" s="82" t="b">
        <v>1</v>
      </c>
      <c r="S65" s="82" t="b">
        <v>0</v>
      </c>
    </row>
  </sheetData>
  <autoFilter ref="B1:S59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2026-08-12T06:53:52Z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