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19BBEAC-8844-4CC9-ACFE-837199089EE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3" i="6" l="1"/>
  <c r="Q43" i="6"/>
  <c r="K44" i="6"/>
  <c r="Q44" i="6"/>
  <c r="C43" i="6" a="1"/>
  <c r="C43" i="6" s="1"/>
  <c r="C44" i="6" a="1"/>
  <c r="C44" i="6" s="1"/>
  <c r="C160" i="2" a="1"/>
  <c r="C160" i="2" s="1"/>
  <c r="C161" i="2" a="1"/>
  <c r="C161" i="2" s="1"/>
  <c r="C162" i="2" a="1"/>
  <c r="C162" i="2" s="1"/>
  <c r="E158" i="2"/>
  <c r="C158" i="2" s="1" a="1"/>
  <c r="C158" i="2" s="1"/>
  <c r="K158" i="2"/>
  <c r="E159" i="2"/>
  <c r="C159" i="2" s="1" a="1"/>
  <c r="C159" i="2" s="1"/>
  <c r="K159" i="2"/>
  <c r="E160" i="2"/>
  <c r="K160" i="2"/>
  <c r="E161" i="2"/>
  <c r="K161" i="2"/>
  <c r="E162" i="2"/>
  <c r="K162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4" i="2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3" i="1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<sst xmlns="http://schemas.openxmlformats.org/spreadsheetml/2006/main" count="7313" uniqueCount="1089">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</sst>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4" totalsRowShown="0" headerRowDxfId="32" dataDxfId="31">
  <autoFilter ref="B1:AF144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4"/>
  <sheetViews>
    <sheetView tabSelected="1" zoomScaleNormal="100" zoomScaleSheetLayoutView="100" workbookViewId="0">
      <pane xSplit="6" ySplit="1" topLeftCell="G121" activePane="bottomRight" state="frozen"/>
      <selection pane="topRight"/>
      <selection pane="bottomLeft"/>
      <selection pane="bottomRight" activeCell="G142" sqref="G142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3" t="s">
        <v>178</v>
      </c>
      <c r="M129" s="95" t="s">
        <v>992</v>
      </c>
      <c r="N129" s="98" t="s">
        <v>986</v>
      </c>
      <c r="O129" s="74" t="str">
        <f t="shared" ref="O129:O135" si="12">SUBSTITUTE(F129,"hazr-","")&amp;"-osdisk"</f>
        <v>p-dtg-bbigeoap01-osdisk</v>
      </c>
      <c r="P129" s="114">
        <v>64</v>
      </c>
      <c r="Q129" s="115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4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1019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3" t="s">
        <v>178</v>
      </c>
      <c r="M131" s="95" t="s">
        <v>992</v>
      </c>
      <c r="N131" s="98" t="s">
        <v>1034</v>
      </c>
      <c r="O131" s="74" t="str">
        <f t="shared" si="12"/>
        <v>p-if-hipsap01-osdisk</v>
      </c>
      <c r="P131" s="114">
        <v>64</v>
      </c>
      <c r="Q131" s="115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4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3" t="s">
        <v>178</v>
      </c>
      <c r="M132" s="95" t="s">
        <v>992</v>
      </c>
      <c r="N132" s="121" t="s">
        <v>1050</v>
      </c>
      <c r="O132" s="74" t="str">
        <f t="shared" si="12"/>
        <v>p-com-esnweb01-osdisk</v>
      </c>
      <c r="P132" s="80">
        <v>64</v>
      </c>
      <c r="Q132" s="115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3" t="s">
        <v>178</v>
      </c>
      <c r="M133" s="95" t="s">
        <v>992</v>
      </c>
      <c r="N133" s="121" t="s">
        <v>1050</v>
      </c>
      <c r="O133" s="74" t="str">
        <f t="shared" si="12"/>
        <v>p-com-esnweb02-osdisk</v>
      </c>
      <c r="P133" s="80">
        <v>64</v>
      </c>
      <c r="Q133" s="115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3" t="s">
        <v>178</v>
      </c>
      <c r="M134" s="95" t="s">
        <v>992</v>
      </c>
      <c r="N134" s="121" t="s">
        <v>1050</v>
      </c>
      <c r="O134" s="74" t="str">
        <f t="shared" si="12"/>
        <v>p-com-esnap01-osdisk</v>
      </c>
      <c r="P134" s="114">
        <v>64</v>
      </c>
      <c r="Q134" s="115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3" t="s">
        <v>178</v>
      </c>
      <c r="M135" s="95" t="s">
        <v>992</v>
      </c>
      <c r="N135" s="121" t="s">
        <v>1050</v>
      </c>
      <c r="O135" s="74" t="str">
        <f t="shared" si="12"/>
        <v>p-com-esnap02-osdisk</v>
      </c>
      <c r="P135" s="80">
        <v>64</v>
      </c>
      <c r="Q135" s="115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3" t="s">
        <v>178</v>
      </c>
      <c r="M136" s="95" t="s">
        <v>992</v>
      </c>
      <c r="N136" s="1" t="s">
        <v>1066</v>
      </c>
      <c r="O136" s="74" t="str">
        <f t="shared" ref="O136:O141" si="14">SUBSTITUTE(F136,"hazr-","")&amp;"-osdisk"</f>
        <v>az-p-int-host1-osdisk</v>
      </c>
      <c r="P136" s="114">
        <v>64</v>
      </c>
      <c r="Q136" s="115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3" t="s">
        <v>178</v>
      </c>
      <c r="M137" s="95" t="s">
        <v>992</v>
      </c>
      <c r="N137" s="1" t="s">
        <v>1066</v>
      </c>
      <c r="O137" s="74" t="str">
        <f t="shared" si="14"/>
        <v>az-p-int-host2-osdisk</v>
      </c>
      <c r="P137" s="114">
        <v>64</v>
      </c>
      <c r="Q137" s="115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3" t="s">
        <v>178</v>
      </c>
      <c r="M138" s="95" t="s">
        <v>992</v>
      </c>
      <c r="N138" s="1" t="s">
        <v>1066</v>
      </c>
      <c r="O138" s="74" t="str">
        <f t="shared" si="14"/>
        <v>az-p-int-host3-osdisk</v>
      </c>
      <c r="P138" s="114">
        <v>64</v>
      </c>
      <c r="Q138" s="115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3" t="s">
        <v>178</v>
      </c>
      <c r="M139" s="95" t="s">
        <v>992</v>
      </c>
      <c r="N139" s="1" t="s">
        <v>1066</v>
      </c>
      <c r="O139" s="74" t="str">
        <f t="shared" si="14"/>
        <v>az-p-int-host4-osdisk</v>
      </c>
      <c r="P139" s="114">
        <v>64</v>
      </c>
      <c r="Q139" s="115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1067</v>
      </c>
      <c r="C140" s="95" t="str" cm="1">
        <f t="array" ref="C140">UPPER(INDEX(_xlfn.TEXTSPLIT($F140, "-"), 3))</f>
        <v>BDP</v>
      </c>
      <c r="D140" s="95" t="s">
        <v>1068</v>
      </c>
      <c r="E140" s="95" t="s">
        <v>24</v>
      </c>
      <c r="F140" s="95" t="s">
        <v>1070</v>
      </c>
      <c r="G140" s="95" t="s">
        <v>1075</v>
      </c>
      <c r="H140" s="95" t="s">
        <v>1079</v>
      </c>
      <c r="I140" s="95">
        <v>4</v>
      </c>
      <c r="J140" s="95">
        <v>32</v>
      </c>
      <c r="K140" s="95" t="s">
        <v>180</v>
      </c>
      <c r="L140" s="113" t="s">
        <v>178</v>
      </c>
      <c r="M140" s="95" t="s">
        <v>1081</v>
      </c>
      <c r="N140" s="121" t="s">
        <v>1082</v>
      </c>
      <c r="O140" s="74" t="str">
        <f t="shared" si="14"/>
        <v>p-bdp-rlgcweb01-osdisk</v>
      </c>
      <c r="P140" s="114">
        <v>512</v>
      </c>
      <c r="Q140" s="115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968</v>
      </c>
      <c r="AA140" s="95" t="b">
        <v>1</v>
      </c>
      <c r="AB140" s="95" t="s">
        <v>317</v>
      </c>
      <c r="AC140" s="95" t="s">
        <v>318</v>
      </c>
      <c r="AD140" s="114">
        <v>1</v>
      </c>
      <c r="AE140" s="95"/>
      <c r="AF140" s="95"/>
    </row>
    <row r="141" spans="1:32" x14ac:dyDescent="0.3">
      <c r="A141" s="90"/>
      <c r="B141" s="95" t="s">
        <v>1067</v>
      </c>
      <c r="C141" s="95" t="str" cm="1">
        <f t="array" ref="C141">UPPER(INDEX(_xlfn.TEXTSPLIT($F141, "-"), 3))</f>
        <v>BDP</v>
      </c>
      <c r="D141" s="95" t="s">
        <v>1068</v>
      </c>
      <c r="E141" s="95" t="s">
        <v>24</v>
      </c>
      <c r="F141" s="95" t="s">
        <v>1071</v>
      </c>
      <c r="G141" s="95" t="s">
        <v>1076</v>
      </c>
      <c r="H141" s="95" t="s">
        <v>1079</v>
      </c>
      <c r="I141" s="95">
        <v>4</v>
      </c>
      <c r="J141" s="95">
        <v>32</v>
      </c>
      <c r="K141" s="95" t="s">
        <v>180</v>
      </c>
      <c r="L141" s="113" t="s">
        <v>178</v>
      </c>
      <c r="M141" s="95" t="s">
        <v>1081</v>
      </c>
      <c r="N141" s="121" t="s">
        <v>1082</v>
      </c>
      <c r="O141" s="74" t="str">
        <f t="shared" si="14"/>
        <v>p-bdp-rlgcweb02-osdisk</v>
      </c>
      <c r="P141" s="114">
        <v>512</v>
      </c>
      <c r="Q141" s="115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968</v>
      </c>
      <c r="AA141" s="95" t="b">
        <v>1</v>
      </c>
      <c r="AB141" s="95" t="s">
        <v>317</v>
      </c>
      <c r="AC141" s="95" t="s">
        <v>318</v>
      </c>
      <c r="AD141" s="114">
        <v>2</v>
      </c>
      <c r="AE141" s="95"/>
      <c r="AF141" s="95"/>
    </row>
    <row r="142" spans="1:32" x14ac:dyDescent="0.3">
      <c r="A142" s="90"/>
      <c r="B142" s="74" t="s">
        <v>1067</v>
      </c>
      <c r="C142" s="74" t="str" cm="1">
        <f t="array" ref="C142">UPPER(INDEX(_xlfn.TEXTSPLIT($F142, "-"), 3))</f>
        <v>BDP</v>
      </c>
      <c r="D142" s="95" t="s">
        <v>1068</v>
      </c>
      <c r="E142" s="74" t="s">
        <v>24</v>
      </c>
      <c r="F142" s="74" t="s">
        <v>1072</v>
      </c>
      <c r="G142" s="74" t="s">
        <v>1077</v>
      </c>
      <c r="H142" s="74" t="s">
        <v>1080</v>
      </c>
      <c r="I142" s="74">
        <v>16</v>
      </c>
      <c r="J142" s="74">
        <v>256</v>
      </c>
      <c r="K142" s="74" t="s">
        <v>180</v>
      </c>
      <c r="L142" s="112" t="s">
        <v>178</v>
      </c>
      <c r="M142" s="74" t="s">
        <v>1081</v>
      </c>
      <c r="N142" s="122" t="s">
        <v>1082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964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1069</v>
      </c>
      <c r="C143" s="74" t="str" cm="1">
        <f t="array" ref="C143">UPPER(INDEX(_xlfn.TEXTSPLIT($F143, "-"), 3))</f>
        <v>BDP</v>
      </c>
      <c r="D143" s="95" t="s">
        <v>1068</v>
      </c>
      <c r="E143" s="74" t="s">
        <v>24</v>
      </c>
      <c r="F143" s="74" t="s">
        <v>1073</v>
      </c>
      <c r="G143" s="74" t="s">
        <v>1078</v>
      </c>
      <c r="H143" s="74" t="s">
        <v>1080</v>
      </c>
      <c r="I143" s="74">
        <v>16</v>
      </c>
      <c r="J143" s="74">
        <v>256</v>
      </c>
      <c r="K143" s="74" t="s">
        <v>180</v>
      </c>
      <c r="L143" s="112" t="s">
        <v>178</v>
      </c>
      <c r="M143" s="74" t="s">
        <v>1081</v>
      </c>
      <c r="N143" s="119" t="s">
        <v>1082</v>
      </c>
      <c r="O143" s="120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964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1067</v>
      </c>
      <c r="C144" s="74" t="str" cm="1">
        <f t="array" ref="C144">UPPER(INDEX(_xlfn.TEXTSPLIT($F144, "-"), 3))</f>
        <v>BDP</v>
      </c>
      <c r="D144" s="95" t="s">
        <v>1068</v>
      </c>
      <c r="E144" s="74" t="s">
        <v>24</v>
      </c>
      <c r="F144" s="74" t="s">
        <v>1074</v>
      </c>
      <c r="G144" s="74" t="s">
        <v>1088</v>
      </c>
      <c r="H144" s="74" t="s">
        <v>1080</v>
      </c>
      <c r="I144" s="74">
        <v>16</v>
      </c>
      <c r="J144" s="74">
        <v>256</v>
      </c>
      <c r="K144" s="74" t="s">
        <v>180</v>
      </c>
      <c r="L144" s="112" t="s">
        <v>178</v>
      </c>
      <c r="M144" s="74" t="s">
        <v>1081</v>
      </c>
      <c r="N144" s="119" t="s">
        <v>1082</v>
      </c>
      <c r="O144" s="120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964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3"/>
  <sheetViews>
    <sheetView workbookViewId="0">
      <pane xSplit="6" ySplit="1" topLeftCell="G127" activePane="bottomRight" state="frozen"/>
      <selection pane="topRight" activeCell="G1" sqref="G1"/>
      <selection pane="bottomLeft" activeCell="A2" sqref="A2"/>
      <selection pane="bottomRight" activeCell="A149" sqref="A149:A15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924</v>
      </c>
      <c r="E149" s="78" t="s">
        <v>24</v>
      </c>
      <c r="F149" s="117" t="s">
        <v>1070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924</v>
      </c>
      <c r="E150" s="80" t="s">
        <v>24</v>
      </c>
      <c r="F150" s="118" t="s">
        <v>1071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924</v>
      </c>
      <c r="E151" s="78" t="s">
        <v>24</v>
      </c>
      <c r="F151" s="73" t="s">
        <v>1072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924</v>
      </c>
      <c r="E152" s="80" t="s">
        <v>24</v>
      </c>
      <c r="F152" s="74" t="s">
        <v>1073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924</v>
      </c>
      <c r="E153" s="78" t="s">
        <v>24</v>
      </c>
      <c r="F153" s="73" t="s">
        <v>1074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2"/>
  <sheetViews>
    <sheetView topLeftCell="A138" workbookViewId="0">
      <selection activeCell="A158" sqref="A158:A16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A150" s="90"/>
      <c r="B150" s="78" t="s">
        <v>23</v>
      </c>
      <c r="C150" s="117" t="str" cm="1">
        <f t="array" ref="C150">UPPER(INDEX(_xlfn.TEXTSPLIT($E150, "-"), 2))</f>
        <v>COM</v>
      </c>
      <c r="D150" s="117" t="s">
        <v>317</v>
      </c>
      <c r="E150" s="73" t="str">
        <f t="shared" si="6"/>
        <v>p-com-esnweb01-nsg</v>
      </c>
      <c r="F150" s="73" t="s">
        <v>317</v>
      </c>
      <c r="G150" s="117" t="s">
        <v>345</v>
      </c>
      <c r="H150" s="117" t="s">
        <v>1045</v>
      </c>
      <c r="I150" s="117" t="s">
        <v>1036</v>
      </c>
      <c r="J150" s="117" t="s">
        <v>1035</v>
      </c>
      <c r="K150" s="73" t="str">
        <f t="shared" si="4"/>
        <v>p-com-esnweb01-nic</v>
      </c>
      <c r="L150" s="117" t="s">
        <v>226</v>
      </c>
      <c r="M150" s="117"/>
    </row>
    <row r="151" spans="1:13" x14ac:dyDescent="0.3">
      <c r="A151" s="90"/>
      <c r="B151" s="80" t="s">
        <v>23</v>
      </c>
      <c r="C151" s="118" t="str" cm="1">
        <f t="array" ref="C151">UPPER(INDEX(_xlfn.TEXTSPLIT($E151, "-"), 2))</f>
        <v>COM</v>
      </c>
      <c r="D151" s="118" t="s">
        <v>317</v>
      </c>
      <c r="E151" s="74" t="str">
        <f t="shared" si="6"/>
        <v>p-com-esnweb02-nsg</v>
      </c>
      <c r="F151" s="74" t="s">
        <v>317</v>
      </c>
      <c r="G151" s="118" t="s">
        <v>345</v>
      </c>
      <c r="H151" s="118" t="s">
        <v>240</v>
      </c>
      <c r="I151" s="118" t="s">
        <v>1037</v>
      </c>
      <c r="J151" s="118" t="s">
        <v>1035</v>
      </c>
      <c r="K151" s="74" t="str">
        <f t="shared" si="4"/>
        <v>p-com-esnweb02-nic</v>
      </c>
      <c r="L151" s="118" t="s">
        <v>226</v>
      </c>
      <c r="M151" s="118"/>
    </row>
    <row r="152" spans="1:13" x14ac:dyDescent="0.3">
      <c r="A152" s="90"/>
      <c r="B152" s="78" t="s">
        <v>23</v>
      </c>
      <c r="C152" s="117" t="str" cm="1">
        <f t="array" ref="C152">UPPER(INDEX(_xlfn.TEXTSPLIT($E152, "-"), 2))</f>
        <v>COM</v>
      </c>
      <c r="D152" s="117" t="s">
        <v>317</v>
      </c>
      <c r="E152" s="73" t="str">
        <f t="shared" si="6"/>
        <v>p-com-esnap01-nsg</v>
      </c>
      <c r="F152" s="73" t="s">
        <v>317</v>
      </c>
      <c r="G152" s="117" t="s">
        <v>338</v>
      </c>
      <c r="H152" s="117" t="s">
        <v>1054</v>
      </c>
      <c r="I152" s="117" t="s">
        <v>1038</v>
      </c>
      <c r="J152" s="117" t="s">
        <v>1035</v>
      </c>
      <c r="K152" s="73" t="str">
        <f t="shared" si="4"/>
        <v>p-com-esnap01-nic</v>
      </c>
      <c r="L152" s="117" t="s">
        <v>226</v>
      </c>
      <c r="M152" s="117"/>
    </row>
    <row r="153" spans="1:13" x14ac:dyDescent="0.3">
      <c r="A153" s="90"/>
      <c r="B153" s="80" t="s">
        <v>23</v>
      </c>
      <c r="C153" s="118" t="str" cm="1">
        <f t="array" ref="C153">UPPER(INDEX(_xlfn.TEXTSPLIT($E153, "-"), 2))</f>
        <v>COM</v>
      </c>
      <c r="D153" s="118" t="s">
        <v>317</v>
      </c>
      <c r="E153" s="74" t="str">
        <f t="shared" si="6"/>
        <v>p-com-esnap02-nsg</v>
      </c>
      <c r="F153" s="74" t="s">
        <v>317</v>
      </c>
      <c r="G153" s="118" t="s">
        <v>338</v>
      </c>
      <c r="H153" s="118" t="s">
        <v>1054</v>
      </c>
      <c r="I153" s="118" t="s">
        <v>1039</v>
      </c>
      <c r="J153" s="118" t="s">
        <v>1035</v>
      </c>
      <c r="K153" s="74" t="str">
        <f t="shared" si="4"/>
        <v>p-com-esnap02-nic</v>
      </c>
      <c r="L153" s="118" t="s">
        <v>226</v>
      </c>
      <c r="M153" s="118"/>
    </row>
    <row r="154" spans="1:13" x14ac:dyDescent="0.3">
      <c r="A154" s="90"/>
      <c r="B154" s="78" t="s">
        <v>23</v>
      </c>
      <c r="C154" s="117" t="s">
        <v>1055</v>
      </c>
      <c r="D154" s="117" t="s">
        <v>317</v>
      </c>
      <c r="E154" s="73" t="str">
        <f t="shared" si="6"/>
        <v>az-p-int-host1-nsg</v>
      </c>
      <c r="F154" s="73" t="s">
        <v>317</v>
      </c>
      <c r="G154" s="117" t="s">
        <v>338</v>
      </c>
      <c r="H154" s="117" t="s">
        <v>1063</v>
      </c>
      <c r="I154" s="117" t="s">
        <v>1057</v>
      </c>
      <c r="J154" s="117" t="s">
        <v>1056</v>
      </c>
      <c r="K154" s="73" t="str">
        <f t="shared" si="4"/>
        <v>az-p-int-host1-nic</v>
      </c>
      <c r="L154" s="117" t="s">
        <v>226</v>
      </c>
      <c r="M154" s="117"/>
    </row>
    <row r="155" spans="1:13" x14ac:dyDescent="0.3">
      <c r="A155" s="90"/>
      <c r="B155" s="80" t="s">
        <v>23</v>
      </c>
      <c r="C155" s="118" t="s">
        <v>1055</v>
      </c>
      <c r="D155" s="118" t="s">
        <v>317</v>
      </c>
      <c r="E155" s="74" t="str">
        <f t="shared" si="6"/>
        <v>az-p-int-host2-nsg</v>
      </c>
      <c r="F155" s="74" t="s">
        <v>317</v>
      </c>
      <c r="G155" s="118" t="s">
        <v>338</v>
      </c>
      <c r="H155" s="118" t="s">
        <v>1063</v>
      </c>
      <c r="I155" s="118" t="s">
        <v>1058</v>
      </c>
      <c r="J155" s="118" t="s">
        <v>1056</v>
      </c>
      <c r="K155" s="74" t="str">
        <f t="shared" si="4"/>
        <v>az-p-int-host2-nic</v>
      </c>
      <c r="L155" s="118" t="s">
        <v>226</v>
      </c>
      <c r="M155" s="118"/>
    </row>
    <row r="156" spans="1:13" x14ac:dyDescent="0.3">
      <c r="A156" s="90"/>
      <c r="B156" s="78" t="s">
        <v>23</v>
      </c>
      <c r="C156" s="117" t="s">
        <v>1055</v>
      </c>
      <c r="D156" s="117" t="s">
        <v>317</v>
      </c>
      <c r="E156" s="73" t="str">
        <f t="shared" si="6"/>
        <v>az-p-int-host3-nsg</v>
      </c>
      <c r="F156" s="73" t="s">
        <v>317</v>
      </c>
      <c r="G156" s="117" t="s">
        <v>338</v>
      </c>
      <c r="H156" s="117" t="s">
        <v>1063</v>
      </c>
      <c r="I156" s="117" t="s">
        <v>1064</v>
      </c>
      <c r="J156" s="117" t="s">
        <v>1056</v>
      </c>
      <c r="K156" s="73" t="str">
        <f t="shared" si="4"/>
        <v>az-p-int-host3-nic</v>
      </c>
      <c r="L156" s="117" t="s">
        <v>226</v>
      </c>
      <c r="M156" s="117"/>
    </row>
    <row r="157" spans="1:13" x14ac:dyDescent="0.3">
      <c r="A157" s="90"/>
      <c r="B157" s="80" t="s">
        <v>23</v>
      </c>
      <c r="C157" s="118" t="s">
        <v>1055</v>
      </c>
      <c r="D157" s="118" t="s">
        <v>317</v>
      </c>
      <c r="E157" s="74" t="str">
        <f t="shared" si="6"/>
        <v>az-p-int-host4-nsg</v>
      </c>
      <c r="F157" s="74" t="s">
        <v>317</v>
      </c>
      <c r="G157" s="118" t="s">
        <v>338</v>
      </c>
      <c r="H157" s="118" t="s">
        <v>1063</v>
      </c>
      <c r="I157" s="118" t="s">
        <v>1065</v>
      </c>
      <c r="J157" s="118" t="s">
        <v>1056</v>
      </c>
      <c r="K157" s="74" t="str">
        <f t="shared" si="4"/>
        <v>az-p-int-host4-nic</v>
      </c>
      <c r="L157" s="118" t="s">
        <v>226</v>
      </c>
      <c r="M157" s="118"/>
    </row>
    <row r="158" spans="1:13" x14ac:dyDescent="0.3">
      <c r="A158" s="90"/>
      <c r="B158" s="78" t="s">
        <v>23</v>
      </c>
      <c r="C158" s="117" t="str" cm="1">
        <f t="array" ref="C158">UPPER(INDEX(_xlfn.TEXTSPLIT($E158, "-"), 2))</f>
        <v>BDP</v>
      </c>
      <c r="D158" s="117" t="s">
        <v>317</v>
      </c>
      <c r="E158" s="73" t="str">
        <f t="shared" ref="E158:E162" si="7">IF(OR(L158="X", L158=""), SUBSTITUTE(H158,"-sbn","")&amp;"-nsg", IF(L158="O", SUBSTITUTE(I158,"hazr-","")&amp;"-nsg", ""))</f>
        <v>p-bdp-rlgcweb01-nsg</v>
      </c>
      <c r="F158" s="73" t="s">
        <v>317</v>
      </c>
      <c r="G158" s="117" t="s">
        <v>345</v>
      </c>
      <c r="H158" s="117" t="s">
        <v>1083</v>
      </c>
      <c r="I158" s="117" t="s">
        <v>1070</v>
      </c>
      <c r="J158" s="117" t="s">
        <v>1068</v>
      </c>
      <c r="K158" s="73" t="str">
        <f t="shared" ref="K158:K162" si="8">SUBSTITUTE(I158,"hazr-","")&amp;"-nic"</f>
        <v>p-bdp-rlgcweb01-nic</v>
      </c>
      <c r="L158" s="117" t="s">
        <v>226</v>
      </c>
      <c r="M158" s="117"/>
    </row>
    <row r="159" spans="1:13" x14ac:dyDescent="0.3">
      <c r="A159" s="90"/>
      <c r="B159" s="80" t="s">
        <v>23</v>
      </c>
      <c r="C159" s="118" t="str" cm="1">
        <f t="array" ref="C159">UPPER(INDEX(_xlfn.TEXTSPLIT($E159, "-"), 2))</f>
        <v>BDP</v>
      </c>
      <c r="D159" s="118" t="s">
        <v>317</v>
      </c>
      <c r="E159" s="74" t="str">
        <f t="shared" si="7"/>
        <v>p-bdp-rlgcweb02-nsg</v>
      </c>
      <c r="F159" s="74" t="s">
        <v>317</v>
      </c>
      <c r="G159" s="118" t="s">
        <v>345</v>
      </c>
      <c r="H159" s="118" t="s">
        <v>1083</v>
      </c>
      <c r="I159" s="118" t="s">
        <v>1071</v>
      </c>
      <c r="J159" s="118" t="s">
        <v>1068</v>
      </c>
      <c r="K159" s="74" t="str">
        <f t="shared" si="8"/>
        <v>p-bdp-rlgcweb02-nic</v>
      </c>
      <c r="L159" s="118" t="s">
        <v>226</v>
      </c>
      <c r="M159" s="118"/>
    </row>
    <row r="160" spans="1:13" x14ac:dyDescent="0.3">
      <c r="A160" s="90"/>
      <c r="B160" s="78" t="s">
        <v>23</v>
      </c>
      <c r="C160" s="117" t="str" cm="1">
        <f t="array" ref="C160">UPPER(INDEX(_xlfn.TEXTSPLIT($E160, "-"), 2))</f>
        <v>BDP</v>
      </c>
      <c r="D160" s="117" t="s">
        <v>317</v>
      </c>
      <c r="E160" s="73" t="str">
        <f t="shared" si="7"/>
        <v>p-bdp-rlgcap01-nsg</v>
      </c>
      <c r="F160" s="73" t="s">
        <v>317</v>
      </c>
      <c r="G160" s="117" t="s">
        <v>338</v>
      </c>
      <c r="H160" s="117" t="s">
        <v>1063</v>
      </c>
      <c r="I160" s="73" t="s">
        <v>1072</v>
      </c>
      <c r="J160" s="117" t="s">
        <v>1068</v>
      </c>
      <c r="K160" s="73" t="str">
        <f t="shared" si="8"/>
        <v>p-bdp-rlgcap01-nic</v>
      </c>
      <c r="L160" s="117" t="s">
        <v>226</v>
      </c>
      <c r="M160" s="117"/>
    </row>
    <row r="161" spans="1:13" x14ac:dyDescent="0.3">
      <c r="A161" s="90"/>
      <c r="B161" s="80" t="s">
        <v>23</v>
      </c>
      <c r="C161" s="118" t="str" cm="1">
        <f t="array" ref="C161">UPPER(INDEX(_xlfn.TEXTSPLIT($E161, "-"), 2))</f>
        <v>BDP</v>
      </c>
      <c r="D161" s="118" t="s">
        <v>317</v>
      </c>
      <c r="E161" s="74" t="str">
        <f t="shared" si="7"/>
        <v>p-bdp-rlgcap02-nsg</v>
      </c>
      <c r="F161" s="74" t="s">
        <v>317</v>
      </c>
      <c r="G161" s="118" t="s">
        <v>338</v>
      </c>
      <c r="H161" s="118" t="s">
        <v>1063</v>
      </c>
      <c r="I161" s="74" t="s">
        <v>1073</v>
      </c>
      <c r="J161" s="118" t="s">
        <v>1068</v>
      </c>
      <c r="K161" s="74" t="str">
        <f t="shared" si="8"/>
        <v>p-bdp-rlgcap02-nic</v>
      </c>
      <c r="L161" s="118" t="s">
        <v>226</v>
      </c>
      <c r="M161" s="118"/>
    </row>
    <row r="162" spans="1:13" x14ac:dyDescent="0.3">
      <c r="A162" s="90"/>
      <c r="B162" s="78" t="s">
        <v>23</v>
      </c>
      <c r="C162" s="117" t="str" cm="1">
        <f t="array" ref="C162">UPPER(INDEX(_xlfn.TEXTSPLIT($E162, "-"), 2))</f>
        <v>BDP</v>
      </c>
      <c r="D162" s="117" t="s">
        <v>317</v>
      </c>
      <c r="E162" s="73" t="str">
        <f t="shared" si="7"/>
        <v>p-bdp-rlgcap03-nsg</v>
      </c>
      <c r="F162" s="73" t="s">
        <v>317</v>
      </c>
      <c r="G162" s="117" t="s">
        <v>338</v>
      </c>
      <c r="H162" s="117" t="s">
        <v>1063</v>
      </c>
      <c r="I162" s="73" t="s">
        <v>1074</v>
      </c>
      <c r="J162" s="117" t="s">
        <v>1068</v>
      </c>
      <c r="K162" s="73" t="str">
        <f t="shared" si="8"/>
        <v>p-bdp-rlgcap03-nic</v>
      </c>
      <c r="L162" s="117" t="s">
        <v>226</v>
      </c>
      <c r="M162" s="117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topLeftCell="A7"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4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A43" sqref="A43:A44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924</v>
      </c>
      <c r="E43" s="74" t="s">
        <v>24</v>
      </c>
      <c r="F43" s="74" t="s">
        <v>1084</v>
      </c>
      <c r="G43" s="74" t="s">
        <v>111</v>
      </c>
      <c r="H43" s="74" t="s">
        <v>1016</v>
      </c>
      <c r="I43" s="74" t="s">
        <v>1015</v>
      </c>
      <c r="J43" s="74" t="s">
        <v>102</v>
      </c>
      <c r="K43" s="74" t="str">
        <f t="shared" ref="K43:K44" si="5">SUBSTITUTE(F43, "hazr-", "")&amp;"-fe"</f>
        <v>p-bdp-rlgcweb-lb-fe</v>
      </c>
      <c r="L43" s="74" t="s">
        <v>317</v>
      </c>
      <c r="M43" s="74" t="s">
        <v>345</v>
      </c>
      <c r="N43" s="74" t="s">
        <v>968</v>
      </c>
      <c r="O43" s="74" t="s">
        <v>108</v>
      </c>
      <c r="P43" s="74" t="s">
        <v>1086</v>
      </c>
      <c r="Q43" s="74" t="str">
        <f t="shared" ref="Q43:Q44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924</v>
      </c>
      <c r="E44" s="82" t="s">
        <v>24</v>
      </c>
      <c r="F44" s="82" t="s">
        <v>1085</v>
      </c>
      <c r="G44" s="82" t="s">
        <v>111</v>
      </c>
      <c r="H44" s="82" t="s">
        <v>1016</v>
      </c>
      <c r="I44" s="82" t="s">
        <v>1015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964</v>
      </c>
      <c r="O44" s="82" t="s">
        <v>108</v>
      </c>
      <c r="P44" s="82" t="s">
        <v>1087</v>
      </c>
      <c r="Q44" s="82" t="str">
        <f t="shared" si="6"/>
        <v>p-bdp-rlgcap-lb-bp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6"/>
  <sheetViews>
    <sheetView topLeftCell="A46" workbookViewId="0">
      <selection activeCell="B66" sqref="B66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51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50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51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50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51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50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51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50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51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50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51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50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914</v>
      </c>
      <c r="F54" s="104" t="str">
        <f t="shared" ref="F54:F60" si="13">SUBSTITUTE(E54, "hazr-", "")&amp;"-pb"&amp;H54</f>
        <v>p-cs-chtap-lb-pb?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985</v>
      </c>
      <c r="F55" s="104" t="str">
        <f t="shared" si="13"/>
        <v>p-cs-chtweb-lb-pb?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B56" s="102" t="s">
        <v>984</v>
      </c>
      <c r="C56" s="102"/>
      <c r="D56" s="102" t="s">
        <v>926</v>
      </c>
      <c r="E56" s="102" t="s">
        <v>916</v>
      </c>
      <c r="F56" s="104" t="str">
        <f t="shared" si="13"/>
        <v>p-cs-chtintweb-lb-pb?</v>
      </c>
      <c r="G56" s="102" t="s">
        <v>57</v>
      </c>
      <c r="H56" s="102" t="s">
        <v>983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50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51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50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6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1025</v>
      </c>
      <c r="F62" s="116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119" t="str">
        <f t="shared" ref="F63:F66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119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2:11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116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2:11" x14ac:dyDescent="0.3"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116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6"/>
  <sheetViews>
    <sheetView topLeftCell="G25" workbookViewId="0">
      <selection activeCell="L35" sqref="L35:N4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983</v>
      </c>
      <c r="J54" s="102" t="b">
        <v>0</v>
      </c>
      <c r="K54" s="102" t="str">
        <f t="shared" si="17"/>
        <v>p-cs-chtap-lb-bp</v>
      </c>
      <c r="L54" s="102" t="s">
        <v>983</v>
      </c>
      <c r="M54" s="102" t="str">
        <f t="shared" si="11"/>
        <v>p-cs-chtap-lb-pb?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983</v>
      </c>
      <c r="J55" s="102" t="b">
        <v>0</v>
      </c>
      <c r="K55" s="102" t="str">
        <f t="shared" si="17"/>
        <v>p-cs-chtweb-lb-bp</v>
      </c>
      <c r="L55" s="102" t="s">
        <v>983</v>
      </c>
      <c r="M55" s="102" t="str">
        <f t="shared" si="11"/>
        <v>p-cs-chtweb-lb-pb?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983</v>
      </c>
      <c r="J56" s="102" t="b">
        <v>0</v>
      </c>
      <c r="K56" s="102" t="str">
        <f t="shared" si="17"/>
        <v>p-cs-chtintweb-lb-bp</v>
      </c>
      <c r="L56" s="102" t="s">
        <v>983</v>
      </c>
      <c r="M56" s="102" t="str">
        <f t="shared" si="11"/>
        <v>p-cs-chtintweb-lb-pb?</v>
      </c>
      <c r="N56" s="102" t="s">
        <v>57</v>
      </c>
      <c r="O56" s="102" t="s">
        <v>983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1027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2:19" x14ac:dyDescent="0.3"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2026-08-21T02:01:00Z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