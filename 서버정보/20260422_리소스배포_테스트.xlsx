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9E17F478-1CB1-41C1-8EA1-2408B201C478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r:id="rId6"/>
    <sheet name="LB" sheetId="6" r:id="rId7"/>
    <sheet name="LB_Probe" sheetId="10" r:id="rId8"/>
    <sheet name="LB_Rule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 a="1"/>
  <c r="D3" i="2" s="1"/>
  <c r="C5" i="2" a="1"/>
  <c r="C5" i="2" s="1"/>
  <c r="D5" i="2" a="1"/>
  <c r="D5" i="2" s="1"/>
  <c r="C4" i="2" a="1"/>
  <c r="C4" i="2" s="1"/>
  <c r="D4" i="2" a="1"/>
  <c r="D4" i="2" s="1"/>
  <c r="C3" i="2" a="1"/>
  <c r="C3" i="2" s="1"/>
  <c r="D2" i="2" a="1"/>
  <c r="D2" i="2" s="1"/>
  <c r="C2" i="2" a="1"/>
  <c r="C2" i="2" s="1"/>
  <c r="J3" i="14"/>
  <c r="J2" i="14"/>
  <c r="C2" i="1" a="1"/>
  <c r="C2" i="1" s="1"/>
  <c r="C3" i="1" a="1"/>
  <c r="C3" i="1" s="1"/>
  <c r="O2" i="1"/>
  <c r="O3" i="1"/>
  <c r="U2" i="1"/>
  <c r="U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K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<sst xmlns="http://schemas.openxmlformats.org/spreadsheetml/2006/main" count="672" uniqueCount="266">
  <si>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</si>
  <si>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</si>
  <si>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</si>
  <si>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</si>
  <si>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</si>
  <si>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</si>
  <si>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</si>
  <si>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</si>
  <si>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</si>
  <si>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</si>
  <si>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</si>
  <si>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</si>
  <si>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</si>
  <si>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</si>
  <si>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</si>
  <si>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</si>
  <si>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</si>
  <si>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</si>
  <si>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</si>
  <si>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</si>
  <si>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</si>
  <si>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</si>
  <si>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</si>
  <si>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</si>
  <si>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</si>
  <si>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</si>
  <si>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</si>
  <si>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</si>
  <si>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</si>
  <si>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</si>
  <si>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</si>
  <si>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</si>
  <si>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</si>
  <si>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</si>
  <si>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</si>
  <si>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</si>
  <si>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</si>
  <si>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</si>
  <si>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</si>
  <si>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</si>
  <si>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</si>
  <si>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</si>
  <si>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</si>
  <si>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</si>
  <si>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</si>
  <si>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</si>
  <si>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</si>
  <si>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</si>
  <si>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</si>
  <si>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</si>
  <si>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</si>
  <si>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</si>
  <si>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</si>
  <si>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</si>
  <si>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</si>
  <si>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</si>
  <si>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</si>
  <si>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</si>
  <si>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</si>
  <si>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</si>
  <si>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</si>
  <si>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</si>
  <si>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</si>
  <si>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</si>
  <si>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</si>
  <si>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</si>
  <si>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</si>
  <si>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</si>
  <si>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</si>
  <si>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</si>
  <si>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</si>
  <si>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</si>
  <si>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</si>
  <si>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</si>
  <si>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</si>
  <si>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</si>
  <si>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</si>
  <si>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</si>
  <si>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</si>
  <si>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</si>
  <si>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NW</t>
    <phoneticPr fontId="1" type="noConversion"/>
  </si>
  <si>
    <t>PRD-NW-RG</t>
    <phoneticPr fontId="1" type="noConversion"/>
  </si>
  <si>
    <t>testprdnwvnet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</si>
  <si>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</si>
  <si>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</si>
  <si>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</si>
  <si>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</si>
  <si>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</si>
  <si>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</si>
  <si>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</si>
  <si>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</si>
  <si>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</si>
  <si>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</si>
  <si>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</si>
  <si>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</si>
  <si>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</si>
  <si>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</si>
  <si>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</si>
  <si>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</si>
  <si>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</si>
  <si>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</si>
  <si>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</si>
  <si>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</si>
  <si>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</si>
  <si>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</si>
  <si>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</si>
  <si>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</si>
  <si>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</si>
  <si>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</si>
  <si>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</si>
  <si>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</si>
  <si>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</si>
  <si>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</si>
  <si>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</si>
  <si>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</si>
  <si>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</si>
  <si>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</si>
  <si>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</si>
  <si>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</si>
  <si>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</si>
  <si>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</si>
  <si>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</si>
  <si>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</si>
  <si>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</si>
  <si>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</si>
  <si>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</si>
  <si>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</si>
  <si>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</si>
  <si>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</si>
  <si>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</si>
  <si>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</si>
  <si>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</si>
  <si>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</si>
  <si>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</si>
  <si>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</si>
  <si>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</si>
  <si>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</si>
  <si>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</si>
  <si>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</si>
  <si>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</si>
  <si>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</si>
  <si>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</si>
  <si>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</si>
  <si>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</si>
  <si>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</si>
  <si>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</si>
  <si>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</si>
  <si>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</si>
  <si>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</si>
  <si>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</si>
  <si>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</si>
  <si>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</si>
  <si>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</si>
  <si>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</si>
  <si>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</si>
  <si>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</si>
  <si>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</si>
  <si>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</si>
  <si>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</si>
  <si>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</si>
  <si>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</si>
  <si>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</si>
  <si>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</si>
  <si>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</si>
  <si>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</si>
  <si>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</si>
  <si>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</si>
  <si>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</si>
  <si>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</si>
  <si>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</si>
  <si>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</si>
  <si>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</si>
  <si>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</si>
  <si>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</si>
  <si>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</si>
  <si>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</si>
  <si>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</si>
  <si>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</si>
  <si>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</si>
  <si>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</si>
  <si>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</si>
  <si>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</si>
  <si>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</si>
  <si>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</si>
  <si>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</si>
  <si>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</si>
  <si>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</si>
  <si>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</si>
  <si>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</si>
  <si>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</si>
  <si>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</si>
  <si>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</si>
  <si>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</si>
  <si>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</si>
  <si>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</si>
  <si>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</si>
  <si>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</si>
  <si>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</si>
  <si>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</si>
  <si>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</si>
  <si>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</si>
  <si>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</si>
  <si>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</si>
  <si>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</si>
  <si>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</si>
  <si>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</si>
  <si>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</si>
  <si>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</si>
  <si>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</si>
  <si>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</si>
  <si>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</si>
  <si>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</si>
  <si>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</si>
  <si>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</si>
  <si>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CS</t>
    <phoneticPr fontId="1" type="noConversion"/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</si>
  <si>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</si>
  <si>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</si>
  <si>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</si>
  <si>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</si>
  <si>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</si>
  <si>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</si>
  <si>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</si>
  <si>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</si>
  <si>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</si>
  <si>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</si>
  <si>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</si>
  <si>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</si>
  <si>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</si>
  <si>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</si>
  <si>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</si>
  <si>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</si>
  <si>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</si>
  <si>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</si>
  <si>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</si>
  <si>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</si>
  <si>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</si>
  <si>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</si>
  <si>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</si>
  <si>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</si>
  <si>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</si>
  <si>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</si>
  <si>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</si>
  <si>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</si>
  <si>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hazr-t-cs-rg</t>
  </si>
  <si>
    <t>hazr-t-dis-rg</t>
  </si>
  <si>
    <t>hazr-t-doip-rg</t>
  </si>
  <si>
    <t>hazr-t-dtg-rg</t>
  </si>
  <si>
    <t>hazr-t-if-rg</t>
  </si>
  <si>
    <t>hazr-t-bdp-rg</t>
  </si>
  <si>
    <t>hazr-t-puls-rg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</si>
  <si>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</si>
  <si>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</si>
  <si>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</si>
  <si>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</si>
  <si>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</si>
  <si>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</si>
  <si>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</si>
  <si>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</si>
  <si>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/subscriptions/b73b1d70-b43f-41b5-bb3f-34b9236d2ed9/resourceGroups/hazr-l-mgmt-rg/providers/Microsoft.Compute/galleries/hazrlmgmtgal/images/RHEL_9.6_Base_Image/versions/0.0.4</t>
    <phoneticPr fontId="1" type="noConversion"/>
  </si>
  <si>
    <t>Role2</t>
    <phoneticPr fontId="1" type="noConversion"/>
  </si>
  <si>
    <t>t-cs-db-sbn</t>
    <phoneticPr fontId="1" type="noConversion"/>
  </si>
  <si>
    <t>t-cs-pe-sbn</t>
    <phoneticPr fontId="1" type="noConversion"/>
  </si>
  <si>
    <t>t-cs-web-nsg</t>
    <phoneticPr fontId="1" type="noConversion"/>
  </si>
  <si>
    <t>t-cs-ap-nsg</t>
    <phoneticPr fontId="1" type="noConversion"/>
  </si>
  <si>
    <t>t-cs-db-nsg</t>
    <phoneticPr fontId="1" type="noConversion"/>
  </si>
  <si>
    <t>t-cs-pe-nsg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</si>
</sst>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9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3" borderId="19" xfId="0" applyFont="1" applyFill="1" applyBorder="1">
      <alignment vertical="center"/>
    </xf>
    <xf numFmtId="0" fontId="3" fillId="0" borderId="19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7" borderId="1" xfId="0" applyFill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" totalsRowShown="0" headerRowDxfId="32" dataDxfId="31">
  <autoFilter ref="B1:AF6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activeCell="E19" sqref="E19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1" t="s">
        <v>94</v>
      </c>
      <c r="G1" s="51" t="s">
        <v>95</v>
      </c>
      <c r="H1" s="55" t="s">
        <v>96</v>
      </c>
      <c r="I1" s="55" t="s">
        <v>97</v>
      </c>
      <c r="J1" s="51" t="s">
        <v>83</v>
      </c>
      <c r="K1" s="51" t="s">
        <v>84</v>
      </c>
      <c r="L1" s="55" t="s">
        <v>85</v>
      </c>
      <c r="M1" s="55" t="s">
        <v>86</v>
      </c>
      <c r="N1" s="55" t="s">
        <v>87</v>
      </c>
      <c r="O1" s="55" t="s">
        <v>88</v>
      </c>
      <c r="P1" s="55" t="s">
        <v>162</v>
      </c>
      <c r="Q1" s="55" t="s">
        <v>163</v>
      </c>
      <c r="R1" s="55" t="s">
        <v>164</v>
      </c>
      <c r="S1" s="55" t="s">
        <v>165</v>
      </c>
      <c r="T1" s="55" t="s">
        <v>166</v>
      </c>
      <c r="U1" s="55" t="s">
        <v>167</v>
      </c>
      <c r="V1" s="55" t="s">
        <v>168</v>
      </c>
      <c r="W1" s="55" t="s">
        <v>169</v>
      </c>
      <c r="X1" s="55" t="s">
        <v>170</v>
      </c>
      <c r="Y1" s="55" t="s">
        <v>171</v>
      </c>
      <c r="Z1" s="55" t="s">
        <v>172</v>
      </c>
      <c r="AA1" s="55" t="s">
        <v>173</v>
      </c>
      <c r="AB1" s="55" t="s">
        <v>174</v>
      </c>
      <c r="AC1" s="55" t="s">
        <v>175</v>
      </c>
      <c r="AD1" s="55" t="s">
        <v>176</v>
      </c>
      <c r="AE1" s="55" t="s">
        <v>177</v>
      </c>
      <c r="AF1" s="55" t="s">
        <v>178</v>
      </c>
      <c r="AG1" s="55" t="s">
        <v>179</v>
      </c>
      <c r="AH1" s="55" t="s">
        <v>180</v>
      </c>
      <c r="AI1" s="55" t="s">
        <v>181</v>
      </c>
      <c r="AJ1" s="55" t="s">
        <v>182</v>
      </c>
      <c r="AK1" s="55" t="s">
        <v>183</v>
      </c>
      <c r="AL1" s="55" t="s">
        <v>184</v>
      </c>
      <c r="AM1" s="55" t="s">
        <v>185</v>
      </c>
      <c r="AN1" s="55" t="s">
        <v>186</v>
      </c>
      <c r="AO1" s="55" t="s">
        <v>187</v>
      </c>
      <c r="AP1" s="55" t="s">
        <v>188</v>
      </c>
      <c r="AQ1" s="55" t="s">
        <v>189</v>
      </c>
      <c r="AR1" s="55" t="s">
        <v>190</v>
      </c>
      <c r="AS1" s="55" t="s">
        <v>191</v>
      </c>
      <c r="AT1" s="55" t="s">
        <v>192</v>
      </c>
      <c r="AU1" s="55" t="s">
        <v>193</v>
      </c>
      <c r="AV1" s="55" t="s">
        <v>194</v>
      </c>
      <c r="AW1" s="55" t="s">
        <v>195</v>
      </c>
      <c r="AX1" s="55" t="s">
        <v>196</v>
      </c>
      <c r="AY1" s="55" t="s">
        <v>197</v>
      </c>
      <c r="AZ1" s="55" t="s">
        <v>198</v>
      </c>
      <c r="BA1" s="55" t="s">
        <v>199</v>
      </c>
      <c r="BB1" s="55" t="s">
        <v>200</v>
      </c>
      <c r="BC1" s="55" t="s">
        <v>201</v>
      </c>
      <c r="BD1" s="55" t="s">
        <v>202</v>
      </c>
      <c r="BE1" s="55" t="s">
        <v>203</v>
      </c>
      <c r="BF1" s="55" t="s">
        <v>204</v>
      </c>
      <c r="BG1" s="55" t="s">
        <v>205</v>
      </c>
      <c r="BH1" s="55" t="s">
        <v>206</v>
      </c>
      <c r="BI1" s="55" t="s">
        <v>207</v>
      </c>
      <c r="BJ1" s="55" t="s">
        <v>208</v>
      </c>
      <c r="BK1" s="55" t="s">
        <v>209</v>
      </c>
    </row>
    <row r="2" spans="1:63" x14ac:dyDescent="0.3">
      <c r="A2" s="52"/>
      <c r="B2" s="56" t="s">
        <v>223</v>
      </c>
      <c r="C2" s="56" t="s">
        <v>80</v>
      </c>
      <c r="D2" s="56" t="s">
        <v>239</v>
      </c>
      <c r="E2" s="56" t="s">
        <v>24</v>
      </c>
      <c r="F2" s="56" t="s">
        <v>240</v>
      </c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</row>
    <row r="3" spans="1:63" x14ac:dyDescent="0.3">
      <c r="A3" s="97"/>
      <c r="B3" s="56" t="s">
        <v>223</v>
      </c>
      <c r="C3" s="56" t="s">
        <v>80</v>
      </c>
      <c r="D3" s="56" t="s">
        <v>239</v>
      </c>
      <c r="E3" s="56" t="s">
        <v>24</v>
      </c>
      <c r="F3" s="56" t="s">
        <v>241</v>
      </c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  <c r="AP3" s="56"/>
      <c r="AQ3" s="56"/>
      <c r="AR3" s="56"/>
      <c r="AS3" s="56"/>
      <c r="AT3" s="52"/>
      <c r="AU3" s="56"/>
      <c r="AV3" s="52"/>
      <c r="AW3" s="56"/>
      <c r="AX3" s="52"/>
      <c r="AY3" s="52"/>
      <c r="AZ3" s="52"/>
      <c r="BA3" s="52"/>
      <c r="BB3" s="52"/>
      <c r="BC3" s="52"/>
      <c r="BD3" s="52"/>
      <c r="BE3" s="52"/>
      <c r="BF3" s="52"/>
      <c r="BG3" s="52"/>
      <c r="BH3" s="52"/>
      <c r="BI3" s="52"/>
      <c r="BJ3" s="52"/>
      <c r="BK3" s="52"/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5" t="s">
        <v>79</v>
      </c>
    </row>
    <row r="2" spans="1:6" x14ac:dyDescent="0.3">
      <c r="A2" s="82"/>
      <c r="B2" s="56" t="s">
        <v>223</v>
      </c>
      <c r="C2" s="56" t="s">
        <v>216</v>
      </c>
      <c r="D2" s="56" t="s">
        <v>239</v>
      </c>
      <c r="E2" s="56" t="s">
        <v>24</v>
      </c>
      <c r="F2" s="56"/>
    </row>
    <row r="3" spans="1:6" x14ac:dyDescent="0.3">
      <c r="A3" s="83"/>
      <c r="B3" s="56" t="s">
        <v>223</v>
      </c>
      <c r="C3" s="56" t="s">
        <v>217</v>
      </c>
      <c r="D3" s="56" t="s">
        <v>242</v>
      </c>
      <c r="E3" s="56" t="s">
        <v>24</v>
      </c>
      <c r="F3" s="56"/>
    </row>
    <row r="4" spans="1:6" x14ac:dyDescent="0.3">
      <c r="A4" s="82"/>
      <c r="B4" s="56" t="s">
        <v>223</v>
      </c>
      <c r="C4" s="56" t="s">
        <v>214</v>
      </c>
      <c r="D4" s="56" t="s">
        <v>243</v>
      </c>
      <c r="E4" s="56" t="s">
        <v>24</v>
      </c>
      <c r="F4" s="56"/>
    </row>
    <row r="5" spans="1:6" x14ac:dyDescent="0.3">
      <c r="A5" s="83"/>
      <c r="B5" s="56" t="s">
        <v>223</v>
      </c>
      <c r="C5" s="56" t="s">
        <v>215</v>
      </c>
      <c r="D5" s="56" t="s">
        <v>244</v>
      </c>
      <c r="E5" s="56" t="s">
        <v>24</v>
      </c>
      <c r="F5" s="56"/>
    </row>
    <row r="6" spans="1:6" x14ac:dyDescent="0.3">
      <c r="A6" s="82"/>
      <c r="B6" s="56" t="s">
        <v>223</v>
      </c>
      <c r="C6" s="56" t="s">
        <v>218</v>
      </c>
      <c r="D6" s="56" t="s">
        <v>245</v>
      </c>
      <c r="E6" s="56" t="s">
        <v>24</v>
      </c>
      <c r="F6" s="56"/>
    </row>
    <row r="7" spans="1:6" x14ac:dyDescent="0.3">
      <c r="A7" s="83"/>
      <c r="B7" s="56" t="s">
        <v>223</v>
      </c>
      <c r="C7" s="56" t="s">
        <v>219</v>
      </c>
      <c r="D7" s="56" t="s">
        <v>246</v>
      </c>
      <c r="E7" s="56" t="s">
        <v>24</v>
      </c>
      <c r="F7" s="56"/>
    </row>
    <row r="8" spans="1:6" x14ac:dyDescent="0.3">
      <c r="A8" s="82"/>
      <c r="B8" s="56" t="s">
        <v>223</v>
      </c>
      <c r="C8" s="56" t="s">
        <v>220</v>
      </c>
      <c r="D8" s="56" t="s">
        <v>247</v>
      </c>
      <c r="E8" s="56" t="s">
        <v>24</v>
      </c>
      <c r="F8" s="56"/>
    </row>
    <row r="9" spans="1:6" x14ac:dyDescent="0.3">
      <c r="A9" s="82"/>
      <c r="B9" s="56" t="s">
        <v>223</v>
      </c>
      <c r="C9" s="56" t="s">
        <v>221</v>
      </c>
      <c r="D9" s="56" t="s">
        <v>248</v>
      </c>
      <c r="E9" s="56" t="s">
        <v>24</v>
      </c>
      <c r="F9" s="52"/>
    </row>
    <row r="10" spans="1:6" x14ac:dyDescent="0.3">
      <c r="A10" s="83"/>
      <c r="B10" s="56" t="s">
        <v>223</v>
      </c>
      <c r="C10" s="56" t="s">
        <v>222</v>
      </c>
      <c r="D10" s="56" t="s">
        <v>249</v>
      </c>
      <c r="E10" s="56" t="s">
        <v>24</v>
      </c>
      <c r="F10" s="52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6"/>
  <sheetViews>
    <sheetView zoomScaleNormal="100" zoomScaleSheetLayoutView="100" workbookViewId="0">
      <selection activeCell="C2" sqref="C2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52"/>
      <c r="B1" s="1" t="s">
        <v>0</v>
      </c>
      <c r="C1" s="1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1" t="s">
        <v>7</v>
      </c>
      <c r="J1" s="1" t="s">
        <v>8</v>
      </c>
      <c r="K1" s="43" t="s">
        <v>9</v>
      </c>
      <c r="L1" s="44" t="s">
        <v>10</v>
      </c>
      <c r="M1" s="43" t="s">
        <v>93</v>
      </c>
      <c r="N1" s="43" t="s">
        <v>28</v>
      </c>
      <c r="O1" s="43" t="s">
        <v>11</v>
      </c>
      <c r="P1" s="43" t="s">
        <v>12</v>
      </c>
      <c r="Q1" s="43" t="s">
        <v>13</v>
      </c>
      <c r="R1" s="1" t="s">
        <v>14</v>
      </c>
      <c r="S1" s="1" t="s">
        <v>15</v>
      </c>
      <c r="T1" s="1" t="s">
        <v>16</v>
      </c>
      <c r="U1" s="43" t="s">
        <v>17</v>
      </c>
      <c r="V1" s="43" t="s">
        <v>237</v>
      </c>
      <c r="W1" s="43" t="s">
        <v>18</v>
      </c>
      <c r="X1" s="43" t="s">
        <v>92</v>
      </c>
      <c r="Y1" s="43" t="s">
        <v>19</v>
      </c>
      <c r="Z1" s="43" t="s">
        <v>20</v>
      </c>
      <c r="AA1" s="43" t="s">
        <v>238</v>
      </c>
      <c r="AB1" s="43" t="s">
        <v>236</v>
      </c>
      <c r="AC1" s="43" t="s">
        <v>161</v>
      </c>
      <c r="AD1" s="43" t="s">
        <v>25</v>
      </c>
      <c r="AE1" s="1" t="s">
        <v>21</v>
      </c>
      <c r="AF1" s="1" t="s">
        <v>22</v>
      </c>
    </row>
    <row r="2" spans="1:32" x14ac:dyDescent="0.3">
      <c r="A2" s="82"/>
      <c r="B2" s="1" t="s">
        <v>223</v>
      </c>
      <c r="C2" s="1" t="str" cm="1">
        <f t="array" ref="C2">UPPER(INDEX(_xlfn.TEXTSPLIT($D2, "-"), 3))</f>
        <v>CS</v>
      </c>
      <c r="D2" s="1" t="s">
        <v>250</v>
      </c>
      <c r="E2" s="1" t="s">
        <v>24</v>
      </c>
      <c r="F2" s="1" t="s">
        <v>251</v>
      </c>
      <c r="G2" s="1" t="s">
        <v>256</v>
      </c>
      <c r="H2" s="81" t="s">
        <v>211</v>
      </c>
      <c r="I2" s="1">
        <v>2</v>
      </c>
      <c r="J2" s="1">
        <v>8</v>
      </c>
      <c r="K2" s="1" t="s">
        <v>224</v>
      </c>
      <c r="L2" s="1" t="s">
        <v>210</v>
      </c>
      <c r="M2" s="1" t="s">
        <v>212</v>
      </c>
      <c r="N2" s="1" t="s">
        <v>258</v>
      </c>
      <c r="O2" s="1" t="str">
        <f t="shared" ref="O2:O3" si="0">SUBSTITUTE(F2,"hazr-","")&amp;"-osdisk"</f>
        <v>t-cs-chtweb01-osdisk</v>
      </c>
      <c r="P2" s="1">
        <v>64</v>
      </c>
      <c r="Q2" s="1" t="s">
        <v>213</v>
      </c>
      <c r="R2" s="1"/>
      <c r="S2" s="1"/>
      <c r="T2" s="1"/>
      <c r="U2" s="1" t="str">
        <f t="shared" ref="U2:U3" si="1">SUBSTITUTE(F2,"hazr-","")&amp;"-nic"</f>
        <v>t-cs-chtweb01-nic</v>
      </c>
      <c r="V2" s="1" t="b">
        <v>1</v>
      </c>
      <c r="W2" s="1" t="b">
        <v>1</v>
      </c>
      <c r="X2" s="1" t="s">
        <v>239</v>
      </c>
      <c r="Y2" s="1" t="s">
        <v>240</v>
      </c>
      <c r="Z2" s="1" t="s">
        <v>254</v>
      </c>
      <c r="AA2" s="1" t="b">
        <v>1</v>
      </c>
      <c r="AB2" s="1" t="s">
        <v>239</v>
      </c>
      <c r="AC2" s="1" t="s">
        <v>255</v>
      </c>
      <c r="AD2" s="1">
        <v>3</v>
      </c>
      <c r="AE2" s="1"/>
      <c r="AF2" s="1"/>
    </row>
    <row r="3" spans="1:32" x14ac:dyDescent="0.3">
      <c r="A3" s="82"/>
      <c r="B3" s="1" t="s">
        <v>223</v>
      </c>
      <c r="C3" s="1" t="str" cm="1">
        <f t="array" ref="C3">UPPER(INDEX(_xlfn.TEXTSPLIT($D3, "-"), 3))</f>
        <v>CS</v>
      </c>
      <c r="D3" s="1" t="s">
        <v>250</v>
      </c>
      <c r="E3" s="1" t="s">
        <v>24</v>
      </c>
      <c r="F3" s="1" t="s">
        <v>252</v>
      </c>
      <c r="G3" s="1" t="s">
        <v>257</v>
      </c>
      <c r="H3" s="81" t="s">
        <v>211</v>
      </c>
      <c r="I3" s="1">
        <v>2</v>
      </c>
      <c r="J3" s="1">
        <v>8</v>
      </c>
      <c r="K3" s="1" t="s">
        <v>224</v>
      </c>
      <c r="L3" s="80" t="s">
        <v>210</v>
      </c>
      <c r="M3" s="1" t="s">
        <v>212</v>
      </c>
      <c r="N3" s="1" t="s">
        <v>258</v>
      </c>
      <c r="O3" s="1" t="str">
        <f t="shared" si="0"/>
        <v>t-cs-chtintweb01-osdisk</v>
      </c>
      <c r="P3" s="1">
        <v>64</v>
      </c>
      <c r="Q3" s="1" t="s">
        <v>213</v>
      </c>
      <c r="R3" s="1"/>
      <c r="S3" s="1"/>
      <c r="T3" s="1"/>
      <c r="U3" s="1" t="str">
        <f t="shared" si="1"/>
        <v>t-cs-chtintweb01-nic</v>
      </c>
      <c r="V3" s="1" t="b">
        <v>1</v>
      </c>
      <c r="W3" s="1" t="b">
        <v>1</v>
      </c>
      <c r="X3" s="1" t="s">
        <v>239</v>
      </c>
      <c r="Y3" s="1" t="s">
        <v>241</v>
      </c>
      <c r="Z3" s="1" t="s">
        <v>253</v>
      </c>
      <c r="AA3" s="1" t="b">
        <v>1</v>
      </c>
      <c r="AB3" s="1" t="s">
        <v>239</v>
      </c>
      <c r="AC3" s="1" t="s">
        <v>255</v>
      </c>
      <c r="AD3" s="1">
        <v>3</v>
      </c>
      <c r="AE3" s="1"/>
      <c r="AF3" s="1"/>
    </row>
    <row r="4" spans="1:32" x14ac:dyDescent="0.3">
      <c r="B4" s="1"/>
      <c r="C4" s="1"/>
      <c r="D4" s="1"/>
      <c r="E4" s="1"/>
      <c r="G4" s="1"/>
      <c r="H4" s="81"/>
      <c r="I4" s="1"/>
      <c r="J4" s="1"/>
      <c r="K4" s="1"/>
      <c r="L4" s="8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3">
      <c r="B5" s="1"/>
      <c r="C5" s="1"/>
      <c r="D5" s="1"/>
      <c r="E5" s="1"/>
      <c r="G5" s="1"/>
      <c r="H5" s="81"/>
      <c r="I5" s="1"/>
      <c r="J5" s="1"/>
      <c r="K5" s="1"/>
      <c r="L5" s="8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3">
      <c r="B6" s="1"/>
      <c r="C6" s="1"/>
      <c r="D6" s="1"/>
      <c r="E6" s="1"/>
      <c r="G6" s="1"/>
      <c r="H6" s="81"/>
      <c r="I6" s="1"/>
      <c r="J6" s="1"/>
      <c r="K6" s="1"/>
      <c r="L6" s="80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R6"/>
  <sheetViews>
    <sheetView workbookViewId="0">
      <selection activeCell="E6" sqref="E6"/>
    </sheetView>
  </sheetViews>
  <sheetFormatPr defaultRowHeight="16.5" x14ac:dyDescent="0.3"/>
  <cols>
    <col min="1" max="1" width="1.25" style="89" customWidth="1"/>
    <col min="2" max="2" width="5.75" style="89" bestFit="1" customWidth="1"/>
    <col min="3" max="3" width="9.375" style="89" bestFit="1" customWidth="1"/>
    <col min="4" max="4" width="17.625" style="89" bestFit="1" customWidth="1"/>
    <col min="5" max="5" width="17.625" style="89" customWidth="1"/>
    <col min="6" max="6" width="19.875" style="89" bestFit="1" customWidth="1"/>
    <col min="7" max="7" width="21.5" style="89" bestFit="1" customWidth="1"/>
    <col min="8" max="8" width="15" style="89" bestFit="1" customWidth="1"/>
    <col min="9" max="9" width="12.25" style="89" customWidth="1"/>
    <col min="10" max="10" width="21.5" style="89" bestFit="1" customWidth="1"/>
    <col min="11" max="11" width="15" style="89" bestFit="1" customWidth="1"/>
    <col min="12" max="17" width="14.125" style="89" customWidth="1"/>
  </cols>
  <sheetData>
    <row r="1" spans="1:18" x14ac:dyDescent="0.3">
      <c r="A1" s="90"/>
      <c r="B1" s="91" t="s">
        <v>0</v>
      </c>
      <c r="C1" s="91" t="s">
        <v>1</v>
      </c>
      <c r="D1" s="86" t="s">
        <v>2</v>
      </c>
      <c r="E1" s="86" t="s">
        <v>3</v>
      </c>
      <c r="F1" s="86" t="s">
        <v>225</v>
      </c>
      <c r="G1" s="86" t="s">
        <v>227</v>
      </c>
      <c r="H1" s="86" t="s">
        <v>229</v>
      </c>
      <c r="I1" s="86" t="s">
        <v>230</v>
      </c>
      <c r="J1" s="86" t="s">
        <v>228</v>
      </c>
      <c r="K1" s="86" t="s">
        <v>231</v>
      </c>
      <c r="L1" s="86" t="s">
        <v>232</v>
      </c>
      <c r="M1" s="86" t="s">
        <v>226</v>
      </c>
      <c r="N1" s="86" t="s">
        <v>234</v>
      </c>
      <c r="O1" s="86" t="s">
        <v>236</v>
      </c>
      <c r="P1" s="86" t="s">
        <v>161</v>
      </c>
      <c r="Q1" s="86" t="s">
        <v>233</v>
      </c>
      <c r="R1" s="91" t="s">
        <v>79</v>
      </c>
    </row>
    <row r="2" spans="1:18" x14ac:dyDescent="0.3">
      <c r="A2" s="98"/>
      <c r="B2" s="87" t="s">
        <v>223</v>
      </c>
      <c r="C2" s="87" t="s">
        <v>214</v>
      </c>
      <c r="D2" s="87" t="s">
        <v>250</v>
      </c>
      <c r="E2" s="92" t="s">
        <v>24</v>
      </c>
      <c r="F2" s="94" t="s">
        <v>251</v>
      </c>
      <c r="G2" s="87" t="str">
        <f>SUBSTITUTE($F2,"hazr-","")&amp;"-disk01"</f>
        <v>t-cs-chtweb01-disk01</v>
      </c>
      <c r="H2" s="87" t="s">
        <v>213</v>
      </c>
      <c r="I2" s="87">
        <v>128</v>
      </c>
      <c r="J2" s="87" t="str">
        <f>SUBSTITUTE($F2,"hazr-","")&amp;"-disk02"</f>
        <v>t-cs-chtweb01-disk02</v>
      </c>
      <c r="K2" s="87" t="s">
        <v>213</v>
      </c>
      <c r="L2" s="87">
        <v>128</v>
      </c>
      <c r="M2" s="87">
        <v>3</v>
      </c>
      <c r="N2" s="87" t="s">
        <v>235</v>
      </c>
      <c r="O2" s="87" t="s">
        <v>239</v>
      </c>
      <c r="P2" s="87" t="s">
        <v>255</v>
      </c>
      <c r="Q2" s="87" t="b">
        <v>1</v>
      </c>
      <c r="R2" s="85"/>
    </row>
    <row r="3" spans="1:18" x14ac:dyDescent="0.3">
      <c r="A3" s="98"/>
      <c r="B3" s="88" t="s">
        <v>223</v>
      </c>
      <c r="C3" s="88" t="s">
        <v>214</v>
      </c>
      <c r="D3" s="88" t="s">
        <v>250</v>
      </c>
      <c r="E3" s="93" t="s">
        <v>24</v>
      </c>
      <c r="F3" s="95" t="s">
        <v>252</v>
      </c>
      <c r="G3" s="88" t="str">
        <f t="shared" ref="G3" si="0">SUBSTITUTE($F3,"hazr-","")&amp;"-disk01"</f>
        <v>t-cs-chtintweb01-disk01</v>
      </c>
      <c r="H3" s="88" t="s">
        <v>213</v>
      </c>
      <c r="I3" s="88">
        <v>128</v>
      </c>
      <c r="J3" s="88" t="str">
        <f>SUBSTITUTE($F3,"hazr-","")&amp;"-disk02"</f>
        <v>t-cs-chtintweb01-disk02</v>
      </c>
      <c r="K3" s="88" t="s">
        <v>213</v>
      </c>
      <c r="L3" s="88">
        <v>128</v>
      </c>
      <c r="M3" s="88">
        <v>3</v>
      </c>
      <c r="N3" s="88" t="s">
        <v>235</v>
      </c>
      <c r="O3" s="88" t="s">
        <v>239</v>
      </c>
      <c r="P3" s="88" t="s">
        <v>255</v>
      </c>
      <c r="Q3" s="88" t="b">
        <v>1</v>
      </c>
      <c r="R3" s="56"/>
    </row>
    <row r="4" spans="1:18" x14ac:dyDescent="0.3">
      <c r="A4" s="96"/>
      <c r="B4" s="88"/>
      <c r="C4" s="88"/>
      <c r="D4" s="88"/>
      <c r="E4" s="93"/>
      <c r="F4" s="95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56"/>
    </row>
    <row r="5" spans="1:18" x14ac:dyDescent="0.3">
      <c r="A5" s="96"/>
      <c r="B5" s="88"/>
      <c r="C5" s="88"/>
      <c r="D5" s="88"/>
      <c r="E5" s="93"/>
      <c r="F5" s="95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56"/>
    </row>
    <row r="6" spans="1:18" x14ac:dyDescent="0.3">
      <c r="B6" s="88"/>
      <c r="C6" s="88"/>
      <c r="D6" s="88"/>
      <c r="E6" s="93"/>
      <c r="F6" s="95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5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B1:K6"/>
  <sheetViews>
    <sheetView tabSelected="1" workbookViewId="0">
      <selection activeCell="B1" sqref="B1"/>
    </sheetView>
  </sheetViews>
  <sheetFormatPr defaultRowHeight="16.5" x14ac:dyDescent="0.3"/>
  <cols>
    <col min="1" max="1" width="1.5" customWidth="1"/>
    <col min="5" max="5" width="17.25" bestFit="1" customWidth="1"/>
    <col min="6" max="6" width="20.5" customWidth="1"/>
    <col min="7" max="7" width="11.625" bestFit="1" customWidth="1"/>
    <col min="8" max="8" width="20" bestFit="1" customWidth="1"/>
    <col min="9" max="9" width="18.5" bestFit="1" customWidth="1"/>
    <col min="10" max="10" width="18" customWidth="1"/>
  </cols>
  <sheetData>
    <row r="1" spans="2:11" x14ac:dyDescent="0.3">
      <c r="B1" s="3" t="s">
        <v>0</v>
      </c>
      <c r="C1" s="45" t="s">
        <v>1</v>
      </c>
      <c r="D1" s="45" t="s">
        <v>259</v>
      </c>
      <c r="E1" s="46" t="s">
        <v>33</v>
      </c>
      <c r="F1" s="47" t="s">
        <v>34</v>
      </c>
      <c r="G1" s="47" t="s">
        <v>98</v>
      </c>
      <c r="H1" s="47" t="s">
        <v>99</v>
      </c>
      <c r="I1" s="46" t="s">
        <v>100</v>
      </c>
      <c r="J1" s="46" t="s">
        <v>31</v>
      </c>
      <c r="K1" s="46" t="s">
        <v>36</v>
      </c>
    </row>
    <row r="2" spans="2:11" x14ac:dyDescent="0.3">
      <c r="B2" s="4" t="s">
        <v>223</v>
      </c>
      <c r="C2" s="4" t="str" cm="1">
        <f t="array" ref="C2">UPPER(INDEX(_xlfn.TEXTSPLIT($F2, "-"), 2))</f>
        <v>CS</v>
      </c>
      <c r="D2" s="4" t="str" cm="1">
        <f t="array" ref="D2">UPPER(INDEX(_xlfn.TEXTSPLIT($F2, "-"), 3))</f>
        <v>WEB</v>
      </c>
      <c r="E2" s="4" t="s">
        <v>239</v>
      </c>
      <c r="F2" s="4" t="s">
        <v>262</v>
      </c>
      <c r="G2" s="4" t="s">
        <v>239</v>
      </c>
      <c r="H2" s="4" t="s">
        <v>240</v>
      </c>
      <c r="I2" s="4" t="s">
        <v>254</v>
      </c>
      <c r="J2" s="4"/>
      <c r="K2" s="5" t="s">
        <v>37</v>
      </c>
    </row>
    <row r="3" spans="2:11" x14ac:dyDescent="0.3">
      <c r="B3" s="6" t="s">
        <v>223</v>
      </c>
      <c r="C3" s="6" t="str" cm="1">
        <f t="array" ref="C3">UPPER(INDEX(_xlfn.TEXTSPLIT($F2, "-"), 2))</f>
        <v>CS</v>
      </c>
      <c r="D3" s="6" t="str" cm="1">
        <f t="array" ref="D3">UPPER(INDEX(_xlfn.TEXTSPLIT($F3, "-"), 3))</f>
        <v>AP</v>
      </c>
      <c r="E3" s="6" t="s">
        <v>239</v>
      </c>
      <c r="F3" s="6" t="s">
        <v>263</v>
      </c>
      <c r="G3" s="6" t="s">
        <v>239</v>
      </c>
      <c r="H3" s="6" t="s">
        <v>241</v>
      </c>
      <c r="I3" s="6" t="s">
        <v>253</v>
      </c>
      <c r="J3" s="6"/>
      <c r="K3" s="7" t="s">
        <v>37</v>
      </c>
    </row>
    <row r="4" spans="2:11" x14ac:dyDescent="0.3">
      <c r="B4" s="4" t="s">
        <v>223</v>
      </c>
      <c r="C4" s="4" t="str" cm="1">
        <f t="array" ref="C4">UPPER(INDEX(_xlfn.TEXTSPLIT($F4, "-"), 2))</f>
        <v>CS</v>
      </c>
      <c r="D4" s="4" t="str" cm="1">
        <f t="array" ref="D4">UPPER(INDEX(_xlfn.TEXTSPLIT($F4, "-"), 3))</f>
        <v>DB</v>
      </c>
      <c r="E4" s="4" t="s">
        <v>239</v>
      </c>
      <c r="F4" s="4" t="s">
        <v>264</v>
      </c>
      <c r="G4" s="4" t="s">
        <v>239</v>
      </c>
      <c r="H4" s="4" t="s">
        <v>241</v>
      </c>
      <c r="I4" s="4" t="s">
        <v>260</v>
      </c>
      <c r="J4" s="4"/>
      <c r="K4" s="5" t="s">
        <v>37</v>
      </c>
    </row>
    <row r="5" spans="2:11" x14ac:dyDescent="0.3">
      <c r="B5" s="6" t="s">
        <v>223</v>
      </c>
      <c r="C5" s="6" t="str" cm="1">
        <f t="array" ref="C5">UPPER(INDEX(_xlfn.TEXTSPLIT($F5, "-"), 2))</f>
        <v>CS</v>
      </c>
      <c r="D5" s="6" t="str" cm="1">
        <f t="array" ref="D5">UPPER(INDEX(_xlfn.TEXTSPLIT($F5, "-"), 3))</f>
        <v>PE</v>
      </c>
      <c r="E5" s="6" t="s">
        <v>239</v>
      </c>
      <c r="F5" s="6" t="s">
        <v>265</v>
      </c>
      <c r="G5" s="6" t="s">
        <v>239</v>
      </c>
      <c r="H5" s="6" t="s">
        <v>241</v>
      </c>
      <c r="I5" s="6" t="s">
        <v>261</v>
      </c>
      <c r="J5" s="6"/>
      <c r="K5" s="7" t="s">
        <v>37</v>
      </c>
    </row>
    <row r="6" spans="2:11" x14ac:dyDescent="0.3">
      <c r="B6" s="53"/>
      <c r="C6" s="53"/>
      <c r="D6" s="53"/>
      <c r="E6" s="4"/>
      <c r="F6" s="4"/>
      <c r="G6" s="4"/>
      <c r="H6" s="53"/>
      <c r="I6" s="53"/>
      <c r="J6" s="53"/>
      <c r="K6" s="54" t="s">
        <v>37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34</v>
      </c>
      <c r="D1" s="47" t="s">
        <v>38</v>
      </c>
      <c r="E1" s="46" t="s">
        <v>39</v>
      </c>
      <c r="F1" s="47" t="s">
        <v>41</v>
      </c>
      <c r="G1" s="46" t="s">
        <v>40</v>
      </c>
      <c r="H1" s="48" t="s">
        <v>53</v>
      </c>
      <c r="I1" s="49" t="s">
        <v>54</v>
      </c>
      <c r="J1" s="49" t="s">
        <v>55</v>
      </c>
      <c r="K1" s="49" t="s">
        <v>56</v>
      </c>
      <c r="L1" s="49" t="s">
        <v>57</v>
      </c>
      <c r="M1" s="50" t="s">
        <v>22</v>
      </c>
    </row>
    <row r="2" spans="1:16" x14ac:dyDescent="0.3">
      <c r="A2" s="14" t="s">
        <v>23</v>
      </c>
      <c r="B2" s="15" t="s">
        <v>29</v>
      </c>
      <c r="C2" s="15" t="s">
        <v>101</v>
      </c>
      <c r="D2" s="15">
        <v>100</v>
      </c>
      <c r="E2" s="15" t="s">
        <v>51</v>
      </c>
      <c r="F2" s="15" t="s">
        <v>42</v>
      </c>
      <c r="G2" s="15" t="s">
        <v>45</v>
      </c>
      <c r="H2" s="15" t="s">
        <v>58</v>
      </c>
      <c r="I2" s="30" t="s">
        <v>74</v>
      </c>
      <c r="J2" s="30" t="s">
        <v>59</v>
      </c>
      <c r="K2" s="30" t="s">
        <v>26</v>
      </c>
      <c r="L2" s="30">
        <v>22</v>
      </c>
      <c r="M2" s="24" t="s">
        <v>63</v>
      </c>
    </row>
    <row r="3" spans="1:16" x14ac:dyDescent="0.3">
      <c r="A3" s="16" t="s">
        <v>23</v>
      </c>
      <c r="B3" s="4" t="s">
        <v>29</v>
      </c>
      <c r="C3" s="4" t="s">
        <v>101</v>
      </c>
      <c r="D3" s="4">
        <v>110</v>
      </c>
      <c r="E3" s="4" t="s">
        <v>50</v>
      </c>
      <c r="F3" s="4" t="s">
        <v>42</v>
      </c>
      <c r="G3" s="4" t="s">
        <v>45</v>
      </c>
      <c r="H3" s="4" t="s">
        <v>58</v>
      </c>
      <c r="I3" s="31" t="s">
        <v>59</v>
      </c>
      <c r="J3" s="31" t="s">
        <v>75</v>
      </c>
      <c r="K3" s="31" t="s">
        <v>72</v>
      </c>
      <c r="L3" s="31">
        <v>80</v>
      </c>
      <c r="M3" s="25" t="s">
        <v>64</v>
      </c>
    </row>
    <row r="4" spans="1:16" x14ac:dyDescent="0.3">
      <c r="A4" s="17" t="s">
        <v>23</v>
      </c>
      <c r="B4" s="9" t="s">
        <v>29</v>
      </c>
      <c r="C4" s="9" t="s">
        <v>101</v>
      </c>
      <c r="D4" s="9">
        <v>4095</v>
      </c>
      <c r="E4" s="9" t="s">
        <v>49</v>
      </c>
      <c r="F4" s="9" t="s">
        <v>42</v>
      </c>
      <c r="G4" s="9" t="s">
        <v>45</v>
      </c>
      <c r="H4" s="9" t="s">
        <v>60</v>
      </c>
      <c r="I4" s="32" t="s">
        <v>61</v>
      </c>
      <c r="J4" s="32" t="s">
        <v>59</v>
      </c>
      <c r="K4" s="32" t="s">
        <v>59</v>
      </c>
      <c r="L4" s="32" t="s">
        <v>59</v>
      </c>
      <c r="M4" s="26" t="s">
        <v>67</v>
      </c>
    </row>
    <row r="5" spans="1:16" x14ac:dyDescent="0.3">
      <c r="A5" s="18" t="s">
        <v>23</v>
      </c>
      <c r="B5" s="9" t="s">
        <v>29</v>
      </c>
      <c r="C5" s="9" t="s">
        <v>101</v>
      </c>
      <c r="D5" s="9">
        <v>4096</v>
      </c>
      <c r="E5" s="9" t="s">
        <v>52</v>
      </c>
      <c r="F5" s="9" t="s">
        <v>42</v>
      </c>
      <c r="G5" s="9" t="s">
        <v>44</v>
      </c>
      <c r="H5" s="9" t="s">
        <v>60</v>
      </c>
      <c r="I5" s="32" t="s">
        <v>35</v>
      </c>
      <c r="J5" s="32" t="s">
        <v>59</v>
      </c>
      <c r="K5" s="32" t="s">
        <v>35</v>
      </c>
      <c r="L5" s="32" t="s">
        <v>59</v>
      </c>
      <c r="M5" s="26" t="s">
        <v>66</v>
      </c>
    </row>
    <row r="6" spans="1:16" x14ac:dyDescent="0.3">
      <c r="A6" s="19" t="s">
        <v>23</v>
      </c>
      <c r="B6" s="12" t="s">
        <v>29</v>
      </c>
      <c r="C6" s="12" t="s">
        <v>101</v>
      </c>
      <c r="D6" s="12">
        <v>100</v>
      </c>
      <c r="E6" s="12" t="s">
        <v>47</v>
      </c>
      <c r="F6" s="12" t="s">
        <v>43</v>
      </c>
      <c r="G6" s="12" t="s">
        <v>45</v>
      </c>
      <c r="H6" s="12" t="s">
        <v>58</v>
      </c>
      <c r="I6" s="33" t="s">
        <v>26</v>
      </c>
      <c r="J6" s="33" t="s">
        <v>59</v>
      </c>
      <c r="K6" s="33" t="s">
        <v>68</v>
      </c>
      <c r="L6" s="33" t="s">
        <v>76</v>
      </c>
      <c r="M6" s="27" t="s">
        <v>70</v>
      </c>
    </row>
    <row r="7" spans="1:16" x14ac:dyDescent="0.3">
      <c r="A7" s="20" t="s">
        <v>23</v>
      </c>
      <c r="B7" s="6" t="s">
        <v>29</v>
      </c>
      <c r="C7" s="6" t="s">
        <v>101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29</v>
      </c>
      <c r="C8" s="6" t="s">
        <v>101</v>
      </c>
      <c r="D8" s="6"/>
      <c r="E8" s="6"/>
      <c r="F8" s="6" t="s">
        <v>43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29</v>
      </c>
      <c r="C9" s="22" t="s">
        <v>101</v>
      </c>
      <c r="D9" s="22">
        <v>4096</v>
      </c>
      <c r="E9" s="22" t="s">
        <v>73</v>
      </c>
      <c r="F9" s="22" t="s">
        <v>43</v>
      </c>
      <c r="G9" s="22" t="s">
        <v>44</v>
      </c>
      <c r="H9" s="23" t="s">
        <v>60</v>
      </c>
      <c r="I9" s="35" t="s">
        <v>59</v>
      </c>
      <c r="J9" s="35" t="s">
        <v>59</v>
      </c>
      <c r="K9" s="35" t="s">
        <v>69</v>
      </c>
      <c r="L9" s="35" t="s">
        <v>59</v>
      </c>
      <c r="M9" s="29" t="s">
        <v>65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29</v>
      </c>
      <c r="C11" s="13" t="s">
        <v>103</v>
      </c>
      <c r="D11" s="13">
        <v>100</v>
      </c>
      <c r="E11" s="13" t="s">
        <v>48</v>
      </c>
      <c r="F11" s="13" t="s">
        <v>42</v>
      </c>
      <c r="G11" s="13" t="s">
        <v>45</v>
      </c>
      <c r="H11" s="13" t="s">
        <v>58</v>
      </c>
      <c r="I11" s="36" t="s">
        <v>62</v>
      </c>
      <c r="J11" s="36" t="s">
        <v>59</v>
      </c>
      <c r="K11" s="36" t="s">
        <v>27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29</v>
      </c>
      <c r="C12" s="4" t="s">
        <v>103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29</v>
      </c>
      <c r="C13" s="9" t="s">
        <v>103</v>
      </c>
      <c r="D13" s="9">
        <v>4095</v>
      </c>
      <c r="E13" s="9" t="s">
        <v>49</v>
      </c>
      <c r="F13" s="9" t="s">
        <v>42</v>
      </c>
      <c r="G13" s="9" t="s">
        <v>45</v>
      </c>
      <c r="H13" s="9" t="s">
        <v>60</v>
      </c>
      <c r="I13" s="32" t="s">
        <v>61</v>
      </c>
      <c r="J13" s="32" t="s">
        <v>59</v>
      </c>
      <c r="K13" s="32" t="s">
        <v>59</v>
      </c>
      <c r="L13" s="32" t="s">
        <v>59</v>
      </c>
      <c r="M13" s="26" t="s">
        <v>67</v>
      </c>
    </row>
    <row r="14" spans="1:16" x14ac:dyDescent="0.3">
      <c r="A14" s="9" t="s">
        <v>23</v>
      </c>
      <c r="B14" s="9" t="s">
        <v>29</v>
      </c>
      <c r="C14" s="9" t="s">
        <v>103</v>
      </c>
      <c r="D14" s="9">
        <v>4096</v>
      </c>
      <c r="E14" s="9" t="s">
        <v>52</v>
      </c>
      <c r="F14" s="9" t="s">
        <v>42</v>
      </c>
      <c r="G14" s="9" t="s">
        <v>44</v>
      </c>
      <c r="H14" s="9" t="s">
        <v>60</v>
      </c>
      <c r="I14" s="32" t="s">
        <v>35</v>
      </c>
      <c r="J14" s="32" t="s">
        <v>59</v>
      </c>
      <c r="K14" s="32" t="s">
        <v>35</v>
      </c>
      <c r="L14" s="32" t="s">
        <v>59</v>
      </c>
      <c r="M14" s="9" t="s">
        <v>66</v>
      </c>
    </row>
    <row r="15" spans="1:16" x14ac:dyDescent="0.3">
      <c r="A15" s="63" t="s">
        <v>23</v>
      </c>
      <c r="B15" s="63" t="s">
        <v>29</v>
      </c>
      <c r="C15" s="63" t="s">
        <v>103</v>
      </c>
      <c r="D15" s="63"/>
      <c r="E15" s="63"/>
      <c r="F15" s="63" t="s">
        <v>43</v>
      </c>
      <c r="G15" s="63"/>
      <c r="H15" s="64"/>
      <c r="I15" s="65"/>
      <c r="J15" s="65"/>
      <c r="K15" s="65"/>
      <c r="L15" s="65"/>
      <c r="M15" s="64"/>
    </row>
    <row r="16" spans="1:16" x14ac:dyDescent="0.3">
      <c r="A16" s="63" t="s">
        <v>23</v>
      </c>
      <c r="B16" s="63" t="s">
        <v>29</v>
      </c>
      <c r="C16" s="63" t="s">
        <v>103</v>
      </c>
      <c r="D16" s="63"/>
      <c r="E16" s="63"/>
      <c r="F16" s="63" t="s">
        <v>43</v>
      </c>
      <c r="G16" s="63"/>
      <c r="H16" s="63"/>
      <c r="I16" s="66"/>
      <c r="J16" s="66"/>
      <c r="K16" s="66"/>
      <c r="L16" s="66"/>
      <c r="M16" s="63"/>
    </row>
    <row r="17" spans="1:13" x14ac:dyDescent="0.3">
      <c r="A17" s="63" t="s">
        <v>23</v>
      </c>
      <c r="B17" s="63" t="s">
        <v>29</v>
      </c>
      <c r="C17" s="63" t="s">
        <v>102</v>
      </c>
      <c r="D17" s="63"/>
      <c r="E17" s="63"/>
      <c r="F17" s="63" t="s">
        <v>43</v>
      </c>
      <c r="G17" s="63"/>
      <c r="H17" s="63"/>
      <c r="I17" s="66"/>
      <c r="J17" s="66"/>
      <c r="K17" s="66"/>
      <c r="L17" s="66"/>
      <c r="M17" s="63"/>
    </row>
    <row r="18" spans="1:13" x14ac:dyDescent="0.3">
      <c r="A18" s="67" t="s">
        <v>23</v>
      </c>
      <c r="B18" s="67" t="s">
        <v>29</v>
      </c>
      <c r="C18" s="63" t="s">
        <v>102</v>
      </c>
      <c r="D18" s="68">
        <v>4096</v>
      </c>
      <c r="E18" s="68" t="s">
        <v>73</v>
      </c>
      <c r="F18" s="67" t="s">
        <v>43</v>
      </c>
      <c r="G18" s="68" t="s">
        <v>44</v>
      </c>
      <c r="H18" s="69" t="s">
        <v>60</v>
      </c>
      <c r="I18" s="70" t="s">
        <v>59</v>
      </c>
      <c r="J18" s="70" t="s">
        <v>59</v>
      </c>
      <c r="K18" s="70" t="s">
        <v>69</v>
      </c>
      <c r="L18" s="70" t="s">
        <v>59</v>
      </c>
      <c r="M18" s="68" t="s">
        <v>65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30</v>
      </c>
      <c r="C20" s="15" t="s">
        <v>104</v>
      </c>
      <c r="D20" s="15">
        <v>150</v>
      </c>
      <c r="E20" s="15" t="s">
        <v>51</v>
      </c>
      <c r="F20" s="15" t="s">
        <v>42</v>
      </c>
      <c r="G20" s="15" t="s">
        <v>45</v>
      </c>
      <c r="H20" s="15" t="s">
        <v>58</v>
      </c>
      <c r="I20" s="30" t="s">
        <v>74</v>
      </c>
      <c r="J20" s="30" t="s">
        <v>59</v>
      </c>
      <c r="K20" s="30" t="s">
        <v>26</v>
      </c>
      <c r="L20" s="30">
        <v>22</v>
      </c>
      <c r="M20" s="24" t="s">
        <v>63</v>
      </c>
    </row>
    <row r="21" spans="1:13" x14ac:dyDescent="0.3">
      <c r="A21" s="16" t="s">
        <v>23</v>
      </c>
      <c r="B21" s="4" t="s">
        <v>30</v>
      </c>
      <c r="C21" s="4" t="s">
        <v>104</v>
      </c>
      <c r="D21" s="4">
        <v>160</v>
      </c>
      <c r="E21" s="4" t="s">
        <v>46</v>
      </c>
      <c r="F21" s="4" t="s">
        <v>42</v>
      </c>
      <c r="G21" s="4" t="s">
        <v>45</v>
      </c>
      <c r="H21" s="4" t="s">
        <v>58</v>
      </c>
      <c r="I21" s="31" t="s">
        <v>59</v>
      </c>
      <c r="J21" s="31" t="s">
        <v>59</v>
      </c>
      <c r="K21" s="31" t="s">
        <v>27</v>
      </c>
      <c r="L21" s="31" t="s">
        <v>78</v>
      </c>
      <c r="M21" s="25"/>
    </row>
    <row r="22" spans="1:13" x14ac:dyDescent="0.3">
      <c r="A22" s="17" t="s">
        <v>23</v>
      </c>
      <c r="B22" s="9" t="s">
        <v>29</v>
      </c>
      <c r="C22" s="9" t="s">
        <v>104</v>
      </c>
      <c r="D22" s="9">
        <v>4095</v>
      </c>
      <c r="E22" s="9" t="s">
        <v>49</v>
      </c>
      <c r="F22" s="9" t="s">
        <v>42</v>
      </c>
      <c r="G22" s="9" t="s">
        <v>45</v>
      </c>
      <c r="H22" s="9" t="s">
        <v>60</v>
      </c>
      <c r="I22" s="32" t="s">
        <v>61</v>
      </c>
      <c r="J22" s="32" t="s">
        <v>59</v>
      </c>
      <c r="K22" s="32" t="s">
        <v>59</v>
      </c>
      <c r="L22" s="32" t="s">
        <v>59</v>
      </c>
      <c r="M22" s="26" t="s">
        <v>67</v>
      </c>
    </row>
    <row r="23" spans="1:13" x14ac:dyDescent="0.3">
      <c r="A23" s="18" t="s">
        <v>23</v>
      </c>
      <c r="B23" s="9" t="s">
        <v>29</v>
      </c>
      <c r="C23" s="9" t="s">
        <v>104</v>
      </c>
      <c r="D23" s="9">
        <v>4096</v>
      </c>
      <c r="E23" s="9" t="s">
        <v>52</v>
      </c>
      <c r="F23" s="9" t="s">
        <v>42</v>
      </c>
      <c r="G23" s="9" t="s">
        <v>44</v>
      </c>
      <c r="H23" s="9" t="s">
        <v>60</v>
      </c>
      <c r="I23" s="32" t="s">
        <v>35</v>
      </c>
      <c r="J23" s="32" t="s">
        <v>59</v>
      </c>
      <c r="K23" s="32" t="s">
        <v>35</v>
      </c>
      <c r="L23" s="32" t="s">
        <v>59</v>
      </c>
      <c r="M23" s="26" t="s">
        <v>66</v>
      </c>
    </row>
    <row r="24" spans="1:13" x14ac:dyDescent="0.3">
      <c r="A24" s="71" t="s">
        <v>23</v>
      </c>
      <c r="B24" s="63" t="s">
        <v>30</v>
      </c>
      <c r="C24" s="63" t="s">
        <v>104</v>
      </c>
      <c r="D24" s="63"/>
      <c r="E24" s="63"/>
      <c r="F24" s="63" t="s">
        <v>43</v>
      </c>
      <c r="G24" s="63"/>
      <c r="H24" s="64"/>
      <c r="I24" s="65"/>
      <c r="J24" s="65"/>
      <c r="K24" s="65"/>
      <c r="L24" s="65"/>
      <c r="M24" s="72"/>
    </row>
    <row r="25" spans="1:13" x14ac:dyDescent="0.3">
      <c r="A25" s="71" t="s">
        <v>23</v>
      </c>
      <c r="B25" s="63" t="s">
        <v>30</v>
      </c>
      <c r="C25" s="63" t="s">
        <v>104</v>
      </c>
      <c r="D25" s="63"/>
      <c r="E25" s="63"/>
      <c r="F25" s="63" t="s">
        <v>43</v>
      </c>
      <c r="G25" s="63"/>
      <c r="H25" s="63"/>
      <c r="I25" s="66"/>
      <c r="J25" s="66"/>
      <c r="K25" s="66"/>
      <c r="L25" s="66"/>
      <c r="M25" s="73"/>
    </row>
    <row r="26" spans="1:13" x14ac:dyDescent="0.3">
      <c r="A26" s="71" t="s">
        <v>23</v>
      </c>
      <c r="B26" s="63" t="s">
        <v>30</v>
      </c>
      <c r="C26" s="63" t="s">
        <v>104</v>
      </c>
      <c r="D26" s="63"/>
      <c r="E26" s="63"/>
      <c r="F26" s="63" t="s">
        <v>43</v>
      </c>
      <c r="G26" s="63"/>
      <c r="H26" s="63"/>
      <c r="I26" s="66"/>
      <c r="J26" s="66"/>
      <c r="K26" s="66"/>
      <c r="L26" s="66"/>
      <c r="M26" s="73"/>
    </row>
    <row r="27" spans="1:13" ht="17.25" thickBot="1" x14ac:dyDescent="0.35">
      <c r="A27" s="74" t="s">
        <v>23</v>
      </c>
      <c r="B27" s="75" t="s">
        <v>30</v>
      </c>
      <c r="C27" s="75" t="s">
        <v>104</v>
      </c>
      <c r="D27" s="76">
        <v>4096</v>
      </c>
      <c r="E27" s="76" t="s">
        <v>73</v>
      </c>
      <c r="F27" s="75" t="s">
        <v>43</v>
      </c>
      <c r="G27" s="76" t="s">
        <v>44</v>
      </c>
      <c r="H27" s="77" t="s">
        <v>60</v>
      </c>
      <c r="I27" s="78" t="s">
        <v>59</v>
      </c>
      <c r="J27" s="78" t="s">
        <v>59</v>
      </c>
      <c r="K27" s="78" t="s">
        <v>69</v>
      </c>
      <c r="L27" s="78" t="s">
        <v>59</v>
      </c>
      <c r="M27" s="79" t="s">
        <v>65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32</v>
      </c>
      <c r="C29" s="13" t="s">
        <v>105</v>
      </c>
      <c r="D29" s="13"/>
      <c r="E29" s="13"/>
      <c r="F29" s="13" t="s">
        <v>42</v>
      </c>
      <c r="G29" s="13" t="s">
        <v>45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32</v>
      </c>
      <c r="C30" s="4" t="s">
        <v>105</v>
      </c>
      <c r="D30" s="4"/>
      <c r="E30" s="4"/>
      <c r="F30" s="4" t="s">
        <v>42</v>
      </c>
      <c r="G30" s="4" t="s">
        <v>45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29</v>
      </c>
      <c r="C31" s="9" t="s">
        <v>105</v>
      </c>
      <c r="D31" s="9">
        <v>4095</v>
      </c>
      <c r="E31" s="9" t="s">
        <v>49</v>
      </c>
      <c r="F31" s="9" t="s">
        <v>42</v>
      </c>
      <c r="G31" s="9" t="s">
        <v>45</v>
      </c>
      <c r="H31" s="9" t="s">
        <v>60</v>
      </c>
      <c r="I31" s="32" t="s">
        <v>61</v>
      </c>
      <c r="J31" s="32" t="s">
        <v>59</v>
      </c>
      <c r="K31" s="32" t="s">
        <v>59</v>
      </c>
      <c r="L31" s="32" t="s">
        <v>59</v>
      </c>
      <c r="M31" s="26" t="s">
        <v>67</v>
      </c>
    </row>
    <row r="32" spans="1:13" x14ac:dyDescent="0.3">
      <c r="A32" s="9" t="s">
        <v>23</v>
      </c>
      <c r="B32" s="9" t="s">
        <v>29</v>
      </c>
      <c r="C32" s="9" t="s">
        <v>105</v>
      </c>
      <c r="D32" s="9">
        <v>4096</v>
      </c>
      <c r="E32" s="9" t="s">
        <v>52</v>
      </c>
      <c r="F32" s="9" t="s">
        <v>42</v>
      </c>
      <c r="G32" s="9" t="s">
        <v>44</v>
      </c>
      <c r="H32" s="9" t="s">
        <v>60</v>
      </c>
      <c r="I32" s="32" t="s">
        <v>35</v>
      </c>
      <c r="J32" s="32" t="s">
        <v>59</v>
      </c>
      <c r="K32" s="32" t="s">
        <v>35</v>
      </c>
      <c r="L32" s="32" t="s">
        <v>59</v>
      </c>
      <c r="M32" s="9" t="s">
        <v>66</v>
      </c>
    </row>
    <row r="33" spans="1:13" x14ac:dyDescent="0.3">
      <c r="A33" s="6" t="s">
        <v>23</v>
      </c>
      <c r="B33" s="6" t="s">
        <v>32</v>
      </c>
      <c r="C33" s="6" t="s">
        <v>105</v>
      </c>
      <c r="D33" s="12">
        <v>200</v>
      </c>
      <c r="E33" s="12" t="s">
        <v>47</v>
      </c>
      <c r="F33" s="12" t="s">
        <v>43</v>
      </c>
      <c r="G33" s="12" t="s">
        <v>45</v>
      </c>
      <c r="H33" s="12" t="s">
        <v>58</v>
      </c>
      <c r="I33" s="33" t="s">
        <v>71</v>
      </c>
      <c r="J33" s="33" t="s">
        <v>59</v>
      </c>
      <c r="K33" s="33" t="s">
        <v>68</v>
      </c>
      <c r="L33" s="33" t="s">
        <v>77</v>
      </c>
      <c r="M33" s="27" t="s">
        <v>70</v>
      </c>
    </row>
    <row r="34" spans="1:13" x14ac:dyDescent="0.3">
      <c r="A34" s="6" t="s">
        <v>23</v>
      </c>
      <c r="B34" s="6" t="s">
        <v>32</v>
      </c>
      <c r="C34" s="6" t="s">
        <v>105</v>
      </c>
      <c r="D34" s="6"/>
      <c r="E34" s="6"/>
      <c r="F34" s="6" t="s">
        <v>43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32</v>
      </c>
      <c r="C35" s="6" t="s">
        <v>105</v>
      </c>
      <c r="D35" s="6"/>
      <c r="E35" s="6"/>
      <c r="F35" s="6" t="s">
        <v>43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32</v>
      </c>
      <c r="C36" s="6" t="s">
        <v>105</v>
      </c>
      <c r="D36" s="11">
        <v>4096</v>
      </c>
      <c r="E36" s="11" t="s">
        <v>73</v>
      </c>
      <c r="F36" s="6" t="s">
        <v>43</v>
      </c>
      <c r="G36" s="11" t="s">
        <v>44</v>
      </c>
      <c r="H36" s="10" t="s">
        <v>60</v>
      </c>
      <c r="I36" s="37" t="s">
        <v>59</v>
      </c>
      <c r="J36" s="37" t="s">
        <v>59</v>
      </c>
      <c r="K36" s="37" t="s">
        <v>69</v>
      </c>
      <c r="L36" s="37" t="s">
        <v>59</v>
      </c>
      <c r="M36" s="11" t="s">
        <v>65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107</v>
      </c>
      <c r="C1" s="58" t="s">
        <v>3</v>
      </c>
      <c r="D1" s="58" t="s">
        <v>106</v>
      </c>
      <c r="E1" s="58" t="s">
        <v>108</v>
      </c>
      <c r="F1" s="58" t="s">
        <v>147</v>
      </c>
      <c r="G1" s="58" t="s">
        <v>144</v>
      </c>
      <c r="H1" s="58" t="s">
        <v>110</v>
      </c>
      <c r="I1" s="58" t="s">
        <v>111</v>
      </c>
      <c r="J1" s="58" t="s">
        <v>159</v>
      </c>
      <c r="K1" s="59" t="s">
        <v>112</v>
      </c>
      <c r="L1" s="59" t="s">
        <v>113</v>
      </c>
      <c r="M1" s="59" t="s">
        <v>114</v>
      </c>
      <c r="N1" s="59" t="s">
        <v>116</v>
      </c>
      <c r="O1" s="58" t="s">
        <v>120</v>
      </c>
    </row>
    <row r="2" spans="1:15" x14ac:dyDescent="0.3">
      <c r="A2" s="56" t="s">
        <v>23</v>
      </c>
      <c r="B2" s="56" t="s">
        <v>91</v>
      </c>
      <c r="C2" s="56" t="s">
        <v>24</v>
      </c>
      <c r="D2" s="56" t="s">
        <v>121</v>
      </c>
      <c r="E2" s="56" t="s">
        <v>122</v>
      </c>
      <c r="F2" s="56" t="s">
        <v>145</v>
      </c>
      <c r="G2" s="56"/>
      <c r="H2" s="56" t="s">
        <v>109</v>
      </c>
      <c r="I2" s="56" t="s">
        <v>154</v>
      </c>
      <c r="J2" s="56" t="s">
        <v>81</v>
      </c>
      <c r="K2" s="56" t="s">
        <v>82</v>
      </c>
      <c r="L2" s="56" t="s">
        <v>89</v>
      </c>
      <c r="M2" s="56" t="s">
        <v>115</v>
      </c>
      <c r="N2" s="56" t="s">
        <v>117</v>
      </c>
      <c r="O2" s="56" t="s">
        <v>119</v>
      </c>
    </row>
    <row r="3" spans="1:15" x14ac:dyDescent="0.3">
      <c r="A3" s="56" t="s">
        <v>23</v>
      </c>
      <c r="B3" s="56" t="s">
        <v>91</v>
      </c>
      <c r="C3" s="56" t="s">
        <v>24</v>
      </c>
      <c r="D3" s="56" t="s">
        <v>134</v>
      </c>
      <c r="E3" s="56" t="s">
        <v>122</v>
      </c>
      <c r="F3" s="56" t="s">
        <v>146</v>
      </c>
      <c r="G3" s="56">
        <v>1</v>
      </c>
      <c r="H3" s="56" t="s">
        <v>109</v>
      </c>
      <c r="I3" s="56" t="s">
        <v>155</v>
      </c>
      <c r="J3" s="56" t="s">
        <v>81</v>
      </c>
      <c r="K3" s="56" t="s">
        <v>82</v>
      </c>
      <c r="L3" s="56" t="s">
        <v>90</v>
      </c>
      <c r="M3" s="56" t="s">
        <v>115</v>
      </c>
      <c r="N3" s="56" t="s">
        <v>135</v>
      </c>
      <c r="O3" s="56" t="s">
        <v>119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106</v>
      </c>
      <c r="C1" s="58" t="s">
        <v>123</v>
      </c>
      <c r="D1" s="58" t="s">
        <v>53</v>
      </c>
      <c r="E1" s="58" t="s">
        <v>125</v>
      </c>
      <c r="F1" s="59" t="s">
        <v>126</v>
      </c>
      <c r="G1" s="59" t="s">
        <v>130</v>
      </c>
      <c r="H1" s="59" t="s">
        <v>131</v>
      </c>
    </row>
    <row r="2" spans="1:8" x14ac:dyDescent="0.3">
      <c r="A2" s="56" t="s">
        <v>23</v>
      </c>
      <c r="B2" s="56" t="s">
        <v>121</v>
      </c>
      <c r="C2" s="56" t="s">
        <v>124</v>
      </c>
      <c r="D2" s="56" t="s">
        <v>58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121</v>
      </c>
      <c r="C3" s="56" t="s">
        <v>132</v>
      </c>
      <c r="D3" s="56" t="s">
        <v>58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121</v>
      </c>
      <c r="C4" s="56" t="s">
        <v>127</v>
      </c>
      <c r="D4" s="56" t="s">
        <v>128</v>
      </c>
      <c r="E4" s="56">
        <v>443</v>
      </c>
      <c r="F4" s="60" t="s">
        <v>129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121</v>
      </c>
      <c r="C5" s="56" t="s">
        <v>160</v>
      </c>
      <c r="D5" s="56" t="s">
        <v>133</v>
      </c>
      <c r="E5" s="56">
        <v>80</v>
      </c>
      <c r="F5" s="60" t="s">
        <v>129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134</v>
      </c>
      <c r="C6" s="61" t="s">
        <v>124</v>
      </c>
      <c r="D6" s="61" t="s">
        <v>58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134</v>
      </c>
      <c r="C7" s="61" t="s">
        <v>156</v>
      </c>
      <c r="D7" s="61" t="s">
        <v>58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134</v>
      </c>
      <c r="C8" s="61" t="s">
        <v>127</v>
      </c>
      <c r="D8" s="61" t="s">
        <v>128</v>
      </c>
      <c r="E8" s="61">
        <v>443</v>
      </c>
      <c r="F8" s="62" t="s">
        <v>129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134</v>
      </c>
      <c r="C9" s="61" t="s">
        <v>160</v>
      </c>
      <c r="D9" s="61" t="s">
        <v>133</v>
      </c>
      <c r="E9" s="61">
        <v>80</v>
      </c>
      <c r="F9" s="62" t="s">
        <v>129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106</v>
      </c>
      <c r="C1" s="58" t="s">
        <v>136</v>
      </c>
      <c r="D1" s="58" t="s">
        <v>111</v>
      </c>
      <c r="E1" s="59" t="s">
        <v>138</v>
      </c>
      <c r="F1" s="59" t="s">
        <v>137</v>
      </c>
      <c r="G1" s="59" t="s">
        <v>158</v>
      </c>
      <c r="H1" s="58" t="s">
        <v>120</v>
      </c>
      <c r="I1" s="59" t="s">
        <v>139</v>
      </c>
      <c r="J1" s="59" t="s">
        <v>123</v>
      </c>
      <c r="K1" s="59" t="s">
        <v>141</v>
      </c>
      <c r="L1" s="59" t="s">
        <v>142</v>
      </c>
      <c r="M1" s="59" t="s">
        <v>157</v>
      </c>
      <c r="N1" s="59" t="s">
        <v>140</v>
      </c>
    </row>
    <row r="2" spans="1:14" x14ac:dyDescent="0.3">
      <c r="A2" s="56" t="s">
        <v>23</v>
      </c>
      <c r="B2" s="56" t="s">
        <v>121</v>
      </c>
      <c r="C2" s="56" t="s">
        <v>148</v>
      </c>
      <c r="D2" s="56" t="s">
        <v>154</v>
      </c>
      <c r="E2" s="56" t="s">
        <v>58</v>
      </c>
      <c r="F2" s="56">
        <v>80</v>
      </c>
      <c r="G2" s="56" t="b">
        <v>0</v>
      </c>
      <c r="H2" s="56" t="s">
        <v>119</v>
      </c>
      <c r="I2" s="56">
        <v>80</v>
      </c>
      <c r="J2" s="56" t="s">
        <v>124</v>
      </c>
      <c r="K2" s="56">
        <v>4</v>
      </c>
      <c r="L2" s="56" t="s">
        <v>143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121</v>
      </c>
      <c r="C3" s="56" t="s">
        <v>149</v>
      </c>
      <c r="D3" s="56" t="s">
        <v>154</v>
      </c>
      <c r="E3" s="56" t="s">
        <v>58</v>
      </c>
      <c r="F3" s="56">
        <v>8080</v>
      </c>
      <c r="G3" s="56" t="b">
        <v>0</v>
      </c>
      <c r="H3" s="56" t="s">
        <v>118</v>
      </c>
      <c r="I3" s="56">
        <v>8080</v>
      </c>
      <c r="J3" s="56" t="s">
        <v>132</v>
      </c>
      <c r="K3" s="56">
        <v>4</v>
      </c>
      <c r="L3" s="56" t="s">
        <v>143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134</v>
      </c>
      <c r="C4" s="56" t="s">
        <v>150</v>
      </c>
      <c r="D4" s="56" t="s">
        <v>155</v>
      </c>
      <c r="E4" s="56" t="s">
        <v>58</v>
      </c>
      <c r="F4" s="56">
        <v>443</v>
      </c>
      <c r="G4" s="56" t="b">
        <v>0</v>
      </c>
      <c r="H4" s="56" t="s">
        <v>118</v>
      </c>
      <c r="I4" s="56">
        <v>443</v>
      </c>
      <c r="J4" s="56" t="s">
        <v>127</v>
      </c>
      <c r="K4" s="56">
        <v>4</v>
      </c>
      <c r="L4" s="56" t="s">
        <v>152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134</v>
      </c>
      <c r="C5" s="56" t="s">
        <v>151</v>
      </c>
      <c r="D5" s="56" t="s">
        <v>155</v>
      </c>
      <c r="E5" s="56" t="s">
        <v>58</v>
      </c>
      <c r="F5" s="56">
        <v>22</v>
      </c>
      <c r="G5" s="56" t="b">
        <v>0</v>
      </c>
      <c r="H5" s="56" t="s">
        <v>118</v>
      </c>
      <c r="I5" s="56">
        <v>22</v>
      </c>
      <c r="J5" s="56" t="s">
        <v>156</v>
      </c>
      <c r="K5" s="56">
        <v>4</v>
      </c>
      <c r="L5" s="56" t="s">
        <v>153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VNET</vt:lpstr>
      <vt:lpstr>RG</vt:lpstr>
      <vt:lpstr>VM</vt:lpstr>
      <vt:lpstr>VM_Datadisk</vt:lpstr>
      <vt:lpstr>NSG</vt:lpstr>
      <vt:lpstr>NSG_Rule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2026-04-22T07:20:14Z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