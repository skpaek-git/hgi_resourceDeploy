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5840B433-3807-466E-8247-5533D979651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4" l="1"/>
  <c r="G6" i="14"/>
  <c r="J5" i="14"/>
  <c r="G5" i="14"/>
  <c r="U6" i="1"/>
  <c r="O6" i="1"/>
  <c r="U5" i="1"/>
  <c r="O5" i="1"/>
  <c r="O4" i="1"/>
  <c r="U4" i="1"/>
  <c r="J4" i="14"/>
  <c r="G4" i="14"/>
  <c r="J3" i="14"/>
  <c r="J2" i="14"/>
  <c r="C2" i="1" a="1"/>
  <c r="C2" i="1" s="1"/>
  <c r="C3" i="1" a="1"/>
  <c r="C3" i="1" s="1"/>
  <c r="O2" i="1"/>
  <c r="O3" i="1"/>
  <c r="U2" i="1"/>
  <c r="U3" i="1"/>
  <c r="G3" i="14"/>
  <c r="G2" i="14"/>
  <c r="D4" i="2" l="1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<sst xmlns="http://schemas.openxmlformats.org/spreadsheetml/2006/main" count="759" uniqueCount="279">
  <si>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</si>
  <si>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</si>
  <si>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</si>
  <si>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</si>
  <si>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</si>
  <si>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</si>
  <si>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</si>
  <si>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</si>
  <si>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</si>
  <si>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</si>
  <si>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</si>
  <si>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</si>
  <si>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</si>
  <si>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</si>
  <si>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</si>
  <si>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</si>
  <si>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</si>
  <si>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</si>
  <si>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</si>
  <si>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</si>
  <si>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</si>
  <si>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</si>
  <si>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</si>
  <si>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</si>
  <si>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</si>
  <si>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</si>
  <si>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</si>
  <si>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</si>
  <si>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</si>
  <si>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</si>
  <si>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</si>
  <si>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</si>
  <si>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</si>
  <si>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</si>
  <si>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</si>
  <si>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</si>
  <si>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</si>
  <si>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</si>
  <si>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</si>
  <si>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</si>
  <si>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</si>
  <si>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</si>
  <si>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</si>
  <si>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</si>
  <si>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</si>
  <si>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</si>
  <si>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</si>
  <si>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</si>
  <si>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</si>
  <si>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</si>
  <si>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</si>
  <si>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</si>
  <si>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</si>
  <si>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</si>
  <si>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</si>
  <si>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</si>
  <si>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</si>
  <si>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</si>
  <si>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</si>
  <si>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</si>
  <si>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</si>
  <si>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</si>
  <si>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</si>
  <si>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</si>
  <si>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</si>
  <si>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</si>
  <si>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</si>
  <si>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</si>
  <si>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</si>
  <si>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</si>
  <si>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</si>
  <si>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</si>
  <si>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</si>
  <si>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</si>
  <si>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</si>
  <si>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</si>
  <si>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</si>
  <si>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</si>
  <si>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</si>
  <si>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</si>
  <si>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</si>
  <si>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</si>
  <si>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</si>
  <si>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</si>
  <si>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</si>
  <si>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</si>
  <si>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</si>
  <si>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</si>
  <si>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</si>
  <si>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</si>
  <si>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</si>
  <si>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</si>
  <si>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</si>
  <si>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</si>
  <si>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</si>
  <si>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</si>
  <si>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</si>
  <si>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</si>
  <si>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</si>
  <si>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</si>
  <si>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</si>
  <si>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</si>
  <si>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</si>
  <si>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</si>
  <si>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</si>
  <si>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</si>
  <si>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</si>
  <si>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</si>
  <si>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</si>
  <si>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</si>
  <si>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</si>
  <si>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</si>
  <si>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</si>
  <si>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</si>
  <si>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</si>
  <si>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</si>
  <si>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</si>
  <si>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</si>
  <si>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</si>
  <si>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</si>
  <si>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</si>
  <si>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</si>
  <si>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</si>
  <si>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</si>
  <si>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</si>
  <si>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</si>
  <si>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</si>
  <si>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</si>
  <si>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</si>
  <si>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</si>
  <si>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</si>
  <si>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</si>
  <si>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</si>
  <si>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</si>
  <si>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</si>
  <si>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</si>
  <si>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</si>
  <si>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</si>
  <si>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</si>
  <si>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</si>
  <si>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</si>
  <si>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</si>
  <si>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</si>
  <si>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</si>
  <si>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</si>
  <si>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</si>
  <si>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</si>
  <si>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</si>
  <si>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</si>
  <si>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</si>
  <si>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</si>
  <si>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</si>
  <si>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</si>
  <si>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</si>
  <si>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</si>
  <si>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</si>
  <si>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</si>
  <si>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</si>
  <si>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</si>
  <si>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</si>
  <si>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</si>
  <si>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</si>
  <si>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</si>
  <si>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</si>
  <si>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</si>
  <si>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</si>
  <si>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</si>
  <si>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</si>
  <si>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</si>
  <si>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</si>
  <si>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</si>
  <si>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</si>
  <si>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</si>
  <si>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</si>
  <si>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</si>
  <si>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</si>
  <si>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</si>
  <si>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</si>
  <si>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</si>
  <si>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</si>
  <si>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</si>
  <si>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</si>
  <si>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</si>
  <si>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</si>
  <si>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</si>
  <si>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</si>
  <si>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</si>
  <si>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</si>
  <si>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</si>
  <si>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</si>
  <si>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</si>
  <si>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</si>
  <si>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</si>
  <si>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</si>
  <si>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</si>
  <si>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</si>
  <si>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</si>
  <si>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</si>
  <si>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</si>
  <si>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</si>
  <si>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</si>
  <si>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</si>
  <si>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</si>
  <si>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</si>
  <si>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</si>
  <si>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</si>
  <si>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</si>
  <si>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</si>
  <si>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</si>
  <si>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</si>
  <si>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</si>
  <si>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</si>
  <si>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</si>
  <si>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</si>
  <si>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</si>
  <si>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</si>
  <si>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</si>
  <si>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</si>
  <si>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</si>
  <si>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</si>
  <si>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</si>
  <si>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</si>
  <si>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</si>
  <si>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</si>
  <si>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</si>
  <si>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</si>
  <si>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</si>
  <si>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</si>
  <si>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</si>
  <si>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</si>
  <si>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</si>
  <si>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</si>
  <si>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</si>
  <si>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</si>
  <si>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</si>
  <si>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</si>
  <si>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</si>
  <si>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</si>
  <si>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</si>
  <si>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</si>
  <si>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</si>
  <si>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</si>
  <si>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</si>
  <si>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</si>
  <si>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</si>
  <si>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</si>
  <si>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</si>
  <si>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</si>
  <si>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</si>
  <si>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</si>
  <si>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</si>
  <si>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</si>
  <si>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</si>
  <si>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</si>
  <si>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</si>
  <si>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</si>
  <si>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</si>
  <si>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</si>
  <si>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</si>
  <si>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</si>
  <si>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</si>
  <si>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</si>
  <si>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</si>
  <si>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</si>
  <si>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/subscriptions/b73b1d70-b43f-41b5-bb3f-34b9236d2ed9/resourceGroups/hazr-l-mgmt-rg/providers/Microsoft.Compute/galleries/hazrlmgmtgal/images/RHEL_9.6_Base_Image/versions/0.0.3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</si>
  <si>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</si>
  <si>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</si>
  <si>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</si>
  <si>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</si>
  <si>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</si>
  <si>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temp-test</t>
    <phoneticPr fontId="1" type="noConversion"/>
  </si>
  <si>
    <t>10.157.168.22</t>
    <phoneticPr fontId="1" type="noConversion"/>
  </si>
  <si>
    <t>Linux</t>
    <phoneticPr fontId="1" type="noConversion"/>
  </si>
  <si>
    <t>temp-test01</t>
    <phoneticPr fontId="1" type="noConversion"/>
  </si>
  <si>
    <t>10.157.168.20</t>
    <phoneticPr fontId="1" type="noConversion"/>
  </si>
  <si>
    <t>`</t>
    <phoneticPr fontId="1" type="noConversion"/>
  </si>
  <si>
    <t>10.157.168.21</t>
    <phoneticPr fontId="1" type="noConversion"/>
  </si>
  <si>
    <t>temp-test02</t>
    <phoneticPr fontId="1" type="noConversion"/>
  </si>
  <si>
    <t>temp-test03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</si>
</sst>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15" xfId="0" applyFill="1" applyBorder="1">
      <alignment vertical="center"/>
    </xf>
    <xf numFmtId="0" fontId="0" fillId="7" borderId="1" xfId="0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" totalsRowShown="0" headerRowDxfId="32" dataDxfId="31">
  <autoFilter ref="B1:AF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E19" sqref="E19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173</v>
      </c>
      <c r="Q1" s="55" t="s">
        <v>174</v>
      </c>
      <c r="R1" s="55" t="s">
        <v>175</v>
      </c>
      <c r="S1" s="55" t="s">
        <v>176</v>
      </c>
      <c r="T1" s="55" t="s">
        <v>177</v>
      </c>
      <c r="U1" s="55" t="s">
        <v>178</v>
      </c>
      <c r="V1" s="55" t="s">
        <v>179</v>
      </c>
      <c r="W1" s="55" t="s">
        <v>180</v>
      </c>
      <c r="X1" s="55" t="s">
        <v>181</v>
      </c>
      <c r="Y1" s="55" t="s">
        <v>182</v>
      </c>
      <c r="Z1" s="55" t="s">
        <v>183</v>
      </c>
      <c r="AA1" s="55" t="s">
        <v>184</v>
      </c>
      <c r="AB1" s="55" t="s">
        <v>185</v>
      </c>
      <c r="AC1" s="55" t="s">
        <v>186</v>
      </c>
      <c r="AD1" s="55" t="s">
        <v>187</v>
      </c>
      <c r="AE1" s="55" t="s">
        <v>188</v>
      </c>
      <c r="AF1" s="55" t="s">
        <v>189</v>
      </c>
      <c r="AG1" s="55" t="s">
        <v>190</v>
      </c>
      <c r="AH1" s="55" t="s">
        <v>191</v>
      </c>
      <c r="AI1" s="55" t="s">
        <v>192</v>
      </c>
      <c r="AJ1" s="55" t="s">
        <v>193</v>
      </c>
      <c r="AK1" s="55" t="s">
        <v>194</v>
      </c>
      <c r="AL1" s="55" t="s">
        <v>195</v>
      </c>
      <c r="AM1" s="55" t="s">
        <v>196</v>
      </c>
      <c r="AN1" s="55" t="s">
        <v>197</v>
      </c>
      <c r="AO1" s="55" t="s">
        <v>198</v>
      </c>
      <c r="AP1" s="55" t="s">
        <v>199</v>
      </c>
      <c r="AQ1" s="55" t="s">
        <v>200</v>
      </c>
      <c r="AR1" s="55" t="s">
        <v>201</v>
      </c>
      <c r="AS1" s="55" t="s">
        <v>202</v>
      </c>
      <c r="AT1" s="55" t="s">
        <v>203</v>
      </c>
      <c r="AU1" s="55" t="s">
        <v>204</v>
      </c>
      <c r="AV1" s="55" t="s">
        <v>205</v>
      </c>
      <c r="AW1" s="55" t="s">
        <v>206</v>
      </c>
      <c r="AX1" s="55" t="s">
        <v>207</v>
      </c>
      <c r="AY1" s="55" t="s">
        <v>208</v>
      </c>
      <c r="AZ1" s="55" t="s">
        <v>209</v>
      </c>
      <c r="BA1" s="55" t="s">
        <v>210</v>
      </c>
      <c r="BB1" s="55" t="s">
        <v>211</v>
      </c>
      <c r="BC1" s="55" t="s">
        <v>212</v>
      </c>
      <c r="BD1" s="55" t="s">
        <v>213</v>
      </c>
      <c r="BE1" s="55" t="s">
        <v>214</v>
      </c>
      <c r="BF1" s="55" t="s">
        <v>215</v>
      </c>
      <c r="BG1" s="55" t="s">
        <v>216</v>
      </c>
      <c r="BH1" s="55" t="s">
        <v>217</v>
      </c>
      <c r="BI1" s="55" t="s">
        <v>218</v>
      </c>
      <c r="BJ1" s="55" t="s">
        <v>219</v>
      </c>
      <c r="BK1" s="55" t="s">
        <v>220</v>
      </c>
    </row>
    <row r="2" spans="1:63" x14ac:dyDescent="0.3">
      <c r="A2" s="98"/>
      <c r="B2" s="56" t="s">
        <v>234</v>
      </c>
      <c r="C2" s="56" t="s">
        <v>83</v>
      </c>
      <c r="D2" s="56" t="s">
        <v>250</v>
      </c>
      <c r="E2" s="56" t="s">
        <v>24</v>
      </c>
      <c r="F2" s="56" t="s">
        <v>251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9"/>
      <c r="B3" s="56" t="s">
        <v>234</v>
      </c>
      <c r="C3" s="56" t="s">
        <v>83</v>
      </c>
      <c r="D3" s="56" t="s">
        <v>250</v>
      </c>
      <c r="E3" s="56" t="s">
        <v>24</v>
      </c>
      <c r="F3" s="56" t="s">
        <v>252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B5" sqref="B5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234</v>
      </c>
      <c r="C2" s="56" t="s">
        <v>227</v>
      </c>
      <c r="D2" s="56" t="s">
        <v>250</v>
      </c>
      <c r="E2" s="56" t="s">
        <v>24</v>
      </c>
      <c r="F2" s="56"/>
    </row>
    <row r="3" spans="1:6" x14ac:dyDescent="0.3">
      <c r="A3" s="83"/>
      <c r="B3" s="56" t="s">
        <v>234</v>
      </c>
      <c r="C3" s="56" t="s">
        <v>228</v>
      </c>
      <c r="D3" s="56" t="s">
        <v>253</v>
      </c>
      <c r="E3" s="56" t="s">
        <v>24</v>
      </c>
      <c r="F3" s="56"/>
    </row>
    <row r="4" spans="1:6" x14ac:dyDescent="0.3">
      <c r="A4" s="82"/>
      <c r="B4" s="56" t="s">
        <v>234</v>
      </c>
      <c r="C4" s="56" t="s">
        <v>225</v>
      </c>
      <c r="D4" s="56" t="s">
        <v>254</v>
      </c>
      <c r="E4" s="56" t="s">
        <v>24</v>
      </c>
      <c r="F4" s="56"/>
    </row>
    <row r="5" spans="1:6" x14ac:dyDescent="0.3">
      <c r="A5" s="83"/>
      <c r="B5" s="56" t="s">
        <v>234</v>
      </c>
      <c r="C5" s="56" t="s">
        <v>226</v>
      </c>
      <c r="D5" s="56" t="s">
        <v>255</v>
      </c>
      <c r="E5" s="56" t="s">
        <v>24</v>
      </c>
      <c r="F5" s="56"/>
    </row>
    <row r="6" spans="1:6" x14ac:dyDescent="0.3">
      <c r="A6" s="82"/>
      <c r="B6" s="56" t="s">
        <v>234</v>
      </c>
      <c r="C6" s="56" t="s">
        <v>229</v>
      </c>
      <c r="D6" s="56" t="s">
        <v>256</v>
      </c>
      <c r="E6" s="56" t="s">
        <v>24</v>
      </c>
      <c r="F6" s="56"/>
    </row>
    <row r="7" spans="1:6" x14ac:dyDescent="0.3">
      <c r="A7" s="83"/>
      <c r="B7" s="56" t="s">
        <v>234</v>
      </c>
      <c r="C7" s="56" t="s">
        <v>230</v>
      </c>
      <c r="D7" s="56" t="s">
        <v>257</v>
      </c>
      <c r="E7" s="56" t="s">
        <v>24</v>
      </c>
      <c r="F7" s="56"/>
    </row>
    <row r="8" spans="1:6" x14ac:dyDescent="0.3">
      <c r="A8" s="82"/>
      <c r="B8" s="56" t="s">
        <v>234</v>
      </c>
      <c r="C8" s="56" t="s">
        <v>231</v>
      </c>
      <c r="D8" s="56" t="s">
        <v>258</v>
      </c>
      <c r="E8" s="56" t="s">
        <v>24</v>
      </c>
      <c r="F8" s="56"/>
    </row>
    <row r="9" spans="1:6" x14ac:dyDescent="0.3">
      <c r="A9" s="82"/>
      <c r="B9" s="56" t="s">
        <v>234</v>
      </c>
      <c r="C9" s="56" t="s">
        <v>232</v>
      </c>
      <c r="D9" s="56" t="s">
        <v>259</v>
      </c>
      <c r="E9" s="56" t="s">
        <v>24</v>
      </c>
      <c r="F9" s="52"/>
    </row>
    <row r="10" spans="1:6" x14ac:dyDescent="0.3">
      <c r="A10" s="83"/>
      <c r="B10" s="56" t="s">
        <v>234</v>
      </c>
      <c r="C10" s="56" t="s">
        <v>233</v>
      </c>
      <c r="D10" s="56" t="s">
        <v>260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"/>
  <sheetViews>
    <sheetView tabSelected="1" zoomScaleNormal="100" zoomScaleSheetLayoutView="100" workbookViewId="0">
      <selection activeCell="B3" sqref="B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248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249</v>
      </c>
      <c r="AB1" s="43" t="s">
        <v>247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234</v>
      </c>
      <c r="C2" s="1" t="str" cm="1">
        <f t="array" ref="C2">UPPER(INDEX(_xlfn.TEXTSPLIT($D2, "-"), 3))</f>
        <v>CS</v>
      </c>
      <c r="D2" s="94" t="s">
        <v>261</v>
      </c>
      <c r="E2" s="1" t="s">
        <v>24</v>
      </c>
      <c r="F2" s="1" t="s">
        <v>262</v>
      </c>
      <c r="G2" s="1" t="s">
        <v>268</v>
      </c>
      <c r="H2" s="81" t="s">
        <v>222</v>
      </c>
      <c r="I2" s="1">
        <v>2</v>
      </c>
      <c r="J2" s="1">
        <v>8</v>
      </c>
      <c r="K2" s="1" t="s">
        <v>235</v>
      </c>
      <c r="L2" s="1" t="s">
        <v>221</v>
      </c>
      <c r="M2" s="1" t="s">
        <v>223</v>
      </c>
      <c r="N2" s="1" t="s">
        <v>264</v>
      </c>
      <c r="O2" s="94" t="str">
        <f t="shared" ref="O2:O3" si="0">SUBSTITUTE(F2,"hazr-","")&amp;"-osdisk"</f>
        <v>t-cs-chtweb01-osdisk</v>
      </c>
      <c r="P2" s="1">
        <v>64</v>
      </c>
      <c r="Q2" s="1" t="s">
        <v>224</v>
      </c>
      <c r="R2" s="94"/>
      <c r="S2" s="1"/>
      <c r="T2" s="94"/>
      <c r="U2" s="94" t="str">
        <f t="shared" ref="U2:U3" si="1">SUBSTITUTE(F2,"hazr-","")&amp;"-nic"</f>
        <v>t-cs-chtweb01-nic</v>
      </c>
      <c r="V2" s="1" t="b">
        <v>1</v>
      </c>
      <c r="W2" s="1" t="b">
        <v>1</v>
      </c>
      <c r="X2" s="1" t="s">
        <v>250</v>
      </c>
      <c r="Y2" s="1" t="s">
        <v>251</v>
      </c>
      <c r="Z2" s="1" t="s">
        <v>266</v>
      </c>
      <c r="AA2" s="1" t="b">
        <v>1</v>
      </c>
      <c r="AB2" s="1" t="s">
        <v>250</v>
      </c>
      <c r="AC2" s="1" t="s">
        <v>267</v>
      </c>
      <c r="AD2" s="1">
        <v>3</v>
      </c>
      <c r="AE2" s="1"/>
      <c r="AF2" s="1"/>
    </row>
    <row r="3" spans="1:32" x14ac:dyDescent="0.3">
      <c r="A3" s="82"/>
      <c r="B3" s="1" t="s">
        <v>234</v>
      </c>
      <c r="C3" s="1" t="str" cm="1">
        <f t="array" ref="C3">UPPER(INDEX(_xlfn.TEXTSPLIT($D3, "-"), 3))</f>
        <v>CS</v>
      </c>
      <c r="D3" s="94" t="s">
        <v>261</v>
      </c>
      <c r="E3" s="1" t="s">
        <v>24</v>
      </c>
      <c r="F3" s="1" t="s">
        <v>263</v>
      </c>
      <c r="G3" s="1" t="s">
        <v>269</v>
      </c>
      <c r="H3" s="81" t="s">
        <v>222</v>
      </c>
      <c r="I3" s="1">
        <v>2</v>
      </c>
      <c r="J3" s="1">
        <v>8</v>
      </c>
      <c r="K3" s="1" t="s">
        <v>235</v>
      </c>
      <c r="L3" s="80" t="s">
        <v>221</v>
      </c>
      <c r="M3" s="1" t="s">
        <v>223</v>
      </c>
      <c r="N3" s="1" t="s">
        <v>264</v>
      </c>
      <c r="O3" s="94" t="str">
        <f t="shared" si="0"/>
        <v>t-cs-chtintweb01-osdisk</v>
      </c>
      <c r="P3" s="1">
        <v>64</v>
      </c>
      <c r="Q3" s="1" t="s">
        <v>224</v>
      </c>
      <c r="R3" s="94"/>
      <c r="S3" s="1"/>
      <c r="T3" s="94"/>
      <c r="U3" s="94" t="str">
        <f t="shared" si="1"/>
        <v>t-cs-chtintweb01-nic</v>
      </c>
      <c r="V3" s="1" t="b">
        <v>1</v>
      </c>
      <c r="W3" s="1" t="b">
        <v>1</v>
      </c>
      <c r="X3" s="1" t="s">
        <v>250</v>
      </c>
      <c r="Y3" s="1" t="s">
        <v>252</v>
      </c>
      <c r="Z3" s="1" t="s">
        <v>265</v>
      </c>
      <c r="AA3" s="1" t="b">
        <v>1</v>
      </c>
      <c r="AB3" s="1" t="s">
        <v>250</v>
      </c>
      <c r="AC3" s="1" t="s">
        <v>267</v>
      </c>
      <c r="AD3" s="1">
        <v>3</v>
      </c>
      <c r="AE3" s="1"/>
      <c r="AF3" s="1"/>
    </row>
    <row r="4" spans="1:32" x14ac:dyDescent="0.3">
      <c r="B4" s="1" t="s">
        <v>234</v>
      </c>
      <c r="C4" s="1" t="s">
        <v>234</v>
      </c>
      <c r="D4" s="94" t="s">
        <v>261</v>
      </c>
      <c r="E4" s="1" t="s">
        <v>24</v>
      </c>
      <c r="F4" s="1" t="s">
        <v>273</v>
      </c>
      <c r="G4" s="1" t="s">
        <v>274</v>
      </c>
      <c r="H4" s="81" t="s">
        <v>222</v>
      </c>
      <c r="I4" s="1">
        <v>2</v>
      </c>
      <c r="J4" s="1">
        <v>8</v>
      </c>
      <c r="K4" s="1" t="s">
        <v>235</v>
      </c>
      <c r="L4" s="80" t="s">
        <v>221</v>
      </c>
      <c r="M4" s="1" t="s">
        <v>272</v>
      </c>
      <c r="N4" s="1" t="s">
        <v>264</v>
      </c>
      <c r="O4" s="94" t="str">
        <f>SUBSTITUTE(F4,"hazr-","")&amp;"-osdisk"</f>
        <v>temp-test01-osdisk</v>
      </c>
      <c r="P4" s="1">
        <v>64</v>
      </c>
      <c r="Q4" s="1" t="s">
        <v>224</v>
      </c>
      <c r="R4" s="94"/>
      <c r="S4" s="1"/>
      <c r="T4" s="94"/>
      <c r="U4" s="94" t="str">
        <f>SUBSTITUTE(F4,"hazr-","")&amp;"-nic"</f>
        <v>temp-test01-nic</v>
      </c>
      <c r="V4" s="1" t="b">
        <v>1</v>
      </c>
      <c r="W4" s="1" t="b">
        <v>1</v>
      </c>
      <c r="X4" s="1" t="s">
        <v>250</v>
      </c>
      <c r="Y4" s="1" t="s">
        <v>252</v>
      </c>
      <c r="Z4" s="1" t="s">
        <v>265</v>
      </c>
      <c r="AA4" s="1" t="b">
        <v>1</v>
      </c>
      <c r="AB4" s="1" t="s">
        <v>250</v>
      </c>
      <c r="AC4" s="1" t="s">
        <v>267</v>
      </c>
      <c r="AD4" s="1">
        <v>3</v>
      </c>
      <c r="AE4" s="1"/>
      <c r="AF4" s="1"/>
    </row>
    <row r="5" spans="1:32" x14ac:dyDescent="0.3">
      <c r="B5" s="1" t="s">
        <v>234</v>
      </c>
      <c r="C5" s="1" t="s">
        <v>234</v>
      </c>
      <c r="D5" s="94" t="s">
        <v>261</v>
      </c>
      <c r="E5" s="1" t="s">
        <v>24</v>
      </c>
      <c r="F5" s="1" t="s">
        <v>277</v>
      </c>
      <c r="G5" s="1" t="s">
        <v>276</v>
      </c>
      <c r="H5" s="81" t="s">
        <v>222</v>
      </c>
      <c r="I5" s="1">
        <v>2</v>
      </c>
      <c r="J5" s="1">
        <v>8</v>
      </c>
      <c r="K5" s="1" t="s">
        <v>235</v>
      </c>
      <c r="L5" s="80" t="s">
        <v>221</v>
      </c>
      <c r="M5" s="1" t="s">
        <v>272</v>
      </c>
      <c r="N5" s="1" t="s">
        <v>264</v>
      </c>
      <c r="O5" s="94" t="str">
        <f>SUBSTITUTE(F5,"hazr-","")&amp;"-osdisk"</f>
        <v>temp-test02-osdisk</v>
      </c>
      <c r="P5" s="1">
        <v>64</v>
      </c>
      <c r="Q5" s="1" t="s">
        <v>224</v>
      </c>
      <c r="R5" s="94" t="s">
        <v>275</v>
      </c>
      <c r="S5" s="1"/>
      <c r="T5" s="94"/>
      <c r="U5" s="94" t="str">
        <f>SUBSTITUTE(F5,"hazr-","")&amp;"-nic"</f>
        <v>temp-test02-nic</v>
      </c>
      <c r="V5" s="1" t="b">
        <v>1</v>
      </c>
      <c r="W5" s="1" t="b">
        <v>1</v>
      </c>
      <c r="X5" s="1" t="s">
        <v>250</v>
      </c>
      <c r="Y5" s="1" t="s">
        <v>252</v>
      </c>
      <c r="Z5" s="1" t="s">
        <v>265</v>
      </c>
      <c r="AA5" s="1" t="b">
        <v>1</v>
      </c>
      <c r="AB5" s="1" t="s">
        <v>250</v>
      </c>
      <c r="AC5" s="1" t="s">
        <v>267</v>
      </c>
      <c r="AD5" s="1">
        <v>3</v>
      </c>
      <c r="AE5" s="1"/>
      <c r="AF5" s="1"/>
    </row>
    <row r="6" spans="1:32" x14ac:dyDescent="0.3">
      <c r="B6" s="1" t="s">
        <v>234</v>
      </c>
      <c r="C6" s="1" t="s">
        <v>234</v>
      </c>
      <c r="D6" s="94" t="s">
        <v>261</v>
      </c>
      <c r="E6" s="1" t="s">
        <v>24</v>
      </c>
      <c r="F6" s="1" t="s">
        <v>278</v>
      </c>
      <c r="G6" s="1" t="s">
        <v>271</v>
      </c>
      <c r="H6" s="81" t="s">
        <v>222</v>
      </c>
      <c r="I6" s="1">
        <v>2</v>
      </c>
      <c r="J6" s="1">
        <v>8</v>
      </c>
      <c r="K6" s="1" t="s">
        <v>235</v>
      </c>
      <c r="L6" s="80" t="s">
        <v>221</v>
      </c>
      <c r="M6" s="1" t="s">
        <v>272</v>
      </c>
      <c r="N6" s="1" t="s">
        <v>264</v>
      </c>
      <c r="O6" s="94" t="str">
        <f>SUBSTITUTE(F6,"hazr-","")&amp;"-osdisk"</f>
        <v>temp-test03-osdisk</v>
      </c>
      <c r="P6" s="1">
        <v>64</v>
      </c>
      <c r="Q6" s="1" t="s">
        <v>224</v>
      </c>
      <c r="R6" s="94"/>
      <c r="S6" s="1"/>
      <c r="T6" s="94"/>
      <c r="U6" s="94" t="str">
        <f>SUBSTITUTE(F6,"hazr-","")&amp;"-nic"</f>
        <v>temp-test03-nic</v>
      </c>
      <c r="V6" s="1" t="b">
        <v>1</v>
      </c>
      <c r="W6" s="1" t="b">
        <v>1</v>
      </c>
      <c r="X6" s="1" t="s">
        <v>250</v>
      </c>
      <c r="Y6" s="1" t="s">
        <v>252</v>
      </c>
      <c r="Z6" s="1" t="s">
        <v>265</v>
      </c>
      <c r="AA6" s="1" t="b">
        <v>1</v>
      </c>
      <c r="AB6" s="1" t="s">
        <v>250</v>
      </c>
      <c r="AC6" s="1" t="s">
        <v>267</v>
      </c>
      <c r="AD6" s="1">
        <v>3</v>
      </c>
      <c r="AE6" s="1"/>
      <c r="AF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"/>
  <sheetViews>
    <sheetView workbookViewId="0">
      <selection activeCell="A4" sqref="A4"/>
    </sheetView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236</v>
      </c>
      <c r="G1" s="86" t="s">
        <v>238</v>
      </c>
      <c r="H1" s="86" t="s">
        <v>240</v>
      </c>
      <c r="I1" s="86" t="s">
        <v>241</v>
      </c>
      <c r="J1" s="86" t="s">
        <v>239</v>
      </c>
      <c r="K1" s="86" t="s">
        <v>242</v>
      </c>
      <c r="L1" s="86" t="s">
        <v>243</v>
      </c>
      <c r="M1" s="86" t="s">
        <v>237</v>
      </c>
      <c r="N1" s="86" t="s">
        <v>245</v>
      </c>
      <c r="O1" s="86" t="s">
        <v>247</v>
      </c>
      <c r="P1" s="86" t="s">
        <v>172</v>
      </c>
      <c r="Q1" s="86" t="s">
        <v>244</v>
      </c>
      <c r="R1" s="91" t="s">
        <v>80</v>
      </c>
    </row>
    <row r="2" spans="1:18" x14ac:dyDescent="0.3">
      <c r="A2" s="100"/>
      <c r="B2" s="87" t="s">
        <v>234</v>
      </c>
      <c r="C2" s="87" t="s">
        <v>225</v>
      </c>
      <c r="D2" s="87" t="s">
        <v>261</v>
      </c>
      <c r="E2" s="92" t="s">
        <v>24</v>
      </c>
      <c r="F2" s="95" t="s">
        <v>262</v>
      </c>
      <c r="G2" s="87" t="str">
        <f>SUBSTITUTE($F2,"hazr-","")&amp;"-disk01"</f>
        <v>t-cs-chtweb01-disk01</v>
      </c>
      <c r="H2" s="87" t="s">
        <v>224</v>
      </c>
      <c r="I2" s="87">
        <v>128</v>
      </c>
      <c r="J2" s="87" t="str">
        <f>SUBSTITUTE($F2,"hazr-","")&amp;"-disk02"</f>
        <v>t-cs-chtweb01-disk02</v>
      </c>
      <c r="K2" s="87" t="s">
        <v>224</v>
      </c>
      <c r="L2" s="87">
        <v>128</v>
      </c>
      <c r="M2" s="87">
        <v>3</v>
      </c>
      <c r="N2" s="87" t="s">
        <v>246</v>
      </c>
      <c r="O2" s="87" t="s">
        <v>250</v>
      </c>
      <c r="P2" s="87" t="s">
        <v>267</v>
      </c>
      <c r="Q2" s="87" t="b">
        <v>1</v>
      </c>
      <c r="R2" s="85"/>
    </row>
    <row r="3" spans="1:18" x14ac:dyDescent="0.3">
      <c r="A3" s="100"/>
      <c r="B3" s="88" t="s">
        <v>234</v>
      </c>
      <c r="C3" s="88" t="s">
        <v>225</v>
      </c>
      <c r="D3" s="88" t="s">
        <v>261</v>
      </c>
      <c r="E3" s="93" t="s">
        <v>24</v>
      </c>
      <c r="F3" s="96" t="s">
        <v>263</v>
      </c>
      <c r="G3" s="88" t="str">
        <f t="shared" ref="G3:G6" si="0">SUBSTITUTE($F3,"hazr-","")&amp;"-disk01"</f>
        <v>t-cs-chtintweb01-disk01</v>
      </c>
      <c r="H3" s="88" t="s">
        <v>224</v>
      </c>
      <c r="I3" s="88">
        <v>128</v>
      </c>
      <c r="J3" s="88" t="str">
        <f>SUBSTITUTE($F3,"hazr-","")&amp;"-disk02"</f>
        <v>t-cs-chtintweb01-disk02</v>
      </c>
      <c r="K3" s="88" t="s">
        <v>224</v>
      </c>
      <c r="L3" s="88">
        <v>128</v>
      </c>
      <c r="M3" s="88">
        <v>3</v>
      </c>
      <c r="N3" s="88" t="s">
        <v>246</v>
      </c>
      <c r="O3" s="88" t="s">
        <v>250</v>
      </c>
      <c r="P3" s="88" t="s">
        <v>267</v>
      </c>
      <c r="Q3" s="88" t="b">
        <v>1</v>
      </c>
      <c r="R3" s="56"/>
    </row>
    <row r="4" spans="1:18" x14ac:dyDescent="0.3">
      <c r="A4" s="97"/>
      <c r="B4" s="88" t="s">
        <v>234</v>
      </c>
      <c r="C4" s="88" t="s">
        <v>234</v>
      </c>
      <c r="D4" s="88" t="s">
        <v>261</v>
      </c>
      <c r="E4" s="93" t="s">
        <v>24</v>
      </c>
      <c r="F4" s="96" t="s">
        <v>270</v>
      </c>
      <c r="G4" s="88" t="str">
        <f t="shared" si="0"/>
        <v>temp-test-disk01</v>
      </c>
      <c r="H4" s="88" t="s">
        <v>224</v>
      </c>
      <c r="I4" s="88">
        <v>128</v>
      </c>
      <c r="J4" s="88" t="str">
        <f>SUBSTITUTE($F4,"hazr-","")&amp;"-disk02"</f>
        <v>temp-test-disk02</v>
      </c>
      <c r="K4" s="88" t="s">
        <v>224</v>
      </c>
      <c r="L4" s="88">
        <v>128</v>
      </c>
      <c r="M4" s="88">
        <v>3</v>
      </c>
      <c r="N4" s="88" t="s">
        <v>246</v>
      </c>
      <c r="O4" s="88" t="s">
        <v>250</v>
      </c>
      <c r="P4" s="88" t="s">
        <v>267</v>
      </c>
      <c r="Q4" s="88" t="b">
        <v>1</v>
      </c>
      <c r="R4" s="56"/>
    </row>
    <row r="5" spans="1:18" x14ac:dyDescent="0.3">
      <c r="A5" s="97"/>
      <c r="B5" s="88" t="s">
        <v>234</v>
      </c>
      <c r="C5" s="88" t="s">
        <v>234</v>
      </c>
      <c r="D5" s="88" t="s">
        <v>261</v>
      </c>
      <c r="E5" s="93" t="s">
        <v>24</v>
      </c>
      <c r="F5" s="96" t="s">
        <v>270</v>
      </c>
      <c r="G5" s="88" t="str">
        <f t="shared" si="0"/>
        <v>temp-test-disk01</v>
      </c>
      <c r="H5" s="88" t="s">
        <v>224</v>
      </c>
      <c r="I5" s="88">
        <v>128</v>
      </c>
      <c r="J5" s="88" t="str">
        <f>SUBSTITUTE($F5,"hazr-","")&amp;"-disk02"</f>
        <v>temp-test-disk02</v>
      </c>
      <c r="K5" s="88" t="s">
        <v>224</v>
      </c>
      <c r="L5" s="88">
        <v>128</v>
      </c>
      <c r="M5" s="88">
        <v>3</v>
      </c>
      <c r="N5" s="88" t="s">
        <v>246</v>
      </c>
      <c r="O5" s="88" t="s">
        <v>250</v>
      </c>
      <c r="P5" s="88" t="s">
        <v>267</v>
      </c>
      <c r="Q5" s="88" t="b">
        <v>1</v>
      </c>
      <c r="R5" s="56"/>
    </row>
    <row r="6" spans="1:18" x14ac:dyDescent="0.3">
      <c r="B6" s="88" t="s">
        <v>234</v>
      </c>
      <c r="C6" s="88" t="s">
        <v>234</v>
      </c>
      <c r="D6" s="88" t="s">
        <v>261</v>
      </c>
      <c r="E6" s="93" t="s">
        <v>24</v>
      </c>
      <c r="F6" s="96" t="s">
        <v>270</v>
      </c>
      <c r="G6" s="88" t="str">
        <f t="shared" si="0"/>
        <v>temp-test-disk01</v>
      </c>
      <c r="H6" s="88" t="s">
        <v>224</v>
      </c>
      <c r="I6" s="88">
        <v>128</v>
      </c>
      <c r="J6" s="88" t="str">
        <f>SUBSTITUTE($F6,"hazr-","")&amp;"-disk02"</f>
        <v>temp-test-disk02</v>
      </c>
      <c r="K6" s="88" t="s">
        <v>224</v>
      </c>
      <c r="L6" s="88">
        <v>128</v>
      </c>
      <c r="M6" s="88">
        <v>3</v>
      </c>
      <c r="N6" s="88" t="s">
        <v>246</v>
      </c>
      <c r="O6" s="88" t="s">
        <v>250</v>
      </c>
      <c r="P6" s="88" t="s">
        <v>267</v>
      </c>
      <c r="Q6" s="88" t="b">
        <v>1</v>
      </c>
      <c r="R6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I15" sqref="I15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232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2026-04-22T05:17:00Z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