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9C17A5ED-23AE-4882-ABB8-F85E501AFA4B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UDR" sheetId="15" r:id="rId6"/>
    <sheet name="NSG_Rule" sheetId="3" r:id="rId7"/>
    <sheet name="LB" sheetId="6" r:id="rId8"/>
    <sheet name="LB_Probe" sheetId="10" r:id="rId9"/>
    <sheet name="LB_Rule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3" i="15" l="1" a="1"/>
  <c r="C83" i="15" s="1"/>
  <c r="C84" i="15" a="1"/>
  <c r="C84" i="15" s="1"/>
  <c r="C85" i="15" a="1"/>
  <c r="C85" i="15" s="1"/>
  <c r="C86" i="15" a="1"/>
  <c r="C86" i="15" s="1"/>
  <c r="C87" i="15" a="1"/>
  <c r="C87" i="15" s="1"/>
  <c r="C88" i="15" a="1"/>
  <c r="C88" i="15" s="1"/>
  <c r="C89" i="15" a="1"/>
  <c r="C89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41" i="15" a="1"/>
  <c r="C41" i="15" s="1"/>
  <c r="C42" i="15" a="1"/>
  <c r="C42" i="15" s="1"/>
  <c r="C43" i="15" a="1"/>
  <c r="C43" i="15" s="1"/>
  <c r="C44" i="15" a="1"/>
  <c r="C44" i="15" s="1"/>
  <c r="C45" i="15" a="1"/>
  <c r="C45" i="15" s="1"/>
  <c r="C46" i="15" a="1"/>
  <c r="C46" i="15" s="1"/>
  <c r="C47" i="15" a="1"/>
  <c r="C47" i="15" s="1"/>
  <c r="C48" i="15" a="1"/>
  <c r="C48" i="15" s="1"/>
  <c r="C49" i="15" a="1"/>
  <c r="C49" i="15" s="1"/>
  <c r="C50" i="15" a="1"/>
  <c r="C50" i="15" s="1"/>
  <c r="C51" i="15" a="1"/>
  <c r="C51" i="15" s="1"/>
  <c r="C52" i="15" a="1"/>
  <c r="C52" i="15" s="1"/>
  <c r="C53" i="15" a="1"/>
  <c r="C53" i="15" s="1"/>
  <c r="C54" i="15" a="1"/>
  <c r="C54" i="15" s="1"/>
  <c r="C55" i="15" a="1"/>
  <c r="C55" i="15" s="1"/>
  <c r="C56" i="15" a="1"/>
  <c r="C56" i="15" s="1"/>
  <c r="C77" i="15" a="1"/>
  <c r="C77" i="15" s="1"/>
  <c r="C78" i="15" a="1"/>
  <c r="C78" i="15" s="1"/>
  <c r="C79" i="15" a="1"/>
  <c r="C79" i="15" s="1"/>
  <c r="C80" i="15" a="1"/>
  <c r="C80" i="15" s="1"/>
  <c r="C81" i="15" a="1"/>
  <c r="C81" i="15" s="1"/>
  <c r="C82" i="15" a="1"/>
  <c r="C82" i="15" s="1"/>
  <c r="C90" i="15" a="1"/>
  <c r="C90" i="15" s="1"/>
  <c r="C91" i="15" a="1"/>
  <c r="C91" i="15" s="1"/>
  <c r="C92" i="15" a="1"/>
  <c r="C92" i="15" s="1"/>
  <c r="C93" i="15" a="1"/>
  <c r="C93" i="15" s="1"/>
  <c r="C94" i="15" a="1"/>
  <c r="C94" i="15" s="1"/>
  <c r="C95" i="15" a="1"/>
  <c r="C95" i="15" s="1"/>
  <c r="C96" i="15" a="1"/>
  <c r="C96" i="15" s="1"/>
  <c r="C97" i="15" a="1"/>
  <c r="C97" i="15" s="1"/>
  <c r="C98" i="15" a="1"/>
  <c r="C98" i="15" s="1"/>
  <c r="C99" i="15" a="1"/>
  <c r="C99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2" i="15" a="1"/>
  <c r="C22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57" i="15" a="1"/>
  <c r="C57" i="15" s="1"/>
  <c r="C58" i="15" a="1"/>
  <c r="C58" i="15" s="1"/>
  <c r="C59" i="15" a="1"/>
  <c r="C59" i="15" s="1"/>
  <c r="C60" i="15" a="1"/>
  <c r="C60" i="15" s="1"/>
  <c r="C61" i="15" a="1"/>
  <c r="C61" i="15" s="1"/>
  <c r="C62" i="15" a="1"/>
  <c r="C62" i="15" s="1"/>
  <c r="C63" i="15" a="1"/>
  <c r="C63" i="15" s="1"/>
  <c r="C64" i="15" a="1"/>
  <c r="C64" i="15" s="1"/>
  <c r="C65" i="15" a="1"/>
  <c r="C65" i="15" s="1"/>
  <c r="C66" i="15" a="1"/>
  <c r="C66" i="15" s="1"/>
  <c r="C67" i="15" a="1"/>
  <c r="C67" i="15" s="1"/>
  <c r="C68" i="15" a="1"/>
  <c r="C68" i="15" s="1"/>
  <c r="C69" i="15" a="1"/>
  <c r="C69" i="15" s="1"/>
  <c r="C70" i="15" a="1"/>
  <c r="C70" i="15" s="1"/>
  <c r="C71" i="15" a="1"/>
  <c r="C71" i="15" s="1"/>
  <c r="C72" i="15" a="1"/>
  <c r="C72" i="15" s="1"/>
  <c r="C73" i="15" a="1"/>
  <c r="C73" i="15" s="1"/>
  <c r="C74" i="15" a="1"/>
  <c r="C74" i="15" s="1"/>
  <c r="C75" i="15" a="1"/>
  <c r="C75" i="15" s="1"/>
  <c r="C76" i="15" a="1"/>
  <c r="C76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12" i="15" a="1"/>
  <c r="C12" i="15" s="1"/>
  <c r="C2" i="15" a="1"/>
  <c r="C2" i="15" s="1"/>
  <c r="D3" i="2" a="1"/>
  <c r="D3" i="2" s="1"/>
  <c r="C5" i="2" a="1"/>
  <c r="C5" i="2" s="1"/>
  <c r="D5" i="2" a="1"/>
  <c r="D5" i="2" s="1"/>
  <c r="C4" i="2" a="1"/>
  <c r="C4" i="2" s="1"/>
  <c r="D4" i="2" a="1"/>
  <c r="D4" i="2" s="1"/>
  <c r="C3" i="2" a="1"/>
  <c r="C3" i="2" s="1"/>
  <c r="D2" i="2" a="1"/>
  <c r="D2" i="2" s="1"/>
  <c r="C2" i="2" a="1"/>
  <c r="C2" i="2" s="1"/>
  <c r="J3" i="14"/>
  <c r="J2" i="14"/>
  <c r="C2" i="1" a="1"/>
  <c r="C2" i="1" s="1"/>
  <c r="C3" i="1" a="1"/>
  <c r="C3" i="1" s="1"/>
  <c r="O2" i="1"/>
  <c r="O3" i="1"/>
  <c r="U2" i="1"/>
  <c r="U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K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<sst xmlns="http://schemas.openxmlformats.org/spreadsheetml/2006/main" count="1465" uniqueCount="438">
  <si>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</si>
  <si>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</si>
  <si>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</si>
  <si>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</si>
  <si>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</si>
  <si>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</si>
  <si>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</si>
  <si>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</si>
  <si>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</si>
  <si>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</si>
  <si>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</si>
  <si>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</si>
  <si>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</si>
  <si>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</si>
  <si>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</si>
  <si>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</si>
  <si>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</si>
  <si>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</si>
  <si>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</si>
  <si>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</si>
  <si>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</si>
  <si>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</si>
  <si>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</si>
  <si>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</si>
  <si>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</si>
  <si>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</si>
  <si>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</si>
  <si>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</si>
  <si>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</si>
  <si>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</si>
  <si>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</si>
  <si>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</si>
  <si>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</si>
  <si>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</si>
  <si>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</si>
  <si>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</si>
  <si>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</si>
  <si>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</si>
  <si>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</si>
  <si>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</si>
  <si>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</si>
  <si>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</si>
  <si>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</si>
  <si>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</si>
  <si>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</si>
  <si>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</si>
  <si>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</si>
  <si>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</si>
  <si>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</si>
  <si>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</si>
  <si>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</si>
  <si>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</si>
  <si>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</si>
  <si>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</si>
  <si>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</si>
  <si>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</si>
  <si>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</si>
  <si>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</si>
  <si>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</si>
  <si>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</si>
  <si>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</si>
  <si>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</si>
  <si>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</si>
  <si>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</si>
  <si>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</si>
  <si>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</si>
  <si>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</si>
  <si>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</si>
  <si>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</si>
  <si>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</si>
  <si>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</si>
  <si>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</si>
  <si>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</si>
  <si>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</si>
  <si>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</si>
  <si>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</si>
  <si>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</si>
  <si>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</si>
  <si>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</si>
  <si>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</si>
  <si>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NW</t>
    <phoneticPr fontId="1" type="noConversion"/>
  </si>
  <si>
    <t>PRD-NW-RG</t>
    <phoneticPr fontId="1" type="noConversion"/>
  </si>
  <si>
    <t>testprdnwvnet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</si>
  <si>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</si>
  <si>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</si>
  <si>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</si>
  <si>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</si>
  <si>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</si>
  <si>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</si>
  <si>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</si>
  <si>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</si>
  <si>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</si>
  <si>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</si>
  <si>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</si>
  <si>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</si>
  <si>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</si>
  <si>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</si>
  <si>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</si>
  <si>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</si>
  <si>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</si>
  <si>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</si>
  <si>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</si>
  <si>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</si>
  <si>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</si>
  <si>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</si>
  <si>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</si>
  <si>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</si>
  <si>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</si>
  <si>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</si>
  <si>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</si>
  <si>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</si>
  <si>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</si>
  <si>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</si>
  <si>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</si>
  <si>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</si>
  <si>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</si>
  <si>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</si>
  <si>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</si>
  <si>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</si>
  <si>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</si>
  <si>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</si>
  <si>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</si>
  <si>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</si>
  <si>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</si>
  <si>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</si>
  <si>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</si>
  <si>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</si>
  <si>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</si>
  <si>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</si>
  <si>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</si>
  <si>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</si>
  <si>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</si>
  <si>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</si>
  <si>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</si>
  <si>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</si>
  <si>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</si>
  <si>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</si>
  <si>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</si>
  <si>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</si>
  <si>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</si>
  <si>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</si>
  <si>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</si>
  <si>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</si>
  <si>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</si>
  <si>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</si>
  <si>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</si>
  <si>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</si>
  <si>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</si>
  <si>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</si>
  <si>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</si>
  <si>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</si>
  <si>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</si>
  <si>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</si>
  <si>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</si>
  <si>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</si>
  <si>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</si>
  <si>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</si>
  <si>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</si>
  <si>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</si>
  <si>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</si>
  <si>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</si>
  <si>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</si>
  <si>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</si>
  <si>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</si>
  <si>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</si>
  <si>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</si>
  <si>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</si>
  <si>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</si>
  <si>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</si>
  <si>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</si>
  <si>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</si>
  <si>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</si>
  <si>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</si>
  <si>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</si>
  <si>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</si>
  <si>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</si>
  <si>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</si>
  <si>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</si>
  <si>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</si>
  <si>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</si>
  <si>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</si>
  <si>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</si>
  <si>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</si>
  <si>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</si>
  <si>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</si>
  <si>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</si>
  <si>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</si>
  <si>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</si>
  <si>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</si>
  <si>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</si>
  <si>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</si>
  <si>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</si>
  <si>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</si>
  <si>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</si>
  <si>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</si>
  <si>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</si>
  <si>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</si>
  <si>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</si>
  <si>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</si>
  <si>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</si>
  <si>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</si>
  <si>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</si>
  <si>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</si>
  <si>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</si>
  <si>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</si>
  <si>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</si>
  <si>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</si>
  <si>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</si>
  <si>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</si>
  <si>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</si>
  <si>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</si>
  <si>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</si>
  <si>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</si>
  <si>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</si>
  <si>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</si>
  <si>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</si>
  <si>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</si>
  <si>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</si>
  <si>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</si>
  <si>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</si>
  <si>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</si>
  <si>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</si>
  <si>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</si>
  <si>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</si>
  <si>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</si>
  <si>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</si>
  <si>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</si>
  <si>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</si>
  <si>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</si>
  <si>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</si>
  <si>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</si>
  <si>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</si>
  <si>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</si>
  <si>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</si>
  <si>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</si>
  <si>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</si>
  <si>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</si>
  <si>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</si>
  <si>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</si>
  <si>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</si>
  <si>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</si>
  <si>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</si>
  <si>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</si>
  <si>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hazr-t-cs-rg</t>
  </si>
  <si>
    <t>hazr-t-dis-rg</t>
  </si>
  <si>
    <t>hazr-t-doip-rg</t>
  </si>
  <si>
    <t>hazr-t-dtg-rg</t>
  </si>
  <si>
    <t>hazr-t-if-rg</t>
  </si>
  <si>
    <t>hazr-t-bdp-rg</t>
  </si>
  <si>
    <t>hazr-t-puls-rg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</si>
  <si>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</si>
  <si>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</si>
  <si>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</si>
  <si>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</si>
  <si>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</si>
  <si>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</si>
  <si>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</si>
  <si>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</si>
  <si>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/subscriptions/b73b1d70-b43f-41b5-bb3f-34b9236d2ed9/resourceGroups/hazr-l-mgmt-rg/providers/Microsoft.Compute/galleries/hazrlmgmtgal/images/RHEL_9.6_Base_Image/versions/0.0.4</t>
    <phoneticPr fontId="1" type="noConversion"/>
  </si>
  <si>
    <t>Role2</t>
    <phoneticPr fontId="1" type="noConversion"/>
  </si>
  <si>
    <t>t-cs-db-sbn</t>
    <phoneticPr fontId="1" type="noConversion"/>
  </si>
  <si>
    <t>t-cs-pe-sbn</t>
    <phoneticPr fontId="1" type="noConversion"/>
  </si>
  <si>
    <t>t-cs-web-nsg</t>
    <phoneticPr fontId="1" type="noConversion"/>
  </si>
  <si>
    <t>t-cs-ap-nsg</t>
    <phoneticPr fontId="1" type="noConversion"/>
  </si>
  <si>
    <t>t-cs-db-nsg</t>
    <phoneticPr fontId="1" type="noConversion"/>
  </si>
  <si>
    <t>t-cs-pe-nsg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</si>
  <si>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</si>
  <si>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</si>
  <si>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</si>
  <si>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</si>
  <si>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</si>
  <si>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</si>
  <si>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</si>
  <si>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</si>
  <si>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</si>
  <si>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</si>
  <si>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</si>
  <si>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</si>
  <si>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</si>
  <si>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</si>
  <si>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</si>
  <si>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</si>
  <si>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</si>
  <si>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</si>
  <si>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</si>
  <si>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</si>
  <si>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hazr-d-dch-ext-vnet_2</t>
  </si>
  <si>
    <t>hazr-d-dch-ext-vnet_3</t>
  </si>
  <si>
    <t>hazr-d-dch-ext-vnet_4</t>
  </si>
  <si>
    <t>hazr-d-dch-ext-vnet_5</t>
  </si>
  <si>
    <t>hazr-d-dch-ext-vnet_6</t>
  </si>
  <si>
    <t>hazr-d-dch-ext-vnet_7</t>
  </si>
  <si>
    <t>hazr-d-dch-ext-vnet_8</t>
  </si>
  <si>
    <t>hazr-d-dch-ext-vnet_9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</si>
  <si>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</si>
  <si>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</si>
  <si>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</si>
  <si>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</si>
  <si>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</si>
  <si>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</si>
  <si>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</si>
  <si>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</si>
  <si>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</si>
  <si>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</si>
  <si>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</si>
  <si>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</si>
  <si>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</si>
  <si>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</si>
  <si>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</si>
  <si>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</si>
  <si>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</si>
  <si>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</si>
  <si>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</si>
  <si>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</si>
  <si>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</si>
  <si>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</si>
  <si>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</si>
  <si>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</si>
  <si>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</si>
  <si>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</si>
  <si>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hazr-t-dch-int-vnet_4</t>
  </si>
  <si>
    <t>hazr-t-dch-int-vnet_5</t>
  </si>
  <si>
    <t>hazr-t-dch-int-vnet_6</t>
  </si>
  <si>
    <t>hazr-t-dch-int-vnet_7</t>
  </si>
  <si>
    <t>hazr-t-dch-int-vnet_8</t>
  </si>
  <si>
    <t>hazr-t-dch-int-vnet_9</t>
  </si>
  <si>
    <t>hazr-t-dch-int-vnet_10</t>
  </si>
  <si>
    <t>hazr-t-dch-int-vnet_11</t>
  </si>
  <si>
    <t>hazr-t-dch-int-vnet_12</t>
  </si>
  <si>
    <t>hazr-t-dch-int-vnet_13</t>
  </si>
  <si>
    <t>hazr-t-dch-int-vnet_14</t>
  </si>
  <si>
    <t>hazr-t-dch-int-vnet_15</t>
  </si>
  <si>
    <t>hazr-t-dch-int-vnet_16</t>
  </si>
  <si>
    <t>hazr-t-dch-int-vnet_17</t>
  </si>
  <si>
    <t>hazr-t-dch-int-vnet_18</t>
  </si>
  <si>
    <t>hazr-t-dch-int-vnet_19</t>
  </si>
  <si>
    <t>hazr-t-dch-int-vnet_20</t>
  </si>
  <si>
    <t>hazr-t-dch-int-vnet_21</t>
  </si>
  <si>
    <t>hazr-t-dch-int-vnet_22</t>
  </si>
  <si>
    <t>hazr-t-dch-int-vnet_23</t>
  </si>
  <si>
    <t>hazr-t-dch-int-vnet_24</t>
  </si>
  <si>
    <t>hazr-t-dch-int-vnet_25</t>
  </si>
  <si>
    <t>hazr-t-dch-int-vnet_26</t>
  </si>
  <si>
    <t>hazr-t-dch-int-vnet_27</t>
  </si>
  <si>
    <t>10.157.144.0/24</t>
    <phoneticPr fontId="1" type="noConversion"/>
  </si>
  <si>
    <t>10.157.145.0/24</t>
    <phoneticPr fontId="1" type="noConversion"/>
  </si>
  <si>
    <t>10.157.146.0/24</t>
    <phoneticPr fontId="1" type="noConversion"/>
  </si>
  <si>
    <t>10.157.147.0/24</t>
    <phoneticPr fontId="1" type="noConversion"/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</si>
  <si>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</si>
  <si>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</si>
  <si>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</si>
  <si>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</si>
  <si>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</si>
  <si>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</si>
  <si>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</si>
  <si>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</si>
  <si>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</si>
  <si>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</si>
  <si>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</si>
  <si>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</si>
  <si>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</si>
  <si>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</si>
  <si>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</si>
  <si>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</si>
  <si>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</si>
  <si>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</si>
  <si>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</si>
  <si>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</si>
  <si>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</si>
  <si>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10.157.156.0/24</t>
    <phoneticPr fontId="1" type="noConversion"/>
  </si>
  <si>
    <t>hazr-t-dch-int-vnet_28</t>
  </si>
  <si>
    <t>hazr-t-dch-int-vnet_29</t>
  </si>
  <si>
    <t>hazr-t-dch-int-vnet_30</t>
  </si>
  <si>
    <t>hazr-t-dch-int-vnet_31</t>
  </si>
  <si>
    <t>hazr-t-dch-int-vnet_32</t>
  </si>
  <si>
    <t>hazr-t-dch-int-vnet_33</t>
  </si>
  <si>
    <t>hazr-t-dch-int-vnet_34</t>
  </si>
  <si>
    <t>hazr-t-dch-int-vnet_35</t>
  </si>
  <si>
    <t>hazr-t-dch-int-vnet_36</t>
  </si>
  <si>
    <t>hazr-t-dch-int-vnet_37</t>
  </si>
  <si>
    <t>hazr-t-dch-int-vnet_38</t>
  </si>
  <si>
    <t>10.157.170.0/24</t>
    <phoneticPr fontId="1" type="noConversion"/>
  </si>
  <si>
    <t>10.157.171.0/24</t>
    <phoneticPr fontId="1" type="noConversion"/>
  </si>
  <si>
    <t>10.157.172.0/24</t>
    <phoneticPr fontId="1" type="noConversion"/>
  </si>
  <si>
    <t>10.157.173.0/24</t>
    <phoneticPr fontId="1" type="noConversion"/>
  </si>
  <si>
    <t>10.157.174.0/24</t>
    <phoneticPr fontId="1" type="noConversion"/>
  </si>
  <si>
    <t>10.157.175.0/24</t>
  </si>
  <si>
    <t>10.157.176.0/24</t>
  </si>
  <si>
    <t>10.157.177.0/24</t>
  </si>
  <si>
    <t>10.157.178.0/24</t>
  </si>
  <si>
    <t>10.157.179.0/24</t>
  </si>
  <si>
    <t>10.157.180.0/24</t>
  </si>
  <si>
    <t>10.157.181.0/24</t>
  </si>
  <si>
    <t>10.157.182.0/24</t>
  </si>
  <si>
    <t>10.157.183.0/24</t>
  </si>
  <si>
    <t>10.157.184.0/24</t>
  </si>
  <si>
    <t>10.157.185.0/24</t>
  </si>
  <si>
    <t>10.157.186.0/24</t>
  </si>
  <si>
    <t>10.157.187.0/24</t>
  </si>
  <si>
    <t>10.157.188.0/24</t>
  </si>
  <si>
    <t>10.157.189.0/24</t>
  </si>
  <si>
    <t>10.157.190.0/24</t>
  </si>
  <si>
    <t>10.157.191.0/24</t>
  </si>
  <si>
    <t>hazr-t-dch-int-vnet_39</t>
  </si>
  <si>
    <t>hazr-t-dch-int-vnet_40</t>
  </si>
  <si>
    <t>hazr-t-dch-int-vnet_41</t>
  </si>
  <si>
    <t>hazr-t-dch-int-vnet_42</t>
  </si>
  <si>
    <t>hazr-t-dch-int-vnet_43</t>
  </si>
  <si>
    <t>hazr-t-dch-int-vnet_44</t>
  </si>
  <si>
    <t>hazr-t-dch-int-vnet_45</t>
  </si>
  <si>
    <t>hazr-t-dch-int-vnet_46</t>
  </si>
  <si>
    <t>hazr-t-dch-int-vnet_47</t>
  </si>
  <si>
    <t>hazr-t-dch-int-vnet_48</t>
  </si>
  <si>
    <t>hazr-l-comm-vnet</t>
    <phoneticPr fontId="1" type="noConversion"/>
  </si>
  <si>
    <t>hazr-d-dch-ext-vnet_1</t>
    <phoneticPr fontId="1" type="noConversion"/>
  </si>
  <si>
    <t>10.157.128.0/24</t>
  </si>
  <si>
    <t>10.157.129.0/24</t>
  </si>
  <si>
    <t>10.157.130.0/24</t>
  </si>
  <si>
    <t>10.157.131.0/24</t>
  </si>
  <si>
    <t>10.157.132.0/24</t>
  </si>
  <si>
    <t>10.157.133.0/24</t>
  </si>
  <si>
    <t>10.157.134.0/24</t>
  </si>
  <si>
    <t>10.157.135.0/24</t>
  </si>
  <si>
    <t>10.157.136.0/24</t>
  </si>
  <si>
    <t>10.157.137.0/24</t>
  </si>
  <si>
    <t>10.157.138.0/24</t>
  </si>
  <si>
    <t>10.157.139.0/24</t>
  </si>
  <si>
    <t>10.157.140.0/24</t>
  </si>
  <si>
    <t>10.157.141.0/24</t>
  </si>
  <si>
    <t>10.157.142.0/24</t>
  </si>
  <si>
    <t>10.157.143.0/24</t>
  </si>
  <si>
    <t>hazr-d-dch-ext-vnet_10</t>
  </si>
  <si>
    <t>hazr-d-dch-ext-vnet_11</t>
  </si>
  <si>
    <t>hazr-d-dch-ext-vnet_12</t>
  </si>
  <si>
    <t>hazr-d-dch-ext-vnet_13</t>
  </si>
  <si>
    <t>hazr-d-dch-ext-vnet_14</t>
  </si>
  <si>
    <t>hazr-d-dch-ext-vnet_15</t>
  </si>
  <si>
    <t>hazr-d-dch-ext-vnet_16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</si>
</sst>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4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3" borderId="19" xfId="0" applyFont="1" applyFill="1" applyBorder="1">
      <alignment vertical="center"/>
    </xf>
    <xf numFmtId="0" fontId="3" fillId="0" borderId="19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7" borderId="1" xfId="0" applyFill="1" applyBorder="1" applyAlignment="1">
      <alignment horizontal="center" vertical="center"/>
    </xf>
    <xf numFmtId="0" fontId="0" fillId="0" borderId="0" xfId="0" applyFill="1">
      <alignment vertical="center"/>
    </xf>
    <xf numFmtId="0" fontId="7" fillId="2" borderId="2" xfId="0" applyFont="1" applyFill="1" applyBorder="1" applyAlignment="1">
      <alignment vertical="center"/>
    </xf>
    <xf numFmtId="0" fontId="7" fillId="2" borderId="3" xfId="0" applyFont="1" applyFill="1" applyBorder="1" applyAlignment="1">
      <alignment vertical="center"/>
    </xf>
    <xf numFmtId="0" fontId="0" fillId="5" borderId="0" xfId="0" applyFill="1" applyAlignment="1">
      <alignment horizontal="center" vertical="center"/>
    </xf>
    <xf numFmtId="0" fontId="0" fillId="5" borderId="0" xfId="0" applyFill="1">
      <alignment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" totalsRowShown="0" headerRowDxfId="32" dataDxfId="31">
  <autoFilter ref="B1:AF6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E19" sqref="E19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94</v>
      </c>
      <c r="G1" s="51" t="s">
        <v>95</v>
      </c>
      <c r="H1" s="55" t="s">
        <v>96</v>
      </c>
      <c r="I1" s="55" t="s">
        <v>97</v>
      </c>
      <c r="J1" s="51" t="s">
        <v>83</v>
      </c>
      <c r="K1" s="51" t="s">
        <v>84</v>
      </c>
      <c r="L1" s="55" t="s">
        <v>85</v>
      </c>
      <c r="M1" s="55" t="s">
        <v>86</v>
      </c>
      <c r="N1" s="55" t="s">
        <v>87</v>
      </c>
      <c r="O1" s="55" t="s">
        <v>88</v>
      </c>
      <c r="P1" s="55" t="s">
        <v>162</v>
      </c>
      <c r="Q1" s="55" t="s">
        <v>163</v>
      </c>
      <c r="R1" s="55" t="s">
        <v>164</v>
      </c>
      <c r="S1" s="55" t="s">
        <v>165</v>
      </c>
      <c r="T1" s="55" t="s">
        <v>166</v>
      </c>
      <c r="U1" s="55" t="s">
        <v>167</v>
      </c>
      <c r="V1" s="55" t="s">
        <v>168</v>
      </c>
      <c r="W1" s="55" t="s">
        <v>169</v>
      </c>
      <c r="X1" s="55" t="s">
        <v>170</v>
      </c>
      <c r="Y1" s="55" t="s">
        <v>171</v>
      </c>
      <c r="Z1" s="55" t="s">
        <v>172</v>
      </c>
      <c r="AA1" s="55" t="s">
        <v>173</v>
      </c>
      <c r="AB1" s="55" t="s">
        <v>174</v>
      </c>
      <c r="AC1" s="55" t="s">
        <v>175</v>
      </c>
      <c r="AD1" s="55" t="s">
        <v>176</v>
      </c>
      <c r="AE1" s="55" t="s">
        <v>177</v>
      </c>
      <c r="AF1" s="55" t="s">
        <v>178</v>
      </c>
      <c r="AG1" s="55" t="s">
        <v>179</v>
      </c>
      <c r="AH1" s="55" t="s">
        <v>180</v>
      </c>
      <c r="AI1" s="55" t="s">
        <v>181</v>
      </c>
      <c r="AJ1" s="55" t="s">
        <v>182</v>
      </c>
      <c r="AK1" s="55" t="s">
        <v>183</v>
      </c>
      <c r="AL1" s="55" t="s">
        <v>184</v>
      </c>
      <c r="AM1" s="55" t="s">
        <v>185</v>
      </c>
      <c r="AN1" s="55" t="s">
        <v>186</v>
      </c>
      <c r="AO1" s="55" t="s">
        <v>187</v>
      </c>
      <c r="AP1" s="55" t="s">
        <v>188</v>
      </c>
      <c r="AQ1" s="55" t="s">
        <v>189</v>
      </c>
      <c r="AR1" s="55" t="s">
        <v>190</v>
      </c>
      <c r="AS1" s="55" t="s">
        <v>191</v>
      </c>
      <c r="AT1" s="55" t="s">
        <v>192</v>
      </c>
      <c r="AU1" s="55" t="s">
        <v>193</v>
      </c>
      <c r="AV1" s="55" t="s">
        <v>194</v>
      </c>
      <c r="AW1" s="55" t="s">
        <v>195</v>
      </c>
      <c r="AX1" s="55" t="s">
        <v>196</v>
      </c>
      <c r="AY1" s="55" t="s">
        <v>197</v>
      </c>
      <c r="AZ1" s="55" t="s">
        <v>198</v>
      </c>
      <c r="BA1" s="55" t="s">
        <v>199</v>
      </c>
      <c r="BB1" s="55" t="s">
        <v>200</v>
      </c>
      <c r="BC1" s="55" t="s">
        <v>201</v>
      </c>
      <c r="BD1" s="55" t="s">
        <v>202</v>
      </c>
      <c r="BE1" s="55" t="s">
        <v>203</v>
      </c>
      <c r="BF1" s="55" t="s">
        <v>204</v>
      </c>
      <c r="BG1" s="55" t="s">
        <v>205</v>
      </c>
      <c r="BH1" s="55" t="s">
        <v>206</v>
      </c>
      <c r="BI1" s="55" t="s">
        <v>207</v>
      </c>
      <c r="BJ1" s="55" t="s">
        <v>208</v>
      </c>
      <c r="BK1" s="55" t="s">
        <v>209</v>
      </c>
    </row>
    <row r="2" spans="1:63" x14ac:dyDescent="0.3">
      <c r="A2" s="52"/>
      <c r="B2" s="56" t="s">
        <v>223</v>
      </c>
      <c r="C2" s="56" t="s">
        <v>80</v>
      </c>
      <c r="D2" s="56" t="s">
        <v>239</v>
      </c>
      <c r="E2" s="56" t="s">
        <v>24</v>
      </c>
      <c r="F2" s="56" t="s">
        <v>240</v>
      </c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97"/>
      <c r="B3" s="56" t="s">
        <v>223</v>
      </c>
      <c r="C3" s="56" t="s">
        <v>80</v>
      </c>
      <c r="D3" s="56" t="s">
        <v>239</v>
      </c>
      <c r="E3" s="56" t="s">
        <v>24</v>
      </c>
      <c r="F3" s="56" t="s">
        <v>241</v>
      </c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2"/>
      <c r="AU3" s="56"/>
      <c r="AV3" s="52"/>
      <c r="AW3" s="56"/>
      <c r="AX3" s="52"/>
      <c r="AY3" s="52"/>
      <c r="AZ3" s="52"/>
      <c r="BA3" s="52"/>
      <c r="BB3" s="52"/>
      <c r="BC3" s="52"/>
      <c r="BD3" s="52"/>
      <c r="BE3" s="52"/>
      <c r="BF3" s="52"/>
      <c r="BG3" s="52"/>
      <c r="BH3" s="52"/>
      <c r="BI3" s="52"/>
      <c r="BJ3" s="52"/>
      <c r="BK3" s="52"/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79</v>
      </c>
    </row>
    <row r="2" spans="1:6" x14ac:dyDescent="0.3">
      <c r="A2" s="82"/>
      <c r="B2" s="56" t="s">
        <v>223</v>
      </c>
      <c r="C2" s="56" t="s">
        <v>216</v>
      </c>
      <c r="D2" s="56" t="s">
        <v>239</v>
      </c>
      <c r="E2" s="56" t="s">
        <v>24</v>
      </c>
      <c r="F2" s="56"/>
    </row>
    <row r="3" spans="1:6" x14ac:dyDescent="0.3">
      <c r="A3" s="83"/>
      <c r="B3" s="56" t="s">
        <v>223</v>
      </c>
      <c r="C3" s="56" t="s">
        <v>217</v>
      </c>
      <c r="D3" s="56" t="s">
        <v>242</v>
      </c>
      <c r="E3" s="56" t="s">
        <v>24</v>
      </c>
      <c r="F3" s="56"/>
    </row>
    <row r="4" spans="1:6" x14ac:dyDescent="0.3">
      <c r="A4" s="82"/>
      <c r="B4" s="56" t="s">
        <v>223</v>
      </c>
      <c r="C4" s="56" t="s">
        <v>214</v>
      </c>
      <c r="D4" s="56" t="s">
        <v>243</v>
      </c>
      <c r="E4" s="56" t="s">
        <v>24</v>
      </c>
      <c r="F4" s="56"/>
    </row>
    <row r="5" spans="1:6" x14ac:dyDescent="0.3">
      <c r="A5" s="83"/>
      <c r="B5" s="56" t="s">
        <v>223</v>
      </c>
      <c r="C5" s="56" t="s">
        <v>215</v>
      </c>
      <c r="D5" s="56" t="s">
        <v>244</v>
      </c>
      <c r="E5" s="56" t="s">
        <v>24</v>
      </c>
      <c r="F5" s="56"/>
    </row>
    <row r="6" spans="1:6" x14ac:dyDescent="0.3">
      <c r="A6" s="82"/>
      <c r="B6" s="56" t="s">
        <v>223</v>
      </c>
      <c r="C6" s="56" t="s">
        <v>218</v>
      </c>
      <c r="D6" s="56" t="s">
        <v>245</v>
      </c>
      <c r="E6" s="56" t="s">
        <v>24</v>
      </c>
      <c r="F6" s="56"/>
    </row>
    <row r="7" spans="1:6" x14ac:dyDescent="0.3">
      <c r="A7" s="83"/>
      <c r="B7" s="56" t="s">
        <v>223</v>
      </c>
      <c r="C7" s="56" t="s">
        <v>219</v>
      </c>
      <c r="D7" s="56" t="s">
        <v>246</v>
      </c>
      <c r="E7" s="56" t="s">
        <v>24</v>
      </c>
      <c r="F7" s="56"/>
    </row>
    <row r="8" spans="1:6" x14ac:dyDescent="0.3">
      <c r="A8" s="82"/>
      <c r="B8" s="56" t="s">
        <v>223</v>
      </c>
      <c r="C8" s="56" t="s">
        <v>220</v>
      </c>
      <c r="D8" s="56" t="s">
        <v>247</v>
      </c>
      <c r="E8" s="56" t="s">
        <v>24</v>
      </c>
      <c r="F8" s="56"/>
    </row>
    <row r="9" spans="1:6" x14ac:dyDescent="0.3">
      <c r="A9" s="82"/>
      <c r="B9" s="56" t="s">
        <v>223</v>
      </c>
      <c r="C9" s="56" t="s">
        <v>221</v>
      </c>
      <c r="D9" s="56" t="s">
        <v>248</v>
      </c>
      <c r="E9" s="56" t="s">
        <v>24</v>
      </c>
      <c r="F9" s="52"/>
    </row>
    <row r="10" spans="1:6" x14ac:dyDescent="0.3">
      <c r="A10" s="83"/>
      <c r="B10" s="56" t="s">
        <v>223</v>
      </c>
      <c r="C10" s="56" t="s">
        <v>222</v>
      </c>
      <c r="D10" s="56" t="s">
        <v>249</v>
      </c>
      <c r="E10" s="56" t="s">
        <v>24</v>
      </c>
      <c r="F10" s="52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"/>
  <sheetViews>
    <sheetView zoomScaleNormal="100" zoomScaleSheetLayoutView="100" workbookViewId="0">
      <selection activeCell="F33" sqref="F3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93</v>
      </c>
      <c r="N1" s="43" t="s">
        <v>28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237</v>
      </c>
      <c r="W1" s="43" t="s">
        <v>18</v>
      </c>
      <c r="X1" s="43" t="s">
        <v>92</v>
      </c>
      <c r="Y1" s="43" t="s">
        <v>19</v>
      </c>
      <c r="Z1" s="43" t="s">
        <v>20</v>
      </c>
      <c r="AA1" s="43" t="s">
        <v>238</v>
      </c>
      <c r="AB1" s="43" t="s">
        <v>236</v>
      </c>
      <c r="AC1" s="43" t="s">
        <v>161</v>
      </c>
      <c r="AD1" s="43" t="s">
        <v>25</v>
      </c>
      <c r="AE1" s="1" t="s">
        <v>21</v>
      </c>
      <c r="AF1" s="1" t="s">
        <v>22</v>
      </c>
    </row>
    <row r="2" spans="1:32" x14ac:dyDescent="0.3">
      <c r="A2" s="82"/>
      <c r="B2" s="1" t="s">
        <v>223</v>
      </c>
      <c r="C2" s="1" t="str" cm="1">
        <f t="array" ref="C2">UPPER(INDEX(_xlfn.TEXTSPLIT($D2, "-"), 3))</f>
        <v>CS</v>
      </c>
      <c r="D2" s="1" t="s">
        <v>250</v>
      </c>
      <c r="E2" s="1" t="s">
        <v>24</v>
      </c>
      <c r="F2" s="1" t="s">
        <v>251</v>
      </c>
      <c r="G2" s="1" t="s">
        <v>256</v>
      </c>
      <c r="H2" s="81" t="s">
        <v>211</v>
      </c>
      <c r="I2" s="1">
        <v>2</v>
      </c>
      <c r="J2" s="1">
        <v>8</v>
      </c>
      <c r="K2" s="1" t="s">
        <v>224</v>
      </c>
      <c r="L2" s="1" t="s">
        <v>210</v>
      </c>
      <c r="M2" s="1" t="s">
        <v>212</v>
      </c>
      <c r="N2" s="1" t="s">
        <v>258</v>
      </c>
      <c r="O2" s="1" t="str">
        <f t="shared" ref="O2:O3" si="0">SUBSTITUTE(F2,"hazr-","")&amp;"-osdisk"</f>
        <v>t-cs-chtweb01-osdisk</v>
      </c>
      <c r="P2" s="1">
        <v>64</v>
      </c>
      <c r="Q2" s="1" t="s">
        <v>213</v>
      </c>
      <c r="R2" s="1"/>
      <c r="S2" s="1"/>
      <c r="T2" s="1"/>
      <c r="U2" s="1" t="str">
        <f t="shared" ref="U2:U3" si="1">SUBSTITUTE(F2,"hazr-","")&amp;"-nic"</f>
        <v>t-cs-chtweb01-nic</v>
      </c>
      <c r="V2" s="1" t="b">
        <v>1</v>
      </c>
      <c r="W2" s="1" t="b">
        <v>1</v>
      </c>
      <c r="X2" s="1" t="s">
        <v>239</v>
      </c>
      <c r="Y2" s="1" t="s">
        <v>240</v>
      </c>
      <c r="Z2" s="1" t="s">
        <v>254</v>
      </c>
      <c r="AA2" s="1" t="b">
        <v>1</v>
      </c>
      <c r="AB2" s="1" t="s">
        <v>239</v>
      </c>
      <c r="AC2" s="1" t="s">
        <v>255</v>
      </c>
      <c r="AD2" s="1">
        <v>3</v>
      </c>
      <c r="AE2" s="1"/>
      <c r="AF2" s="1"/>
    </row>
    <row r="3" spans="1:32" x14ac:dyDescent="0.3">
      <c r="A3" s="82"/>
      <c r="B3" s="1" t="s">
        <v>223</v>
      </c>
      <c r="C3" s="1" t="str" cm="1">
        <f t="array" ref="C3">UPPER(INDEX(_xlfn.TEXTSPLIT($D3, "-"), 3))</f>
        <v>CS</v>
      </c>
      <c r="D3" s="1" t="s">
        <v>250</v>
      </c>
      <c r="E3" s="1" t="s">
        <v>24</v>
      </c>
      <c r="F3" s="1" t="s">
        <v>252</v>
      </c>
      <c r="G3" s="1" t="s">
        <v>257</v>
      </c>
      <c r="H3" s="81" t="s">
        <v>211</v>
      </c>
      <c r="I3" s="1">
        <v>2</v>
      </c>
      <c r="J3" s="1">
        <v>8</v>
      </c>
      <c r="K3" s="1" t="s">
        <v>224</v>
      </c>
      <c r="L3" s="80" t="s">
        <v>210</v>
      </c>
      <c r="M3" s="1" t="s">
        <v>212</v>
      </c>
      <c r="N3" s="1" t="s">
        <v>258</v>
      </c>
      <c r="O3" s="1" t="str">
        <f t="shared" si="0"/>
        <v>t-cs-chtintweb01-osdisk</v>
      </c>
      <c r="P3" s="1">
        <v>64</v>
      </c>
      <c r="Q3" s="1" t="s">
        <v>213</v>
      </c>
      <c r="R3" s="1"/>
      <c r="S3" s="1"/>
      <c r="T3" s="1"/>
      <c r="U3" s="1" t="str">
        <f t="shared" si="1"/>
        <v>t-cs-chtintweb01-nic</v>
      </c>
      <c r="V3" s="1" t="b">
        <v>1</v>
      </c>
      <c r="W3" s="1" t="b">
        <v>1</v>
      </c>
      <c r="X3" s="1" t="s">
        <v>239</v>
      </c>
      <c r="Y3" s="1" t="s">
        <v>241</v>
      </c>
      <c r="Z3" s="1" t="s">
        <v>253</v>
      </c>
      <c r="AA3" s="1" t="b">
        <v>1</v>
      </c>
      <c r="AB3" s="1" t="s">
        <v>239</v>
      </c>
      <c r="AC3" s="1" t="s">
        <v>255</v>
      </c>
      <c r="AD3" s="1">
        <v>3</v>
      </c>
      <c r="AE3" s="1"/>
      <c r="AF3" s="1"/>
    </row>
    <row r="4" spans="1:32" x14ac:dyDescent="0.3">
      <c r="B4" s="1"/>
      <c r="C4" s="1"/>
      <c r="D4" s="1"/>
      <c r="E4" s="1"/>
      <c r="G4" s="1"/>
      <c r="H4" s="81"/>
      <c r="I4" s="1"/>
      <c r="J4" s="1"/>
      <c r="K4" s="1"/>
      <c r="L4" s="8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3">
      <c r="B5" s="1"/>
      <c r="C5" s="1"/>
      <c r="D5" s="1"/>
      <c r="E5" s="1"/>
      <c r="G5" s="1"/>
      <c r="H5" s="81"/>
      <c r="I5" s="1"/>
      <c r="J5" s="1"/>
      <c r="K5" s="1"/>
      <c r="L5" s="8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3">
      <c r="B6" s="1"/>
      <c r="C6" s="1"/>
      <c r="D6" s="1"/>
      <c r="E6" s="1"/>
      <c r="G6" s="1"/>
      <c r="H6" s="81"/>
      <c r="I6" s="1"/>
      <c r="J6" s="1"/>
      <c r="K6" s="1"/>
      <c r="L6" s="8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6"/>
  <sheetViews>
    <sheetView workbookViewId="0">
      <selection activeCell="C2" sqref="C2"/>
    </sheetView>
  </sheetViews>
  <sheetFormatPr defaultRowHeight="16.5" x14ac:dyDescent="0.3"/>
  <cols>
    <col min="1" max="1" width="1.25" style="89" customWidth="1"/>
    <col min="2" max="2" width="5.75" style="89" bestFit="1" customWidth="1"/>
    <col min="3" max="3" width="9.375" style="89" bestFit="1" customWidth="1"/>
    <col min="4" max="4" width="17.625" style="89" bestFit="1" customWidth="1"/>
    <col min="5" max="5" width="17.625" style="89" customWidth="1"/>
    <col min="6" max="6" width="19.875" style="89" bestFit="1" customWidth="1"/>
    <col min="7" max="7" width="21.5" style="89" bestFit="1" customWidth="1"/>
    <col min="8" max="8" width="15" style="89" bestFit="1" customWidth="1"/>
    <col min="9" max="9" width="12.25" style="89" customWidth="1"/>
    <col min="10" max="10" width="21.5" style="89" bestFit="1" customWidth="1"/>
    <col min="11" max="11" width="15" style="89" bestFit="1" customWidth="1"/>
    <col min="12" max="17" width="14.125" style="89" customWidth="1"/>
  </cols>
  <sheetData>
    <row r="1" spans="1:18" x14ac:dyDescent="0.3">
      <c r="A1" s="90"/>
      <c r="B1" s="91" t="s">
        <v>0</v>
      </c>
      <c r="C1" s="91" t="s">
        <v>1</v>
      </c>
      <c r="D1" s="86" t="s">
        <v>2</v>
      </c>
      <c r="E1" s="86" t="s">
        <v>3</v>
      </c>
      <c r="F1" s="86" t="s">
        <v>225</v>
      </c>
      <c r="G1" s="86" t="s">
        <v>227</v>
      </c>
      <c r="H1" s="86" t="s">
        <v>229</v>
      </c>
      <c r="I1" s="86" t="s">
        <v>230</v>
      </c>
      <c r="J1" s="86" t="s">
        <v>228</v>
      </c>
      <c r="K1" s="86" t="s">
        <v>231</v>
      </c>
      <c r="L1" s="86" t="s">
        <v>232</v>
      </c>
      <c r="M1" s="86" t="s">
        <v>226</v>
      </c>
      <c r="N1" s="86" t="s">
        <v>234</v>
      </c>
      <c r="O1" s="86" t="s">
        <v>236</v>
      </c>
      <c r="P1" s="86" t="s">
        <v>161</v>
      </c>
      <c r="Q1" s="86" t="s">
        <v>233</v>
      </c>
      <c r="R1" s="91" t="s">
        <v>79</v>
      </c>
    </row>
    <row r="2" spans="1:18" x14ac:dyDescent="0.3">
      <c r="A2" s="98"/>
      <c r="B2" s="87" t="s">
        <v>223</v>
      </c>
      <c r="C2" s="87" t="s">
        <v>214</v>
      </c>
      <c r="D2" s="87" t="s">
        <v>250</v>
      </c>
      <c r="E2" s="92" t="s">
        <v>24</v>
      </c>
      <c r="F2" s="94" t="s">
        <v>251</v>
      </c>
      <c r="G2" s="87" t="str">
        <f>SUBSTITUTE($F2,"hazr-","")&amp;"-disk01"</f>
        <v>t-cs-chtweb01-disk01</v>
      </c>
      <c r="H2" s="87" t="s">
        <v>213</v>
      </c>
      <c r="I2" s="87">
        <v>128</v>
      </c>
      <c r="J2" s="87" t="str">
        <f>SUBSTITUTE($F2,"hazr-","")&amp;"-disk02"</f>
        <v>t-cs-chtweb01-disk02</v>
      </c>
      <c r="K2" s="87" t="s">
        <v>213</v>
      </c>
      <c r="L2" s="87">
        <v>128</v>
      </c>
      <c r="M2" s="87">
        <v>3</v>
      </c>
      <c r="N2" s="87" t="s">
        <v>235</v>
      </c>
      <c r="O2" s="87" t="s">
        <v>239</v>
      </c>
      <c r="P2" s="87" t="s">
        <v>255</v>
      </c>
      <c r="Q2" s="87" t="b">
        <v>1</v>
      </c>
      <c r="R2" s="85"/>
    </row>
    <row r="3" spans="1:18" x14ac:dyDescent="0.3">
      <c r="A3" s="98"/>
      <c r="B3" s="88" t="s">
        <v>223</v>
      </c>
      <c r="C3" s="88" t="s">
        <v>214</v>
      </c>
      <c r="D3" s="88" t="s">
        <v>250</v>
      </c>
      <c r="E3" s="93" t="s">
        <v>24</v>
      </c>
      <c r="F3" s="95" t="s">
        <v>252</v>
      </c>
      <c r="G3" s="88" t="str">
        <f t="shared" ref="G3" si="0">SUBSTITUTE($F3,"hazr-","")&amp;"-disk01"</f>
        <v>t-cs-chtintweb01-disk01</v>
      </c>
      <c r="H3" s="88" t="s">
        <v>213</v>
      </c>
      <c r="I3" s="88">
        <v>128</v>
      </c>
      <c r="J3" s="88" t="str">
        <f>SUBSTITUTE($F3,"hazr-","")&amp;"-disk02"</f>
        <v>t-cs-chtintweb01-disk02</v>
      </c>
      <c r="K3" s="88" t="s">
        <v>213</v>
      </c>
      <c r="L3" s="88">
        <v>128</v>
      </c>
      <c r="M3" s="88">
        <v>3</v>
      </c>
      <c r="N3" s="88" t="s">
        <v>235</v>
      </c>
      <c r="O3" s="88" t="s">
        <v>239</v>
      </c>
      <c r="P3" s="88" t="s">
        <v>255</v>
      </c>
      <c r="Q3" s="88" t="b">
        <v>1</v>
      </c>
      <c r="R3" s="56"/>
    </row>
    <row r="4" spans="1:18" x14ac:dyDescent="0.3">
      <c r="A4" s="96"/>
      <c r="B4" s="88"/>
      <c r="C4" s="88"/>
      <c r="D4" s="88"/>
      <c r="E4" s="93"/>
      <c r="F4" s="95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56"/>
    </row>
    <row r="5" spans="1:18" x14ac:dyDescent="0.3">
      <c r="A5" s="96"/>
      <c r="B5" s="88"/>
      <c r="C5" s="88"/>
      <c r="D5" s="88"/>
      <c r="E5" s="93"/>
      <c r="F5" s="95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56"/>
    </row>
    <row r="6" spans="1:18" x14ac:dyDescent="0.3">
      <c r="B6" s="88"/>
      <c r="C6" s="88"/>
      <c r="D6" s="88"/>
      <c r="E6" s="93"/>
      <c r="F6" s="95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5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B1:K6"/>
  <sheetViews>
    <sheetView tabSelected="1" workbookViewId="0">
      <selection activeCell="B1" sqref="B1"/>
    </sheetView>
  </sheetViews>
  <sheetFormatPr defaultRowHeight="16.5" x14ac:dyDescent="0.3"/>
  <cols>
    <col min="1" max="1" width="1.5" customWidth="1"/>
    <col min="5" max="5" width="17.25" bestFit="1" customWidth="1"/>
    <col min="6" max="6" width="20.5" customWidth="1"/>
    <col min="7" max="7" width="11.625" bestFit="1" customWidth="1"/>
    <col min="8" max="8" width="20" bestFit="1" customWidth="1"/>
    <col min="9" max="9" width="18.5" bestFit="1" customWidth="1"/>
    <col min="10" max="10" width="18" customWidth="1"/>
  </cols>
  <sheetData>
    <row r="1" spans="2:11" x14ac:dyDescent="0.3">
      <c r="B1" s="3" t="s">
        <v>0</v>
      </c>
      <c r="C1" s="45" t="s">
        <v>1</v>
      </c>
      <c r="D1" s="45" t="s">
        <v>259</v>
      </c>
      <c r="E1" s="46" t="s">
        <v>33</v>
      </c>
      <c r="F1" s="47" t="s">
        <v>34</v>
      </c>
      <c r="G1" s="47" t="s">
        <v>98</v>
      </c>
      <c r="H1" s="47" t="s">
        <v>99</v>
      </c>
      <c r="I1" s="46" t="s">
        <v>100</v>
      </c>
      <c r="J1" s="46" t="s">
        <v>31</v>
      </c>
      <c r="K1" s="46" t="s">
        <v>36</v>
      </c>
    </row>
    <row r="2" spans="2:11" x14ac:dyDescent="0.3">
      <c r="B2" s="4" t="s">
        <v>223</v>
      </c>
      <c r="C2" s="4" t="str" cm="1">
        <f t="array" ref="C2">UPPER(INDEX(_xlfn.TEXTSPLIT($F2, "-"), 2))</f>
        <v>CS</v>
      </c>
      <c r="D2" s="4" t="str" cm="1">
        <f t="array" ref="D2">UPPER(INDEX(_xlfn.TEXTSPLIT($F2, "-"), 3))</f>
        <v>WEB</v>
      </c>
      <c r="E2" s="4" t="s">
        <v>239</v>
      </c>
      <c r="F2" s="4" t="s">
        <v>262</v>
      </c>
      <c r="G2" s="4" t="s">
        <v>239</v>
      </c>
      <c r="H2" s="4" t="s">
        <v>240</v>
      </c>
      <c r="I2" s="4" t="s">
        <v>254</v>
      </c>
      <c r="J2" s="4"/>
      <c r="K2" s="5" t="s">
        <v>37</v>
      </c>
    </row>
    <row r="3" spans="2:11" x14ac:dyDescent="0.3">
      <c r="B3" s="6" t="s">
        <v>223</v>
      </c>
      <c r="C3" s="6" t="str" cm="1">
        <f t="array" ref="C3">UPPER(INDEX(_xlfn.TEXTSPLIT($F2, "-"), 2))</f>
        <v>CS</v>
      </c>
      <c r="D3" s="6" t="str" cm="1">
        <f t="array" ref="D3">UPPER(INDEX(_xlfn.TEXTSPLIT($F3, "-"), 3))</f>
        <v>AP</v>
      </c>
      <c r="E3" s="6" t="s">
        <v>239</v>
      </c>
      <c r="F3" s="6" t="s">
        <v>263</v>
      </c>
      <c r="G3" s="6" t="s">
        <v>239</v>
      </c>
      <c r="H3" s="6" t="s">
        <v>241</v>
      </c>
      <c r="I3" s="6" t="s">
        <v>253</v>
      </c>
      <c r="J3" s="6"/>
      <c r="K3" s="7" t="s">
        <v>37</v>
      </c>
    </row>
    <row r="4" spans="2:11" x14ac:dyDescent="0.3">
      <c r="B4" s="4" t="s">
        <v>223</v>
      </c>
      <c r="C4" s="4" t="str" cm="1">
        <f t="array" ref="C4">UPPER(INDEX(_xlfn.TEXTSPLIT($F4, "-"), 2))</f>
        <v>CS</v>
      </c>
      <c r="D4" s="4" t="str" cm="1">
        <f t="array" ref="D4">UPPER(INDEX(_xlfn.TEXTSPLIT($F4, "-"), 3))</f>
        <v>DB</v>
      </c>
      <c r="E4" s="4" t="s">
        <v>239</v>
      </c>
      <c r="F4" s="4" t="s">
        <v>264</v>
      </c>
      <c r="G4" s="4" t="s">
        <v>239</v>
      </c>
      <c r="H4" s="4" t="s">
        <v>241</v>
      </c>
      <c r="I4" s="4" t="s">
        <v>260</v>
      </c>
      <c r="J4" s="4"/>
      <c r="K4" s="5" t="s">
        <v>37</v>
      </c>
    </row>
    <row r="5" spans="2:11" x14ac:dyDescent="0.3">
      <c r="B5" s="6" t="s">
        <v>223</v>
      </c>
      <c r="C5" s="6" t="str" cm="1">
        <f t="array" ref="C5">UPPER(INDEX(_xlfn.TEXTSPLIT($F5, "-"), 2))</f>
        <v>CS</v>
      </c>
      <c r="D5" s="6" t="str" cm="1">
        <f t="array" ref="D5">UPPER(INDEX(_xlfn.TEXTSPLIT($F5, "-"), 3))</f>
        <v>PE</v>
      </c>
      <c r="E5" s="6" t="s">
        <v>239</v>
      </c>
      <c r="F5" s="6" t="s">
        <v>265</v>
      </c>
      <c r="G5" s="6" t="s">
        <v>239</v>
      </c>
      <c r="H5" s="6" t="s">
        <v>241</v>
      </c>
      <c r="I5" s="6" t="s">
        <v>261</v>
      </c>
      <c r="J5" s="6"/>
      <c r="K5" s="7" t="s">
        <v>37</v>
      </c>
    </row>
    <row r="6" spans="2:11" x14ac:dyDescent="0.3">
      <c r="B6" s="53"/>
      <c r="C6" s="53"/>
      <c r="D6" s="53"/>
      <c r="E6" s="4"/>
      <c r="F6" s="4"/>
      <c r="G6" s="4"/>
      <c r="H6" s="53"/>
      <c r="I6" s="53"/>
      <c r="J6" s="53"/>
      <c r="K6" s="54" t="s">
        <v>37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B1:K99"/>
  <sheetViews>
    <sheetView workbookViewId="0">
      <selection activeCell="G60" sqref="G60"/>
    </sheetView>
  </sheetViews>
  <sheetFormatPr defaultRowHeight="16.5" x14ac:dyDescent="0.3"/>
  <cols>
    <col min="1" max="1" width="2.25" customWidth="1"/>
    <col min="2" max="3" width="9" style="89"/>
    <col min="4" max="4" width="13.125" bestFit="1" customWidth="1"/>
    <col min="5" max="5" width="13.125" customWidth="1"/>
    <col min="6" max="6" width="18" bestFit="1" customWidth="1"/>
    <col min="7" max="7" width="24.25" bestFit="1" customWidth="1"/>
    <col min="8" max="8" width="17.125" bestFit="1" customWidth="1"/>
    <col min="9" max="9" width="16.25" bestFit="1" customWidth="1"/>
    <col min="10" max="10" width="19.25" customWidth="1"/>
  </cols>
  <sheetData>
    <row r="1" spans="2:11" x14ac:dyDescent="0.3">
      <c r="B1" s="100" t="s">
        <v>0</v>
      </c>
      <c r="C1" s="101" t="s">
        <v>1</v>
      </c>
      <c r="D1" s="46" t="s">
        <v>107</v>
      </c>
      <c r="E1" s="46" t="s">
        <v>3</v>
      </c>
      <c r="F1" s="47" t="s">
        <v>269</v>
      </c>
      <c r="G1" s="47" t="s">
        <v>268</v>
      </c>
      <c r="H1" s="47" t="s">
        <v>294</v>
      </c>
      <c r="I1" s="46" t="s">
        <v>311</v>
      </c>
      <c r="J1" s="46" t="s">
        <v>313</v>
      </c>
      <c r="K1" s="46"/>
    </row>
    <row r="2" spans="2:11" x14ac:dyDescent="0.3">
      <c r="B2" s="89" t="s">
        <v>223</v>
      </c>
      <c r="C2" s="89" t="str" cm="1">
        <f t="array" ref="C2">UPPER(INDEX(_xlfn.TEXTSPLIT($F2, "-"), 3))</f>
        <v>EXT</v>
      </c>
      <c r="D2" t="s">
        <v>239</v>
      </c>
      <c r="E2" t="s">
        <v>24</v>
      </c>
      <c r="F2" t="s">
        <v>266</v>
      </c>
      <c r="G2" s="99" t="s">
        <v>270</v>
      </c>
      <c r="H2" s="99" t="s">
        <v>295</v>
      </c>
      <c r="I2" t="s">
        <v>312</v>
      </c>
      <c r="J2" t="s">
        <v>314</v>
      </c>
    </row>
    <row r="3" spans="2:11" x14ac:dyDescent="0.3">
      <c r="B3" s="89" t="s">
        <v>223</v>
      </c>
      <c r="C3" s="89" t="str" cm="1">
        <f t="array" ref="C3">UPPER(INDEX(_xlfn.TEXTSPLIT($F3, "-"), 3))</f>
        <v>EXT</v>
      </c>
      <c r="D3" t="s">
        <v>239</v>
      </c>
      <c r="E3" t="s">
        <v>24</v>
      </c>
      <c r="F3" t="s">
        <v>266</v>
      </c>
      <c r="G3" s="99" t="s">
        <v>271</v>
      </c>
      <c r="H3" s="99" t="s">
        <v>296</v>
      </c>
      <c r="I3" t="s">
        <v>312</v>
      </c>
      <c r="J3" t="s">
        <v>314</v>
      </c>
    </row>
    <row r="4" spans="2:11" x14ac:dyDescent="0.3">
      <c r="B4" s="89" t="s">
        <v>223</v>
      </c>
      <c r="C4" s="89" t="str" cm="1">
        <f t="array" ref="C4">UPPER(INDEX(_xlfn.TEXTSPLIT($F4, "-"), 3))</f>
        <v>EXT</v>
      </c>
      <c r="D4" t="s">
        <v>239</v>
      </c>
      <c r="E4" t="s">
        <v>24</v>
      </c>
      <c r="F4" t="s">
        <v>266</v>
      </c>
      <c r="G4" s="99" t="s">
        <v>272</v>
      </c>
      <c r="H4" s="99" t="s">
        <v>297</v>
      </c>
      <c r="I4" t="s">
        <v>312</v>
      </c>
      <c r="J4" t="s">
        <v>314</v>
      </c>
    </row>
    <row r="5" spans="2:11" x14ac:dyDescent="0.3">
      <c r="B5" s="89" t="s">
        <v>223</v>
      </c>
      <c r="C5" s="89" t="str" cm="1">
        <f t="array" ref="C5">UPPER(INDEX(_xlfn.TEXTSPLIT($F5, "-"), 3))</f>
        <v>EXT</v>
      </c>
      <c r="D5" t="s">
        <v>239</v>
      </c>
      <c r="E5" t="s">
        <v>24</v>
      </c>
      <c r="F5" t="s">
        <v>266</v>
      </c>
      <c r="G5" s="99" t="s">
        <v>273</v>
      </c>
      <c r="H5" s="99" t="s">
        <v>298</v>
      </c>
      <c r="I5" t="s">
        <v>312</v>
      </c>
      <c r="J5" t="s">
        <v>314</v>
      </c>
    </row>
    <row r="6" spans="2:11" x14ac:dyDescent="0.3">
      <c r="B6" s="89" t="s">
        <v>223</v>
      </c>
      <c r="C6" s="89" t="str" cm="1">
        <f t="array" ref="C6">UPPER(INDEX(_xlfn.TEXTSPLIT($F6, "-"), 3))</f>
        <v>EXT</v>
      </c>
      <c r="D6" t="s">
        <v>239</v>
      </c>
      <c r="E6" t="s">
        <v>24</v>
      </c>
      <c r="F6" t="s">
        <v>266</v>
      </c>
      <c r="G6" s="99" t="s">
        <v>274</v>
      </c>
      <c r="H6" s="99" t="s">
        <v>299</v>
      </c>
      <c r="I6" t="s">
        <v>312</v>
      </c>
      <c r="J6" t="s">
        <v>314</v>
      </c>
    </row>
    <row r="7" spans="2:11" x14ac:dyDescent="0.3">
      <c r="B7" s="89" t="s">
        <v>223</v>
      </c>
      <c r="C7" s="89" t="str" cm="1">
        <f t="array" ref="C7">UPPER(INDEX(_xlfn.TEXTSPLIT($F7, "-"), 3))</f>
        <v>EXT</v>
      </c>
      <c r="D7" t="s">
        <v>239</v>
      </c>
      <c r="E7" t="s">
        <v>24</v>
      </c>
      <c r="F7" t="s">
        <v>266</v>
      </c>
      <c r="G7" s="99" t="s">
        <v>275</v>
      </c>
      <c r="H7" s="99" t="s">
        <v>300</v>
      </c>
      <c r="I7" t="s">
        <v>312</v>
      </c>
      <c r="J7" t="s">
        <v>314</v>
      </c>
    </row>
    <row r="8" spans="2:11" x14ac:dyDescent="0.3">
      <c r="B8" s="89" t="s">
        <v>223</v>
      </c>
      <c r="C8" s="89" t="str" cm="1">
        <f t="array" ref="C8">UPPER(INDEX(_xlfn.TEXTSPLIT($F8, "-"), 3))</f>
        <v>EXT</v>
      </c>
      <c r="D8" t="s">
        <v>239</v>
      </c>
      <c r="E8" t="s">
        <v>24</v>
      </c>
      <c r="F8" t="s">
        <v>266</v>
      </c>
      <c r="G8" s="99" t="s">
        <v>315</v>
      </c>
      <c r="H8" s="99" t="s">
        <v>316</v>
      </c>
      <c r="I8" t="s">
        <v>312</v>
      </c>
      <c r="J8" t="s">
        <v>314</v>
      </c>
    </row>
    <row r="9" spans="2:11" x14ac:dyDescent="0.3">
      <c r="B9" s="89" t="s">
        <v>223</v>
      </c>
      <c r="C9" s="89" t="str" cm="1">
        <f t="array" ref="C9">UPPER(INDEX(_xlfn.TEXTSPLIT($F9, "-"), 3))</f>
        <v>EXT</v>
      </c>
      <c r="D9" t="s">
        <v>239</v>
      </c>
      <c r="E9" t="s">
        <v>24</v>
      </c>
      <c r="F9" t="s">
        <v>266</v>
      </c>
      <c r="G9" s="99" t="s">
        <v>317</v>
      </c>
      <c r="H9" s="99" t="s">
        <v>344</v>
      </c>
      <c r="I9" t="s">
        <v>312</v>
      </c>
      <c r="J9" t="s">
        <v>314</v>
      </c>
    </row>
    <row r="10" spans="2:11" x14ac:dyDescent="0.3">
      <c r="B10" s="89" t="s">
        <v>223</v>
      </c>
      <c r="C10" s="89" t="str" cm="1">
        <f t="array" ref="C10">UPPER(INDEX(_xlfn.TEXTSPLIT($F10, "-"), 3))</f>
        <v>EXT</v>
      </c>
      <c r="D10" t="s">
        <v>239</v>
      </c>
      <c r="E10" t="s">
        <v>24</v>
      </c>
      <c r="F10" t="s">
        <v>266</v>
      </c>
      <c r="G10" s="99" t="s">
        <v>318</v>
      </c>
      <c r="H10" s="99" t="s">
        <v>345</v>
      </c>
      <c r="I10" t="s">
        <v>312</v>
      </c>
      <c r="J10" t="s">
        <v>314</v>
      </c>
    </row>
    <row r="11" spans="2:11" x14ac:dyDescent="0.3">
      <c r="B11" s="89" t="s">
        <v>223</v>
      </c>
      <c r="C11" s="89" t="str" cm="1">
        <f t="array" ref="C11">UPPER(INDEX(_xlfn.TEXTSPLIT($F11, "-"), 3))</f>
        <v>EXT</v>
      </c>
      <c r="D11" t="s">
        <v>239</v>
      </c>
      <c r="E11" t="s">
        <v>24</v>
      </c>
      <c r="F11" t="s">
        <v>266</v>
      </c>
      <c r="G11" s="99" t="s">
        <v>319</v>
      </c>
      <c r="H11" s="99" t="s">
        <v>346</v>
      </c>
      <c r="I11" t="s">
        <v>312</v>
      </c>
      <c r="J11" t="s">
        <v>314</v>
      </c>
    </row>
    <row r="12" spans="2:11" x14ac:dyDescent="0.3">
      <c r="B12" s="89" t="s">
        <v>223</v>
      </c>
      <c r="C12" s="89" t="str" cm="1">
        <f t="array" ref="C12">UPPER(INDEX(_xlfn.TEXTSPLIT($F12, "-"), 3))</f>
        <v>EXT</v>
      </c>
      <c r="D12" t="s">
        <v>239</v>
      </c>
      <c r="E12" t="s">
        <v>24</v>
      </c>
      <c r="F12" t="s">
        <v>266</v>
      </c>
      <c r="G12" s="99" t="s">
        <v>320</v>
      </c>
      <c r="H12" s="99" t="s">
        <v>347</v>
      </c>
      <c r="I12" t="s">
        <v>312</v>
      </c>
      <c r="J12" t="s">
        <v>314</v>
      </c>
    </row>
    <row r="13" spans="2:11" x14ac:dyDescent="0.3">
      <c r="B13" s="89" t="s">
        <v>223</v>
      </c>
      <c r="C13" s="89" t="str" cm="1">
        <f t="array" ref="C13">UPPER(INDEX(_xlfn.TEXTSPLIT($F13, "-"), 3))</f>
        <v>EXT</v>
      </c>
      <c r="D13" t="s">
        <v>239</v>
      </c>
      <c r="E13" t="s">
        <v>24</v>
      </c>
      <c r="F13" t="s">
        <v>266</v>
      </c>
      <c r="G13" s="99" t="s">
        <v>321</v>
      </c>
      <c r="H13" s="99" t="s">
        <v>348</v>
      </c>
      <c r="I13" t="s">
        <v>312</v>
      </c>
      <c r="J13" t="s">
        <v>314</v>
      </c>
    </row>
    <row r="14" spans="2:11" x14ac:dyDescent="0.3">
      <c r="B14" s="89" t="s">
        <v>223</v>
      </c>
      <c r="C14" s="89" t="str" cm="1">
        <f t="array" ref="C14">UPPER(INDEX(_xlfn.TEXTSPLIT($F14, "-"), 3))</f>
        <v>EXT</v>
      </c>
      <c r="D14" t="s">
        <v>239</v>
      </c>
      <c r="E14" t="s">
        <v>24</v>
      </c>
      <c r="F14" t="s">
        <v>266</v>
      </c>
      <c r="G14" s="99" t="s">
        <v>322</v>
      </c>
      <c r="H14" s="99" t="s">
        <v>349</v>
      </c>
      <c r="I14" t="s">
        <v>312</v>
      </c>
      <c r="J14" t="s">
        <v>314</v>
      </c>
    </row>
    <row r="15" spans="2:11" x14ac:dyDescent="0.3">
      <c r="B15" s="89" t="s">
        <v>223</v>
      </c>
      <c r="C15" s="89" t="str" cm="1">
        <f t="array" ref="C15">UPPER(INDEX(_xlfn.TEXTSPLIT($F15, "-"), 3))</f>
        <v>EXT</v>
      </c>
      <c r="D15" t="s">
        <v>239</v>
      </c>
      <c r="E15" t="s">
        <v>24</v>
      </c>
      <c r="F15" t="s">
        <v>266</v>
      </c>
      <c r="G15" s="99" t="s">
        <v>323</v>
      </c>
      <c r="H15" s="99" t="s">
        <v>350</v>
      </c>
      <c r="I15" t="s">
        <v>312</v>
      </c>
      <c r="J15" t="s">
        <v>314</v>
      </c>
    </row>
    <row r="16" spans="2:11" x14ac:dyDescent="0.3">
      <c r="B16" s="89" t="s">
        <v>223</v>
      </c>
      <c r="C16" s="89" t="str" cm="1">
        <f t="array" ref="C16">UPPER(INDEX(_xlfn.TEXTSPLIT($F16, "-"), 3))</f>
        <v>EXT</v>
      </c>
      <c r="D16" t="s">
        <v>239</v>
      </c>
      <c r="E16" t="s">
        <v>24</v>
      </c>
      <c r="F16" t="s">
        <v>266</v>
      </c>
      <c r="G16" s="99" t="s">
        <v>324</v>
      </c>
      <c r="H16" s="99" t="s">
        <v>351</v>
      </c>
      <c r="I16" t="s">
        <v>312</v>
      </c>
      <c r="J16" t="s">
        <v>314</v>
      </c>
    </row>
    <row r="17" spans="2:10" x14ac:dyDescent="0.3">
      <c r="B17" s="89" t="s">
        <v>223</v>
      </c>
      <c r="C17" s="89" t="str" cm="1">
        <f t="array" ref="C17">UPPER(INDEX(_xlfn.TEXTSPLIT($F17, "-"), 3))</f>
        <v>EXT</v>
      </c>
      <c r="D17" t="s">
        <v>239</v>
      </c>
      <c r="E17" t="s">
        <v>24</v>
      </c>
      <c r="F17" t="s">
        <v>266</v>
      </c>
      <c r="G17" s="99" t="s">
        <v>325</v>
      </c>
      <c r="H17" s="99" t="s">
        <v>352</v>
      </c>
      <c r="I17" t="s">
        <v>312</v>
      </c>
      <c r="J17" t="s">
        <v>314</v>
      </c>
    </row>
    <row r="18" spans="2:10" x14ac:dyDescent="0.3">
      <c r="B18" s="89" t="s">
        <v>223</v>
      </c>
      <c r="C18" s="89" t="str" cm="1">
        <f t="array" ref="C18">UPPER(INDEX(_xlfn.TEXTSPLIT($F18, "-"), 3))</f>
        <v>EXT</v>
      </c>
      <c r="D18" t="s">
        <v>239</v>
      </c>
      <c r="E18" t="s">
        <v>24</v>
      </c>
      <c r="F18" t="s">
        <v>266</v>
      </c>
      <c r="G18" s="99" t="s">
        <v>326</v>
      </c>
      <c r="H18" s="99" t="s">
        <v>353</v>
      </c>
      <c r="I18" t="s">
        <v>312</v>
      </c>
      <c r="J18" t="s">
        <v>314</v>
      </c>
    </row>
    <row r="19" spans="2:10" x14ac:dyDescent="0.3">
      <c r="B19" s="89" t="s">
        <v>223</v>
      </c>
      <c r="C19" s="89" t="str" cm="1">
        <f t="array" ref="C19">UPPER(INDEX(_xlfn.TEXTSPLIT($F19, "-"), 3))</f>
        <v>EXT</v>
      </c>
      <c r="D19" t="s">
        <v>239</v>
      </c>
      <c r="E19" t="s">
        <v>24</v>
      </c>
      <c r="F19" t="s">
        <v>266</v>
      </c>
      <c r="G19" s="99" t="s">
        <v>327</v>
      </c>
      <c r="H19" s="99" t="s">
        <v>354</v>
      </c>
      <c r="I19" t="s">
        <v>312</v>
      </c>
      <c r="J19" t="s">
        <v>314</v>
      </c>
    </row>
    <row r="20" spans="2:10" x14ac:dyDescent="0.3">
      <c r="B20" s="89" t="s">
        <v>223</v>
      </c>
      <c r="C20" s="89" t="str" cm="1">
        <f t="array" ref="C20">UPPER(INDEX(_xlfn.TEXTSPLIT($F20, "-"), 3))</f>
        <v>EXT</v>
      </c>
      <c r="D20" t="s">
        <v>239</v>
      </c>
      <c r="E20" t="s">
        <v>24</v>
      </c>
      <c r="F20" t="s">
        <v>266</v>
      </c>
      <c r="G20" s="99" t="s">
        <v>328</v>
      </c>
      <c r="H20" s="99" t="s">
        <v>355</v>
      </c>
      <c r="I20" t="s">
        <v>312</v>
      </c>
      <c r="J20" t="s">
        <v>314</v>
      </c>
    </row>
    <row r="21" spans="2:10" x14ac:dyDescent="0.3">
      <c r="B21" s="89" t="s">
        <v>223</v>
      </c>
      <c r="C21" s="89" t="str" cm="1">
        <f t="array" ref="C21">UPPER(INDEX(_xlfn.TEXTSPLIT($F21, "-"), 3))</f>
        <v>EXT</v>
      </c>
      <c r="D21" t="s">
        <v>239</v>
      </c>
      <c r="E21" t="s">
        <v>24</v>
      </c>
      <c r="F21" t="s">
        <v>266</v>
      </c>
      <c r="G21" s="99" t="s">
        <v>329</v>
      </c>
      <c r="H21" s="99" t="s">
        <v>369</v>
      </c>
      <c r="I21" t="s">
        <v>312</v>
      </c>
      <c r="J21" t="s">
        <v>314</v>
      </c>
    </row>
    <row r="22" spans="2:10" x14ac:dyDescent="0.3">
      <c r="B22" s="89" t="s">
        <v>223</v>
      </c>
      <c r="C22" s="89" t="str" cm="1">
        <f t="array" ref="C22">UPPER(INDEX(_xlfn.TEXTSPLIT($F22, "-"), 3))</f>
        <v>EXT</v>
      </c>
      <c r="D22" t="s">
        <v>239</v>
      </c>
      <c r="E22" t="s">
        <v>24</v>
      </c>
      <c r="F22" t="s">
        <v>266</v>
      </c>
      <c r="G22" s="99" t="s">
        <v>330</v>
      </c>
      <c r="H22" s="99" t="s">
        <v>356</v>
      </c>
      <c r="I22" t="s">
        <v>312</v>
      </c>
      <c r="J22" t="s">
        <v>314</v>
      </c>
    </row>
    <row r="23" spans="2:10" x14ac:dyDescent="0.3">
      <c r="B23" s="89" t="s">
        <v>223</v>
      </c>
      <c r="C23" s="89" t="str" cm="1">
        <f t="array" ref="C23">UPPER(INDEX(_xlfn.TEXTSPLIT($F23, "-"), 3))</f>
        <v>EXT</v>
      </c>
      <c r="D23" t="s">
        <v>239</v>
      </c>
      <c r="E23" t="s">
        <v>24</v>
      </c>
      <c r="F23" t="s">
        <v>266</v>
      </c>
      <c r="G23" s="99" t="s">
        <v>331</v>
      </c>
      <c r="H23" s="99" t="s">
        <v>357</v>
      </c>
      <c r="I23" t="s">
        <v>312</v>
      </c>
      <c r="J23" t="s">
        <v>314</v>
      </c>
    </row>
    <row r="24" spans="2:10" x14ac:dyDescent="0.3">
      <c r="B24" s="89" t="s">
        <v>223</v>
      </c>
      <c r="C24" s="89" t="str" cm="1">
        <f t="array" ref="C24">UPPER(INDEX(_xlfn.TEXTSPLIT($F24, "-"), 3))</f>
        <v>EXT</v>
      </c>
      <c r="D24" t="s">
        <v>239</v>
      </c>
      <c r="E24" t="s">
        <v>24</v>
      </c>
      <c r="F24" t="s">
        <v>266</v>
      </c>
      <c r="G24" s="99" t="s">
        <v>332</v>
      </c>
      <c r="H24" s="99" t="s">
        <v>358</v>
      </c>
      <c r="I24" t="s">
        <v>312</v>
      </c>
      <c r="J24" t="s">
        <v>314</v>
      </c>
    </row>
    <row r="25" spans="2:10" x14ac:dyDescent="0.3">
      <c r="B25" s="89" t="s">
        <v>223</v>
      </c>
      <c r="C25" s="89" t="str" cm="1">
        <f t="array" ref="C25">UPPER(INDEX(_xlfn.TEXTSPLIT($F25, "-"), 3))</f>
        <v>EXT</v>
      </c>
      <c r="D25" t="s">
        <v>239</v>
      </c>
      <c r="E25" t="s">
        <v>24</v>
      </c>
      <c r="F25" t="s">
        <v>266</v>
      </c>
      <c r="G25" s="99" t="s">
        <v>333</v>
      </c>
      <c r="H25" s="99" t="s">
        <v>359</v>
      </c>
      <c r="I25" t="s">
        <v>312</v>
      </c>
      <c r="J25" t="s">
        <v>314</v>
      </c>
    </row>
    <row r="26" spans="2:10" x14ac:dyDescent="0.3">
      <c r="B26" s="89" t="s">
        <v>223</v>
      </c>
      <c r="C26" s="89" t="str" cm="1">
        <f t="array" ref="C26">UPPER(INDEX(_xlfn.TEXTSPLIT($F26, "-"), 3))</f>
        <v>EXT</v>
      </c>
      <c r="D26" t="s">
        <v>239</v>
      </c>
      <c r="E26" t="s">
        <v>24</v>
      </c>
      <c r="F26" t="s">
        <v>266</v>
      </c>
      <c r="G26" s="99" t="s">
        <v>334</v>
      </c>
      <c r="H26" s="99" t="s">
        <v>360</v>
      </c>
      <c r="I26" t="s">
        <v>312</v>
      </c>
      <c r="J26" t="s">
        <v>314</v>
      </c>
    </row>
    <row r="27" spans="2:10" x14ac:dyDescent="0.3">
      <c r="B27" s="89" t="s">
        <v>223</v>
      </c>
      <c r="C27" s="89" t="str" cm="1">
        <f t="array" ref="C27">UPPER(INDEX(_xlfn.TEXTSPLIT($F27, "-"), 3))</f>
        <v>EXT</v>
      </c>
      <c r="D27" t="s">
        <v>239</v>
      </c>
      <c r="E27" t="s">
        <v>24</v>
      </c>
      <c r="F27" t="s">
        <v>266</v>
      </c>
      <c r="G27" s="99" t="s">
        <v>335</v>
      </c>
      <c r="H27" s="99" t="s">
        <v>361</v>
      </c>
      <c r="I27" t="s">
        <v>312</v>
      </c>
      <c r="J27" t="s">
        <v>314</v>
      </c>
    </row>
    <row r="28" spans="2:10" x14ac:dyDescent="0.3">
      <c r="B28" s="89" t="s">
        <v>223</v>
      </c>
      <c r="C28" s="89" t="str" cm="1">
        <f t="array" ref="C28">UPPER(INDEX(_xlfn.TEXTSPLIT($F28, "-"), 3))</f>
        <v>EXT</v>
      </c>
      <c r="D28" t="s">
        <v>239</v>
      </c>
      <c r="E28" t="s">
        <v>24</v>
      </c>
      <c r="F28" t="s">
        <v>266</v>
      </c>
      <c r="G28" s="99" t="s">
        <v>336</v>
      </c>
      <c r="H28" s="99" t="s">
        <v>362</v>
      </c>
      <c r="I28" t="s">
        <v>312</v>
      </c>
      <c r="J28" t="s">
        <v>314</v>
      </c>
    </row>
    <row r="29" spans="2:10" x14ac:dyDescent="0.3">
      <c r="B29" s="89" t="s">
        <v>223</v>
      </c>
      <c r="C29" s="89" t="str" cm="1">
        <f t="array" ref="C29">UPPER(INDEX(_xlfn.TEXTSPLIT($F29, "-"), 3))</f>
        <v>EXT</v>
      </c>
      <c r="D29" t="s">
        <v>239</v>
      </c>
      <c r="E29" t="s">
        <v>24</v>
      </c>
      <c r="F29" t="s">
        <v>266</v>
      </c>
      <c r="G29" s="99" t="s">
        <v>337</v>
      </c>
      <c r="H29" s="99" t="s">
        <v>363</v>
      </c>
      <c r="I29" t="s">
        <v>312</v>
      </c>
      <c r="J29" t="s">
        <v>314</v>
      </c>
    </row>
    <row r="30" spans="2:10" x14ac:dyDescent="0.3">
      <c r="B30" s="89" t="s">
        <v>223</v>
      </c>
      <c r="C30" s="89" t="str" cm="1">
        <f t="array" ref="C30">UPPER(INDEX(_xlfn.TEXTSPLIT($F30, "-"), 3))</f>
        <v>EXT</v>
      </c>
      <c r="D30" t="s">
        <v>239</v>
      </c>
      <c r="E30" t="s">
        <v>24</v>
      </c>
      <c r="F30" t="s">
        <v>266</v>
      </c>
      <c r="G30" s="99" t="s">
        <v>338</v>
      </c>
      <c r="H30" s="99" t="s">
        <v>364</v>
      </c>
      <c r="I30" t="s">
        <v>312</v>
      </c>
      <c r="J30" t="s">
        <v>314</v>
      </c>
    </row>
    <row r="31" spans="2:10" x14ac:dyDescent="0.3">
      <c r="B31" s="89" t="s">
        <v>223</v>
      </c>
      <c r="C31" s="89" t="str" cm="1">
        <f t="array" ref="C31">UPPER(INDEX(_xlfn.TEXTSPLIT($F31, "-"), 3))</f>
        <v>EXT</v>
      </c>
      <c r="D31" t="s">
        <v>239</v>
      </c>
      <c r="E31" t="s">
        <v>24</v>
      </c>
      <c r="F31" t="s">
        <v>266</v>
      </c>
      <c r="G31" s="99" t="s">
        <v>339</v>
      </c>
      <c r="H31" s="99" t="s">
        <v>365</v>
      </c>
      <c r="I31" t="s">
        <v>312</v>
      </c>
      <c r="J31" t="s">
        <v>314</v>
      </c>
    </row>
    <row r="32" spans="2:10" x14ac:dyDescent="0.3">
      <c r="B32" s="89" t="s">
        <v>223</v>
      </c>
      <c r="C32" s="89" t="str" cm="1">
        <f t="array" ref="C32">UPPER(INDEX(_xlfn.TEXTSPLIT($F32, "-"), 3))</f>
        <v>EXT</v>
      </c>
      <c r="D32" t="s">
        <v>239</v>
      </c>
      <c r="E32" t="s">
        <v>24</v>
      </c>
      <c r="F32" t="s">
        <v>266</v>
      </c>
      <c r="G32" s="99" t="s">
        <v>340</v>
      </c>
      <c r="H32" s="99" t="s">
        <v>366</v>
      </c>
      <c r="I32" t="s">
        <v>312</v>
      </c>
      <c r="J32" t="s">
        <v>314</v>
      </c>
    </row>
    <row r="33" spans="2:10" x14ac:dyDescent="0.3">
      <c r="B33" s="89" t="s">
        <v>223</v>
      </c>
      <c r="C33" s="89" t="str" cm="1">
        <f t="array" ref="C33">UPPER(INDEX(_xlfn.TEXTSPLIT($F33, "-"), 3))</f>
        <v>EXT</v>
      </c>
      <c r="D33" t="s">
        <v>239</v>
      </c>
      <c r="E33" t="s">
        <v>24</v>
      </c>
      <c r="F33" t="s">
        <v>266</v>
      </c>
      <c r="G33" s="99" t="s">
        <v>341</v>
      </c>
      <c r="H33" s="99" t="s">
        <v>367</v>
      </c>
      <c r="I33" t="s">
        <v>312</v>
      </c>
      <c r="J33" t="s">
        <v>314</v>
      </c>
    </row>
    <row r="34" spans="2:10" x14ac:dyDescent="0.3">
      <c r="B34" s="89" t="s">
        <v>223</v>
      </c>
      <c r="C34" s="89" t="str" cm="1">
        <f t="array" ref="C34">UPPER(INDEX(_xlfn.TEXTSPLIT($F34, "-"), 3))</f>
        <v>EXT</v>
      </c>
      <c r="D34" t="s">
        <v>239</v>
      </c>
      <c r="E34" t="s">
        <v>24</v>
      </c>
      <c r="F34" t="s">
        <v>266</v>
      </c>
      <c r="G34" s="99" t="s">
        <v>342</v>
      </c>
      <c r="H34" s="99" t="s">
        <v>368</v>
      </c>
      <c r="I34" t="s">
        <v>312</v>
      </c>
      <c r="J34" t="s">
        <v>314</v>
      </c>
    </row>
    <row r="35" spans="2:10" x14ac:dyDescent="0.3">
      <c r="B35" s="89" t="s">
        <v>223</v>
      </c>
      <c r="C35" s="89" t="str" cm="1">
        <f t="array" ref="C35">UPPER(INDEX(_xlfn.TEXTSPLIT($F35, "-"), 3))</f>
        <v>EXT</v>
      </c>
      <c r="D35" t="s">
        <v>239</v>
      </c>
      <c r="E35" t="s">
        <v>24</v>
      </c>
      <c r="F35" t="s">
        <v>266</v>
      </c>
      <c r="G35" s="99" t="s">
        <v>343</v>
      </c>
      <c r="H35" s="99" t="s">
        <v>381</v>
      </c>
      <c r="I35" t="s">
        <v>312</v>
      </c>
      <c r="J35" t="s">
        <v>314</v>
      </c>
    </row>
    <row r="36" spans="2:10" x14ac:dyDescent="0.3">
      <c r="B36" s="89" t="s">
        <v>223</v>
      </c>
      <c r="C36" s="89" t="str" cm="1">
        <f t="array" ref="C36">UPPER(INDEX(_xlfn.TEXTSPLIT($F36, "-"), 3))</f>
        <v>EXT</v>
      </c>
      <c r="D36" t="s">
        <v>239</v>
      </c>
      <c r="E36" t="s">
        <v>24</v>
      </c>
      <c r="F36" t="s">
        <v>266</v>
      </c>
      <c r="G36" s="99" t="s">
        <v>370</v>
      </c>
      <c r="H36" s="99" t="s">
        <v>382</v>
      </c>
      <c r="I36" t="s">
        <v>312</v>
      </c>
      <c r="J36" t="s">
        <v>314</v>
      </c>
    </row>
    <row r="37" spans="2:10" x14ac:dyDescent="0.3">
      <c r="B37" s="89" t="s">
        <v>223</v>
      </c>
      <c r="C37" s="89" t="str" cm="1">
        <f t="array" ref="C37">UPPER(INDEX(_xlfn.TEXTSPLIT($F37, "-"), 3))</f>
        <v>EXT</v>
      </c>
      <c r="D37" t="s">
        <v>239</v>
      </c>
      <c r="E37" t="s">
        <v>24</v>
      </c>
      <c r="F37" t="s">
        <v>266</v>
      </c>
      <c r="G37" s="99" t="s">
        <v>371</v>
      </c>
      <c r="H37" s="99" t="s">
        <v>383</v>
      </c>
      <c r="I37" t="s">
        <v>312</v>
      </c>
      <c r="J37" t="s">
        <v>314</v>
      </c>
    </row>
    <row r="38" spans="2:10" x14ac:dyDescent="0.3">
      <c r="B38" s="89" t="s">
        <v>223</v>
      </c>
      <c r="C38" s="89" t="str" cm="1">
        <f t="array" ref="C38">UPPER(INDEX(_xlfn.TEXTSPLIT($F38, "-"), 3))</f>
        <v>EXT</v>
      </c>
      <c r="D38" t="s">
        <v>239</v>
      </c>
      <c r="E38" t="s">
        <v>24</v>
      </c>
      <c r="F38" t="s">
        <v>266</v>
      </c>
      <c r="G38" s="99" t="s">
        <v>372</v>
      </c>
      <c r="H38" s="99" t="s">
        <v>384</v>
      </c>
      <c r="I38" t="s">
        <v>312</v>
      </c>
      <c r="J38" t="s">
        <v>314</v>
      </c>
    </row>
    <row r="39" spans="2:10" x14ac:dyDescent="0.3">
      <c r="B39" s="89" t="s">
        <v>223</v>
      </c>
      <c r="C39" s="89" t="str" cm="1">
        <f t="array" ref="C39">UPPER(INDEX(_xlfn.TEXTSPLIT($F39, "-"), 3))</f>
        <v>EXT</v>
      </c>
      <c r="D39" t="s">
        <v>239</v>
      </c>
      <c r="E39" t="s">
        <v>24</v>
      </c>
      <c r="F39" t="s">
        <v>266</v>
      </c>
      <c r="G39" s="99" t="s">
        <v>373</v>
      </c>
      <c r="H39" s="99" t="s">
        <v>385</v>
      </c>
      <c r="I39" t="s">
        <v>312</v>
      </c>
      <c r="J39" t="s">
        <v>314</v>
      </c>
    </row>
    <row r="40" spans="2:10" x14ac:dyDescent="0.3">
      <c r="B40" s="89" t="s">
        <v>223</v>
      </c>
      <c r="C40" s="89" t="str" cm="1">
        <f t="array" ref="C40">UPPER(INDEX(_xlfn.TEXTSPLIT($F40, "-"), 3))</f>
        <v>EXT</v>
      </c>
      <c r="D40" t="s">
        <v>239</v>
      </c>
      <c r="E40" t="s">
        <v>24</v>
      </c>
      <c r="F40" t="s">
        <v>266</v>
      </c>
      <c r="G40" s="99" t="s">
        <v>374</v>
      </c>
      <c r="H40" s="99" t="s">
        <v>386</v>
      </c>
      <c r="I40" t="s">
        <v>312</v>
      </c>
      <c r="J40" t="s">
        <v>314</v>
      </c>
    </row>
    <row r="41" spans="2:10" x14ac:dyDescent="0.3">
      <c r="B41" s="89" t="s">
        <v>223</v>
      </c>
      <c r="C41" s="89" t="str" cm="1">
        <f t="array" ref="C41">UPPER(INDEX(_xlfn.TEXTSPLIT($F41, "-"), 3))</f>
        <v>EXT</v>
      </c>
      <c r="D41" t="s">
        <v>239</v>
      </c>
      <c r="E41" t="s">
        <v>24</v>
      </c>
      <c r="F41" t="s">
        <v>266</v>
      </c>
      <c r="G41" s="99" t="s">
        <v>375</v>
      </c>
      <c r="H41" s="99" t="s">
        <v>387</v>
      </c>
      <c r="I41" t="s">
        <v>312</v>
      </c>
      <c r="J41" t="s">
        <v>314</v>
      </c>
    </row>
    <row r="42" spans="2:10" x14ac:dyDescent="0.3">
      <c r="B42" s="89" t="s">
        <v>223</v>
      </c>
      <c r="C42" s="89" t="str" cm="1">
        <f t="array" ref="C42">UPPER(INDEX(_xlfn.TEXTSPLIT($F42, "-"), 3))</f>
        <v>EXT</v>
      </c>
      <c r="D42" t="s">
        <v>239</v>
      </c>
      <c r="E42" t="s">
        <v>24</v>
      </c>
      <c r="F42" t="s">
        <v>266</v>
      </c>
      <c r="G42" s="99" t="s">
        <v>376</v>
      </c>
      <c r="H42" s="99" t="s">
        <v>388</v>
      </c>
      <c r="I42" t="s">
        <v>312</v>
      </c>
      <c r="J42" t="s">
        <v>314</v>
      </c>
    </row>
    <row r="43" spans="2:10" x14ac:dyDescent="0.3">
      <c r="B43" s="89" t="s">
        <v>223</v>
      </c>
      <c r="C43" s="89" t="str" cm="1">
        <f t="array" ref="C43">UPPER(INDEX(_xlfn.TEXTSPLIT($F43, "-"), 3))</f>
        <v>EXT</v>
      </c>
      <c r="D43" t="s">
        <v>239</v>
      </c>
      <c r="E43" t="s">
        <v>24</v>
      </c>
      <c r="F43" t="s">
        <v>266</v>
      </c>
      <c r="G43" s="99" t="s">
        <v>377</v>
      </c>
      <c r="H43" s="99" t="s">
        <v>389</v>
      </c>
      <c r="I43" t="s">
        <v>312</v>
      </c>
      <c r="J43" t="s">
        <v>314</v>
      </c>
    </row>
    <row r="44" spans="2:10" x14ac:dyDescent="0.3">
      <c r="B44" s="89" t="s">
        <v>223</v>
      </c>
      <c r="C44" s="89" t="str" cm="1">
        <f t="array" ref="C44">UPPER(INDEX(_xlfn.TEXTSPLIT($F44, "-"), 3))</f>
        <v>EXT</v>
      </c>
      <c r="D44" t="s">
        <v>239</v>
      </c>
      <c r="E44" t="s">
        <v>24</v>
      </c>
      <c r="F44" t="s">
        <v>266</v>
      </c>
      <c r="G44" s="99" t="s">
        <v>378</v>
      </c>
      <c r="H44" s="99" t="s">
        <v>390</v>
      </c>
      <c r="I44" t="s">
        <v>312</v>
      </c>
      <c r="J44" t="s">
        <v>314</v>
      </c>
    </row>
    <row r="45" spans="2:10" x14ac:dyDescent="0.3">
      <c r="B45" s="89" t="s">
        <v>223</v>
      </c>
      <c r="C45" s="89" t="str" cm="1">
        <f t="array" ref="C45">UPPER(INDEX(_xlfn.TEXTSPLIT($F45, "-"), 3))</f>
        <v>EXT</v>
      </c>
      <c r="D45" t="s">
        <v>239</v>
      </c>
      <c r="E45" t="s">
        <v>24</v>
      </c>
      <c r="F45" t="s">
        <v>266</v>
      </c>
      <c r="G45" s="99" t="s">
        <v>379</v>
      </c>
      <c r="H45" s="99" t="s">
        <v>391</v>
      </c>
      <c r="I45" t="s">
        <v>312</v>
      </c>
      <c r="J45" t="s">
        <v>314</v>
      </c>
    </row>
    <row r="46" spans="2:10" x14ac:dyDescent="0.3">
      <c r="B46" s="89" t="s">
        <v>223</v>
      </c>
      <c r="C46" s="89" t="str" cm="1">
        <f t="array" ref="C46">UPPER(INDEX(_xlfn.TEXTSPLIT($F46, "-"), 3))</f>
        <v>EXT</v>
      </c>
      <c r="D46" t="s">
        <v>239</v>
      </c>
      <c r="E46" t="s">
        <v>24</v>
      </c>
      <c r="F46" t="s">
        <v>266</v>
      </c>
      <c r="G46" s="99" t="s">
        <v>380</v>
      </c>
      <c r="H46" s="99" t="s">
        <v>392</v>
      </c>
      <c r="I46" t="s">
        <v>312</v>
      </c>
      <c r="J46" t="s">
        <v>314</v>
      </c>
    </row>
    <row r="47" spans="2:10" x14ac:dyDescent="0.3">
      <c r="B47" s="89" t="s">
        <v>223</v>
      </c>
      <c r="C47" s="89" t="str" cm="1">
        <f t="array" ref="C47">UPPER(INDEX(_xlfn.TEXTSPLIT($F47, "-"), 3))</f>
        <v>EXT</v>
      </c>
      <c r="D47" t="s">
        <v>239</v>
      </c>
      <c r="E47" t="s">
        <v>24</v>
      </c>
      <c r="F47" t="s">
        <v>266</v>
      </c>
      <c r="G47" s="99" t="s">
        <v>403</v>
      </c>
      <c r="H47" s="99" t="s">
        <v>393</v>
      </c>
      <c r="I47" t="s">
        <v>312</v>
      </c>
      <c r="J47" t="s">
        <v>314</v>
      </c>
    </row>
    <row r="48" spans="2:10" x14ac:dyDescent="0.3">
      <c r="B48" s="89" t="s">
        <v>223</v>
      </c>
      <c r="C48" s="89" t="str" cm="1">
        <f t="array" ref="C48">UPPER(INDEX(_xlfn.TEXTSPLIT($F48, "-"), 3))</f>
        <v>EXT</v>
      </c>
      <c r="D48" t="s">
        <v>239</v>
      </c>
      <c r="E48" t="s">
        <v>24</v>
      </c>
      <c r="F48" t="s">
        <v>266</v>
      </c>
      <c r="G48" s="99" t="s">
        <v>404</v>
      </c>
      <c r="H48" s="99" t="s">
        <v>394</v>
      </c>
      <c r="I48" t="s">
        <v>312</v>
      </c>
      <c r="J48" t="s">
        <v>314</v>
      </c>
    </row>
    <row r="49" spans="2:10" x14ac:dyDescent="0.3">
      <c r="B49" s="89" t="s">
        <v>223</v>
      </c>
      <c r="C49" s="89" t="str" cm="1">
        <f t="array" ref="C49">UPPER(INDEX(_xlfn.TEXTSPLIT($F49, "-"), 3))</f>
        <v>EXT</v>
      </c>
      <c r="D49" t="s">
        <v>239</v>
      </c>
      <c r="E49" t="s">
        <v>24</v>
      </c>
      <c r="F49" t="s">
        <v>266</v>
      </c>
      <c r="G49" s="99" t="s">
        <v>405</v>
      </c>
      <c r="H49" s="99" t="s">
        <v>395</v>
      </c>
      <c r="I49" t="s">
        <v>312</v>
      </c>
      <c r="J49" t="s">
        <v>314</v>
      </c>
    </row>
    <row r="50" spans="2:10" x14ac:dyDescent="0.3">
      <c r="B50" s="89" t="s">
        <v>223</v>
      </c>
      <c r="C50" s="89" t="str" cm="1">
        <f t="array" ref="C50">UPPER(INDEX(_xlfn.TEXTSPLIT($F50, "-"), 3))</f>
        <v>EXT</v>
      </c>
      <c r="D50" t="s">
        <v>239</v>
      </c>
      <c r="E50" t="s">
        <v>24</v>
      </c>
      <c r="F50" t="s">
        <v>266</v>
      </c>
      <c r="G50" s="99" t="s">
        <v>406</v>
      </c>
      <c r="H50" s="99" t="s">
        <v>396</v>
      </c>
      <c r="I50" t="s">
        <v>312</v>
      </c>
      <c r="J50" t="s">
        <v>314</v>
      </c>
    </row>
    <row r="51" spans="2:10" x14ac:dyDescent="0.3">
      <c r="B51" s="89" t="s">
        <v>223</v>
      </c>
      <c r="C51" s="89" t="str" cm="1">
        <f t="array" ref="C51">UPPER(INDEX(_xlfn.TEXTSPLIT($F51, "-"), 3))</f>
        <v>EXT</v>
      </c>
      <c r="D51" t="s">
        <v>239</v>
      </c>
      <c r="E51" t="s">
        <v>24</v>
      </c>
      <c r="F51" t="s">
        <v>266</v>
      </c>
      <c r="G51" s="99" t="s">
        <v>407</v>
      </c>
      <c r="H51" s="99" t="s">
        <v>397</v>
      </c>
      <c r="I51" t="s">
        <v>312</v>
      </c>
      <c r="J51" t="s">
        <v>314</v>
      </c>
    </row>
    <row r="52" spans="2:10" x14ac:dyDescent="0.3">
      <c r="B52" s="89" t="s">
        <v>223</v>
      </c>
      <c r="C52" s="89" t="str" cm="1">
        <f t="array" ref="C52">UPPER(INDEX(_xlfn.TEXTSPLIT($F52, "-"), 3))</f>
        <v>EXT</v>
      </c>
      <c r="D52" t="s">
        <v>239</v>
      </c>
      <c r="E52" t="s">
        <v>24</v>
      </c>
      <c r="F52" t="s">
        <v>266</v>
      </c>
      <c r="G52" s="99" t="s">
        <v>408</v>
      </c>
      <c r="H52" s="99" t="s">
        <v>398</v>
      </c>
      <c r="I52" t="s">
        <v>312</v>
      </c>
      <c r="J52" t="s">
        <v>314</v>
      </c>
    </row>
    <row r="53" spans="2:10" x14ac:dyDescent="0.3">
      <c r="B53" s="89" t="s">
        <v>223</v>
      </c>
      <c r="C53" s="89" t="str" cm="1">
        <f t="array" ref="C53">UPPER(INDEX(_xlfn.TEXTSPLIT($F53, "-"), 3))</f>
        <v>EXT</v>
      </c>
      <c r="D53" t="s">
        <v>239</v>
      </c>
      <c r="E53" t="s">
        <v>24</v>
      </c>
      <c r="F53" t="s">
        <v>266</v>
      </c>
      <c r="G53" s="99" t="s">
        <v>409</v>
      </c>
      <c r="H53" s="99" t="s">
        <v>399</v>
      </c>
      <c r="I53" t="s">
        <v>312</v>
      </c>
      <c r="J53" t="s">
        <v>314</v>
      </c>
    </row>
    <row r="54" spans="2:10" x14ac:dyDescent="0.3">
      <c r="B54" s="89" t="s">
        <v>223</v>
      </c>
      <c r="C54" s="89" t="str" cm="1">
        <f t="array" ref="C54">UPPER(INDEX(_xlfn.TEXTSPLIT($F54, "-"), 3))</f>
        <v>EXT</v>
      </c>
      <c r="D54" t="s">
        <v>239</v>
      </c>
      <c r="E54" t="s">
        <v>24</v>
      </c>
      <c r="F54" t="s">
        <v>266</v>
      </c>
      <c r="G54" s="99" t="s">
        <v>410</v>
      </c>
      <c r="H54" s="99" t="s">
        <v>400</v>
      </c>
      <c r="I54" t="s">
        <v>312</v>
      </c>
      <c r="J54" t="s">
        <v>314</v>
      </c>
    </row>
    <row r="55" spans="2:10" x14ac:dyDescent="0.3">
      <c r="B55" s="89" t="s">
        <v>223</v>
      </c>
      <c r="C55" s="89" t="str" cm="1">
        <f t="array" ref="C55">UPPER(INDEX(_xlfn.TEXTSPLIT($F55, "-"), 3))</f>
        <v>EXT</v>
      </c>
      <c r="D55" t="s">
        <v>239</v>
      </c>
      <c r="E55" t="s">
        <v>24</v>
      </c>
      <c r="F55" t="s">
        <v>266</v>
      </c>
      <c r="G55" s="99" t="s">
        <v>411</v>
      </c>
      <c r="H55" s="99" t="s">
        <v>401</v>
      </c>
      <c r="I55" t="s">
        <v>312</v>
      </c>
      <c r="J55" t="s">
        <v>314</v>
      </c>
    </row>
    <row r="56" spans="2:10" x14ac:dyDescent="0.3">
      <c r="B56" s="89" t="s">
        <v>223</v>
      </c>
      <c r="C56" s="89" t="str" cm="1">
        <f t="array" ref="C56">UPPER(INDEX(_xlfn.TEXTSPLIT($F56, "-"), 3))</f>
        <v>EXT</v>
      </c>
      <c r="D56" t="s">
        <v>239</v>
      </c>
      <c r="E56" t="s">
        <v>24</v>
      </c>
      <c r="F56" t="s">
        <v>266</v>
      </c>
      <c r="G56" s="99" t="s">
        <v>412</v>
      </c>
      <c r="H56" s="99" t="s">
        <v>402</v>
      </c>
      <c r="I56" t="s">
        <v>312</v>
      </c>
      <c r="J56" t="s">
        <v>314</v>
      </c>
    </row>
    <row r="57" spans="2:10" x14ac:dyDescent="0.3">
      <c r="B57" s="89" t="s">
        <v>223</v>
      </c>
      <c r="C57" s="89" t="str" cm="1">
        <f t="array" ref="C57">UPPER(INDEX(_xlfn.TEXTSPLIT($F57, "-"), 3))</f>
        <v>EXT</v>
      </c>
      <c r="D57" t="s">
        <v>239</v>
      </c>
      <c r="E57" t="s">
        <v>24</v>
      </c>
      <c r="F57" t="s">
        <v>266</v>
      </c>
      <c r="G57" t="s">
        <v>276</v>
      </c>
      <c r="H57" t="s">
        <v>301</v>
      </c>
      <c r="I57" t="s">
        <v>312</v>
      </c>
      <c r="J57" t="s">
        <v>314</v>
      </c>
    </row>
    <row r="58" spans="2:10" x14ac:dyDescent="0.3">
      <c r="B58" s="89" t="s">
        <v>223</v>
      </c>
      <c r="C58" s="89" t="str" cm="1">
        <f t="array" ref="C58">UPPER(INDEX(_xlfn.TEXTSPLIT($F58, "-"), 3))</f>
        <v>EXT</v>
      </c>
      <c r="D58" t="s">
        <v>239</v>
      </c>
      <c r="E58" t="s">
        <v>24</v>
      </c>
      <c r="F58" t="s">
        <v>266</v>
      </c>
      <c r="G58" t="s">
        <v>277</v>
      </c>
      <c r="H58" t="s">
        <v>302</v>
      </c>
      <c r="I58" t="s">
        <v>312</v>
      </c>
      <c r="J58" t="s">
        <v>314</v>
      </c>
    </row>
    <row r="59" spans="2:10" x14ac:dyDescent="0.3">
      <c r="B59" s="89" t="s">
        <v>223</v>
      </c>
      <c r="C59" s="89" t="str" cm="1">
        <f t="array" ref="C59">UPPER(INDEX(_xlfn.TEXTSPLIT($F59, "-"), 3))</f>
        <v>EXT</v>
      </c>
      <c r="D59" t="s">
        <v>239</v>
      </c>
      <c r="E59" t="s">
        <v>24</v>
      </c>
      <c r="F59" t="s">
        <v>266</v>
      </c>
      <c r="G59" t="s">
        <v>278</v>
      </c>
      <c r="H59" t="s">
        <v>303</v>
      </c>
      <c r="I59" t="s">
        <v>312</v>
      </c>
      <c r="J59" t="s">
        <v>314</v>
      </c>
    </row>
    <row r="60" spans="2:10" x14ac:dyDescent="0.3">
      <c r="B60" s="89" t="s">
        <v>223</v>
      </c>
      <c r="C60" s="89" t="str" cm="1">
        <f t="array" ref="C60">UPPER(INDEX(_xlfn.TEXTSPLIT($F60, "-"), 3))</f>
        <v>EXT</v>
      </c>
      <c r="D60" t="s">
        <v>239</v>
      </c>
      <c r="E60" t="s">
        <v>24</v>
      </c>
      <c r="F60" t="s">
        <v>266</v>
      </c>
      <c r="G60" t="s">
        <v>279</v>
      </c>
      <c r="H60" t="s">
        <v>304</v>
      </c>
      <c r="I60" t="s">
        <v>312</v>
      </c>
      <c r="J60" t="s">
        <v>314</v>
      </c>
    </row>
    <row r="61" spans="2:10" x14ac:dyDescent="0.3">
      <c r="B61" s="89" t="s">
        <v>223</v>
      </c>
      <c r="C61" s="89" t="str" cm="1">
        <f t="array" ref="C61">UPPER(INDEX(_xlfn.TEXTSPLIT($F61, "-"), 3))</f>
        <v>EXT</v>
      </c>
      <c r="D61" t="s">
        <v>239</v>
      </c>
      <c r="E61" t="s">
        <v>24</v>
      </c>
      <c r="F61" t="s">
        <v>266</v>
      </c>
      <c r="G61" t="s">
        <v>280</v>
      </c>
      <c r="H61" t="s">
        <v>305</v>
      </c>
      <c r="I61" t="s">
        <v>312</v>
      </c>
      <c r="J61" t="s">
        <v>314</v>
      </c>
    </row>
    <row r="62" spans="2:10" x14ac:dyDescent="0.3">
      <c r="B62" s="89" t="s">
        <v>223</v>
      </c>
      <c r="C62" s="89" t="str" cm="1">
        <f t="array" ref="C62">UPPER(INDEX(_xlfn.TEXTSPLIT($F62, "-"), 3))</f>
        <v>EXT</v>
      </c>
      <c r="D62" t="s">
        <v>239</v>
      </c>
      <c r="E62" t="s">
        <v>24</v>
      </c>
      <c r="F62" t="s">
        <v>266</v>
      </c>
      <c r="G62" t="s">
        <v>281</v>
      </c>
      <c r="H62" t="s">
        <v>306</v>
      </c>
      <c r="I62" t="s">
        <v>312</v>
      </c>
      <c r="J62" t="s">
        <v>314</v>
      </c>
    </row>
    <row r="63" spans="2:10" x14ac:dyDescent="0.3">
      <c r="B63" s="89" t="s">
        <v>223</v>
      </c>
      <c r="C63" s="89" t="str" cm="1">
        <f t="array" ref="C63">UPPER(INDEX(_xlfn.TEXTSPLIT($F63, "-"), 3))</f>
        <v>EXT</v>
      </c>
      <c r="D63" t="s">
        <v>239</v>
      </c>
      <c r="E63" t="s">
        <v>24</v>
      </c>
      <c r="F63" t="s">
        <v>266</v>
      </c>
      <c r="G63" t="s">
        <v>282</v>
      </c>
      <c r="H63" t="s">
        <v>307</v>
      </c>
      <c r="I63" t="s">
        <v>312</v>
      </c>
      <c r="J63" t="s">
        <v>314</v>
      </c>
    </row>
    <row r="64" spans="2:10" x14ac:dyDescent="0.3">
      <c r="B64" s="89" t="s">
        <v>223</v>
      </c>
      <c r="C64" s="89" t="str" cm="1">
        <f t="array" ref="C64">UPPER(INDEX(_xlfn.TEXTSPLIT($F64, "-"), 3))</f>
        <v>EXT</v>
      </c>
      <c r="D64" t="s">
        <v>239</v>
      </c>
      <c r="E64" t="s">
        <v>24</v>
      </c>
      <c r="F64" t="s">
        <v>266</v>
      </c>
      <c r="G64" t="s">
        <v>283</v>
      </c>
      <c r="H64" t="s">
        <v>308</v>
      </c>
      <c r="I64" t="s">
        <v>312</v>
      </c>
      <c r="J64" t="s">
        <v>314</v>
      </c>
    </row>
    <row r="65" spans="2:10" x14ac:dyDescent="0.3">
      <c r="B65" s="89" t="s">
        <v>223</v>
      </c>
      <c r="C65" s="89" t="str" cm="1">
        <f t="array" ref="C65">UPPER(INDEX(_xlfn.TEXTSPLIT($F65, "-"), 3))</f>
        <v>EXT</v>
      </c>
      <c r="D65" t="s">
        <v>239</v>
      </c>
      <c r="E65" t="s">
        <v>24</v>
      </c>
      <c r="F65" t="s">
        <v>266</v>
      </c>
      <c r="G65" t="s">
        <v>284</v>
      </c>
      <c r="H65" t="s">
        <v>309</v>
      </c>
      <c r="I65" t="s">
        <v>312</v>
      </c>
      <c r="J65" t="s">
        <v>314</v>
      </c>
    </row>
    <row r="66" spans="2:10" x14ac:dyDescent="0.3">
      <c r="B66" s="89" t="s">
        <v>223</v>
      </c>
      <c r="C66" s="89" t="str" cm="1">
        <f t="array" ref="C66">UPPER(INDEX(_xlfn.TEXTSPLIT($F66, "-"), 3))</f>
        <v>EXT</v>
      </c>
      <c r="D66" t="s">
        <v>239</v>
      </c>
      <c r="E66" t="s">
        <v>24</v>
      </c>
      <c r="F66" t="s">
        <v>266</v>
      </c>
      <c r="G66" t="s">
        <v>285</v>
      </c>
      <c r="H66" t="s">
        <v>310</v>
      </c>
      <c r="I66" t="s">
        <v>312</v>
      </c>
      <c r="J66" t="s">
        <v>314</v>
      </c>
    </row>
    <row r="67" spans="2:10" x14ac:dyDescent="0.3">
      <c r="B67" s="102" t="s">
        <v>223</v>
      </c>
      <c r="C67" s="102" t="str" cm="1">
        <f t="array" ref="C67">UPPER(INDEX(_xlfn.TEXTSPLIT($F67, "-"), 3))</f>
        <v>INT</v>
      </c>
      <c r="D67" s="103" t="s">
        <v>239</v>
      </c>
      <c r="E67" s="103" t="s">
        <v>24</v>
      </c>
      <c r="F67" s="103" t="s">
        <v>267</v>
      </c>
      <c r="G67" s="103" t="s">
        <v>270</v>
      </c>
      <c r="H67" s="103" t="s">
        <v>295</v>
      </c>
      <c r="I67" s="103" t="s">
        <v>312</v>
      </c>
      <c r="J67" s="103" t="s">
        <v>314</v>
      </c>
    </row>
    <row r="68" spans="2:10" x14ac:dyDescent="0.3">
      <c r="B68" s="102" t="s">
        <v>223</v>
      </c>
      <c r="C68" s="102" t="str" cm="1">
        <f t="array" ref="C68">UPPER(INDEX(_xlfn.TEXTSPLIT($F68, "-"), 3))</f>
        <v>INT</v>
      </c>
      <c r="D68" s="103" t="s">
        <v>239</v>
      </c>
      <c r="E68" s="103" t="s">
        <v>24</v>
      </c>
      <c r="F68" s="103" t="s">
        <v>267</v>
      </c>
      <c r="G68" s="103" t="s">
        <v>271</v>
      </c>
      <c r="H68" s="103" t="s">
        <v>296</v>
      </c>
      <c r="I68" s="103" t="s">
        <v>312</v>
      </c>
      <c r="J68" s="103" t="s">
        <v>314</v>
      </c>
    </row>
    <row r="69" spans="2:10" x14ac:dyDescent="0.3">
      <c r="B69" s="102" t="s">
        <v>223</v>
      </c>
      <c r="C69" s="102" t="str" cm="1">
        <f t="array" ref="C69">UPPER(INDEX(_xlfn.TEXTSPLIT($F69, "-"), 3))</f>
        <v>INT</v>
      </c>
      <c r="D69" s="103" t="s">
        <v>239</v>
      </c>
      <c r="E69" s="103" t="s">
        <v>24</v>
      </c>
      <c r="F69" s="103" t="s">
        <v>267</v>
      </c>
      <c r="G69" s="103" t="s">
        <v>272</v>
      </c>
      <c r="H69" s="103" t="s">
        <v>297</v>
      </c>
      <c r="I69" s="103" t="s">
        <v>312</v>
      </c>
      <c r="J69" s="103" t="s">
        <v>314</v>
      </c>
    </row>
    <row r="70" spans="2:10" x14ac:dyDescent="0.3">
      <c r="B70" s="102" t="s">
        <v>223</v>
      </c>
      <c r="C70" s="102" t="str" cm="1">
        <f t="array" ref="C70">UPPER(INDEX(_xlfn.TEXTSPLIT($F70, "-"), 3))</f>
        <v>INT</v>
      </c>
      <c r="D70" s="103" t="s">
        <v>239</v>
      </c>
      <c r="E70" s="103" t="s">
        <v>24</v>
      </c>
      <c r="F70" s="103" t="s">
        <v>267</v>
      </c>
      <c r="G70" s="103" t="s">
        <v>273</v>
      </c>
      <c r="H70" s="103" t="s">
        <v>298</v>
      </c>
      <c r="I70" s="103" t="s">
        <v>312</v>
      </c>
      <c r="J70" s="103" t="s">
        <v>314</v>
      </c>
    </row>
    <row r="71" spans="2:10" x14ac:dyDescent="0.3">
      <c r="B71" s="102" t="s">
        <v>223</v>
      </c>
      <c r="C71" s="102" t="str" cm="1">
        <f t="array" ref="C71">UPPER(INDEX(_xlfn.TEXTSPLIT($F71, "-"), 3))</f>
        <v>INT</v>
      </c>
      <c r="D71" s="103" t="s">
        <v>239</v>
      </c>
      <c r="E71" s="103" t="s">
        <v>24</v>
      </c>
      <c r="F71" s="103" t="s">
        <v>267</v>
      </c>
      <c r="G71" s="103" t="s">
        <v>274</v>
      </c>
      <c r="H71" s="103" t="s">
        <v>299</v>
      </c>
      <c r="I71" s="103" t="s">
        <v>312</v>
      </c>
      <c r="J71" s="103" t="s">
        <v>314</v>
      </c>
    </row>
    <row r="72" spans="2:10" x14ac:dyDescent="0.3">
      <c r="B72" s="102" t="s">
        <v>223</v>
      </c>
      <c r="C72" s="102" t="str" cm="1">
        <f t="array" ref="C72">UPPER(INDEX(_xlfn.TEXTSPLIT($F72, "-"), 3))</f>
        <v>INT</v>
      </c>
      <c r="D72" s="103" t="s">
        <v>239</v>
      </c>
      <c r="E72" s="103" t="s">
        <v>24</v>
      </c>
      <c r="F72" s="103" t="s">
        <v>267</v>
      </c>
      <c r="G72" s="103" t="s">
        <v>413</v>
      </c>
      <c r="H72" s="103" t="s">
        <v>300</v>
      </c>
      <c r="I72" s="103" t="s">
        <v>312</v>
      </c>
      <c r="J72" s="103" t="s">
        <v>314</v>
      </c>
    </row>
    <row r="73" spans="2:10" x14ac:dyDescent="0.3">
      <c r="B73" s="102" t="s">
        <v>223</v>
      </c>
      <c r="C73" s="102" t="str" cm="1">
        <f t="array" ref="C73">UPPER(INDEX(_xlfn.TEXTSPLIT($F73, "-"), 3))</f>
        <v>INT</v>
      </c>
      <c r="D73" s="103" t="s">
        <v>239</v>
      </c>
      <c r="E73" s="103" t="s">
        <v>24</v>
      </c>
      <c r="F73" s="103" t="s">
        <v>267</v>
      </c>
      <c r="G73" s="103" t="s">
        <v>315</v>
      </c>
      <c r="H73" s="103" t="s">
        <v>316</v>
      </c>
      <c r="I73" s="103" t="s">
        <v>312</v>
      </c>
      <c r="J73" s="103" t="s">
        <v>314</v>
      </c>
    </row>
    <row r="74" spans="2:10" x14ac:dyDescent="0.3">
      <c r="B74" s="102" t="s">
        <v>223</v>
      </c>
      <c r="C74" s="102" t="str" cm="1">
        <f t="array" ref="C74">UPPER(INDEX(_xlfn.TEXTSPLIT($F74, "-"), 3))</f>
        <v>INT</v>
      </c>
      <c r="D74" s="103" t="s">
        <v>239</v>
      </c>
      <c r="E74" s="103" t="s">
        <v>24</v>
      </c>
      <c r="F74" s="103" t="s">
        <v>267</v>
      </c>
      <c r="G74" s="103" t="s">
        <v>414</v>
      </c>
      <c r="H74" s="103" t="s">
        <v>415</v>
      </c>
      <c r="I74" s="103" t="s">
        <v>312</v>
      </c>
      <c r="J74" s="103" t="s">
        <v>314</v>
      </c>
    </row>
    <row r="75" spans="2:10" x14ac:dyDescent="0.3">
      <c r="B75" s="102" t="s">
        <v>223</v>
      </c>
      <c r="C75" s="102" t="str" cm="1">
        <f t="array" ref="C75">UPPER(INDEX(_xlfn.TEXTSPLIT($F75, "-"), 3))</f>
        <v>INT</v>
      </c>
      <c r="D75" s="103" t="s">
        <v>239</v>
      </c>
      <c r="E75" s="103" t="s">
        <v>24</v>
      </c>
      <c r="F75" s="103" t="s">
        <v>267</v>
      </c>
      <c r="G75" s="103" t="s">
        <v>286</v>
      </c>
      <c r="H75" s="103" t="s">
        <v>416</v>
      </c>
      <c r="I75" s="103" t="s">
        <v>312</v>
      </c>
      <c r="J75" s="103" t="s">
        <v>314</v>
      </c>
    </row>
    <row r="76" spans="2:10" x14ac:dyDescent="0.3">
      <c r="B76" s="102" t="s">
        <v>223</v>
      </c>
      <c r="C76" s="102" t="str" cm="1">
        <f t="array" ref="C76">UPPER(INDEX(_xlfn.TEXTSPLIT($F76, "-"), 3))</f>
        <v>INT</v>
      </c>
      <c r="D76" s="103" t="s">
        <v>239</v>
      </c>
      <c r="E76" s="103" t="s">
        <v>24</v>
      </c>
      <c r="F76" s="103" t="s">
        <v>267</v>
      </c>
      <c r="G76" s="103" t="s">
        <v>287</v>
      </c>
      <c r="H76" s="103" t="s">
        <v>417</v>
      </c>
      <c r="I76" s="103" t="s">
        <v>312</v>
      </c>
      <c r="J76" s="103" t="s">
        <v>314</v>
      </c>
    </row>
    <row r="77" spans="2:10" x14ac:dyDescent="0.3">
      <c r="B77" s="102" t="s">
        <v>223</v>
      </c>
      <c r="C77" s="102" t="str" cm="1">
        <f t="array" ref="C77">UPPER(INDEX(_xlfn.TEXTSPLIT($F77, "-"), 3))</f>
        <v>INT</v>
      </c>
      <c r="D77" s="103" t="s">
        <v>239</v>
      </c>
      <c r="E77" s="103" t="s">
        <v>24</v>
      </c>
      <c r="F77" s="103" t="s">
        <v>267</v>
      </c>
      <c r="G77" s="103" t="s">
        <v>288</v>
      </c>
      <c r="H77" s="103" t="s">
        <v>418</v>
      </c>
      <c r="I77" s="103" t="s">
        <v>312</v>
      </c>
      <c r="J77" s="103" t="s">
        <v>314</v>
      </c>
    </row>
    <row r="78" spans="2:10" x14ac:dyDescent="0.3">
      <c r="B78" s="102" t="s">
        <v>223</v>
      </c>
      <c r="C78" s="102" t="str" cm="1">
        <f t="array" ref="C78">UPPER(INDEX(_xlfn.TEXTSPLIT($F78, "-"), 3))</f>
        <v>INT</v>
      </c>
      <c r="D78" s="103" t="s">
        <v>239</v>
      </c>
      <c r="E78" s="103" t="s">
        <v>24</v>
      </c>
      <c r="F78" s="103" t="s">
        <v>267</v>
      </c>
      <c r="G78" s="103" t="s">
        <v>289</v>
      </c>
      <c r="H78" s="103" t="s">
        <v>419</v>
      </c>
      <c r="I78" s="103" t="s">
        <v>312</v>
      </c>
      <c r="J78" s="103" t="s">
        <v>314</v>
      </c>
    </row>
    <row r="79" spans="2:10" x14ac:dyDescent="0.3">
      <c r="B79" s="102" t="s">
        <v>223</v>
      </c>
      <c r="C79" s="102" t="str" cm="1">
        <f t="array" ref="C79">UPPER(INDEX(_xlfn.TEXTSPLIT($F79, "-"), 3))</f>
        <v>INT</v>
      </c>
      <c r="D79" s="103" t="s">
        <v>239</v>
      </c>
      <c r="E79" s="103" t="s">
        <v>24</v>
      </c>
      <c r="F79" s="103" t="s">
        <v>267</v>
      </c>
      <c r="G79" s="103" t="s">
        <v>290</v>
      </c>
      <c r="H79" s="103" t="s">
        <v>420</v>
      </c>
      <c r="I79" s="103" t="s">
        <v>312</v>
      </c>
      <c r="J79" s="103" t="s">
        <v>314</v>
      </c>
    </row>
    <row r="80" spans="2:10" x14ac:dyDescent="0.3">
      <c r="B80" s="102" t="s">
        <v>223</v>
      </c>
      <c r="C80" s="102" t="str" cm="1">
        <f t="array" ref="C80">UPPER(INDEX(_xlfn.TEXTSPLIT($F80, "-"), 3))</f>
        <v>INT</v>
      </c>
      <c r="D80" s="103" t="s">
        <v>239</v>
      </c>
      <c r="E80" s="103" t="s">
        <v>24</v>
      </c>
      <c r="F80" s="103" t="s">
        <v>267</v>
      </c>
      <c r="G80" s="103" t="s">
        <v>291</v>
      </c>
      <c r="H80" s="103" t="s">
        <v>421</v>
      </c>
      <c r="I80" s="103" t="s">
        <v>312</v>
      </c>
      <c r="J80" s="103" t="s">
        <v>314</v>
      </c>
    </row>
    <row r="81" spans="2:10" x14ac:dyDescent="0.3">
      <c r="B81" s="102" t="s">
        <v>223</v>
      </c>
      <c r="C81" s="102" t="str" cm="1">
        <f t="array" ref="C81">UPPER(INDEX(_xlfn.TEXTSPLIT($F81, "-"), 3))</f>
        <v>INT</v>
      </c>
      <c r="D81" s="103" t="s">
        <v>239</v>
      </c>
      <c r="E81" s="103" t="s">
        <v>24</v>
      </c>
      <c r="F81" s="103" t="s">
        <v>267</v>
      </c>
      <c r="G81" s="103" t="s">
        <v>292</v>
      </c>
      <c r="H81" s="103" t="s">
        <v>422</v>
      </c>
      <c r="I81" s="103" t="s">
        <v>312</v>
      </c>
      <c r="J81" s="103" t="s">
        <v>314</v>
      </c>
    </row>
    <row r="82" spans="2:10" x14ac:dyDescent="0.3">
      <c r="B82" s="102" t="s">
        <v>223</v>
      </c>
      <c r="C82" s="102" t="str" cm="1">
        <f t="array" ref="C82">UPPER(INDEX(_xlfn.TEXTSPLIT($F82, "-"), 3))</f>
        <v>INT</v>
      </c>
      <c r="D82" s="103" t="s">
        <v>239</v>
      </c>
      <c r="E82" s="103" t="s">
        <v>24</v>
      </c>
      <c r="F82" s="103" t="s">
        <v>267</v>
      </c>
      <c r="G82" s="103" t="s">
        <v>293</v>
      </c>
      <c r="H82" s="103" t="s">
        <v>423</v>
      </c>
      <c r="I82" s="103" t="s">
        <v>312</v>
      </c>
      <c r="J82" s="103" t="s">
        <v>314</v>
      </c>
    </row>
    <row r="83" spans="2:10" x14ac:dyDescent="0.3">
      <c r="B83" s="102" t="s">
        <v>223</v>
      </c>
      <c r="C83" s="102" t="str" cm="1">
        <f t="array" ref="C83">UPPER(INDEX(_xlfn.TEXTSPLIT($F83, "-"), 3))</f>
        <v>INT</v>
      </c>
      <c r="D83" s="103" t="s">
        <v>239</v>
      </c>
      <c r="E83" s="103" t="s">
        <v>24</v>
      </c>
      <c r="F83" s="103" t="s">
        <v>267</v>
      </c>
      <c r="G83" s="103" t="s">
        <v>431</v>
      </c>
      <c r="H83" s="103" t="s">
        <v>424</v>
      </c>
      <c r="I83" s="103" t="s">
        <v>312</v>
      </c>
      <c r="J83" s="103" t="s">
        <v>314</v>
      </c>
    </row>
    <row r="84" spans="2:10" x14ac:dyDescent="0.3">
      <c r="B84" s="102" t="s">
        <v>223</v>
      </c>
      <c r="C84" s="102" t="str" cm="1">
        <f t="array" ref="C84">UPPER(INDEX(_xlfn.TEXTSPLIT($F84, "-"), 3))</f>
        <v>INT</v>
      </c>
      <c r="D84" s="103" t="s">
        <v>239</v>
      </c>
      <c r="E84" s="103" t="s">
        <v>24</v>
      </c>
      <c r="F84" s="103" t="s">
        <v>267</v>
      </c>
      <c r="G84" s="103" t="s">
        <v>432</v>
      </c>
      <c r="H84" s="103" t="s">
        <v>425</v>
      </c>
      <c r="I84" s="103" t="s">
        <v>312</v>
      </c>
      <c r="J84" s="103" t="s">
        <v>314</v>
      </c>
    </row>
    <row r="85" spans="2:10" x14ac:dyDescent="0.3">
      <c r="B85" s="102" t="s">
        <v>223</v>
      </c>
      <c r="C85" s="102" t="str" cm="1">
        <f t="array" ref="C85">UPPER(INDEX(_xlfn.TEXTSPLIT($F85, "-"), 3))</f>
        <v>INT</v>
      </c>
      <c r="D85" s="103" t="s">
        <v>239</v>
      </c>
      <c r="E85" s="103" t="s">
        <v>24</v>
      </c>
      <c r="F85" s="103" t="s">
        <v>267</v>
      </c>
      <c r="G85" s="103" t="s">
        <v>433</v>
      </c>
      <c r="H85" s="103" t="s">
        <v>426</v>
      </c>
      <c r="I85" s="103" t="s">
        <v>312</v>
      </c>
      <c r="J85" s="103" t="s">
        <v>314</v>
      </c>
    </row>
    <row r="86" spans="2:10" x14ac:dyDescent="0.3">
      <c r="B86" s="102" t="s">
        <v>223</v>
      </c>
      <c r="C86" s="102" t="str" cm="1">
        <f t="array" ref="C86">UPPER(INDEX(_xlfn.TEXTSPLIT($F86, "-"), 3))</f>
        <v>INT</v>
      </c>
      <c r="D86" s="103" t="s">
        <v>239</v>
      </c>
      <c r="E86" s="103" t="s">
        <v>24</v>
      </c>
      <c r="F86" s="103" t="s">
        <v>267</v>
      </c>
      <c r="G86" s="103" t="s">
        <v>434</v>
      </c>
      <c r="H86" s="103" t="s">
        <v>427</v>
      </c>
      <c r="I86" s="103" t="s">
        <v>312</v>
      </c>
      <c r="J86" s="103" t="s">
        <v>314</v>
      </c>
    </row>
    <row r="87" spans="2:10" x14ac:dyDescent="0.3">
      <c r="B87" s="102" t="s">
        <v>223</v>
      </c>
      <c r="C87" s="102" t="str" cm="1">
        <f t="array" ref="C87">UPPER(INDEX(_xlfn.TEXTSPLIT($F87, "-"), 3))</f>
        <v>INT</v>
      </c>
      <c r="D87" s="103" t="s">
        <v>239</v>
      </c>
      <c r="E87" s="103" t="s">
        <v>24</v>
      </c>
      <c r="F87" s="103" t="s">
        <v>267</v>
      </c>
      <c r="G87" s="103" t="s">
        <v>435</v>
      </c>
      <c r="H87" s="103" t="s">
        <v>428</v>
      </c>
      <c r="I87" s="103" t="s">
        <v>312</v>
      </c>
      <c r="J87" s="103" t="s">
        <v>314</v>
      </c>
    </row>
    <row r="88" spans="2:10" x14ac:dyDescent="0.3">
      <c r="B88" s="102" t="s">
        <v>223</v>
      </c>
      <c r="C88" s="102" t="str" cm="1">
        <f t="array" ref="C88">UPPER(INDEX(_xlfn.TEXTSPLIT($F88, "-"), 3))</f>
        <v>INT</v>
      </c>
      <c r="D88" s="103" t="s">
        <v>239</v>
      </c>
      <c r="E88" s="103" t="s">
        <v>24</v>
      </c>
      <c r="F88" s="103" t="s">
        <v>267</v>
      </c>
      <c r="G88" s="103" t="s">
        <v>436</v>
      </c>
      <c r="H88" s="103" t="s">
        <v>429</v>
      </c>
      <c r="I88" s="103" t="s">
        <v>312</v>
      </c>
      <c r="J88" s="103" t="s">
        <v>314</v>
      </c>
    </row>
    <row r="89" spans="2:10" x14ac:dyDescent="0.3">
      <c r="B89" s="102" t="s">
        <v>223</v>
      </c>
      <c r="C89" s="102" t="str" cm="1">
        <f t="array" ref="C89">UPPER(INDEX(_xlfn.TEXTSPLIT($F89, "-"), 3))</f>
        <v>INT</v>
      </c>
      <c r="D89" s="103" t="s">
        <v>239</v>
      </c>
      <c r="E89" s="103" t="s">
        <v>24</v>
      </c>
      <c r="F89" s="103" t="s">
        <v>267</v>
      </c>
      <c r="G89" s="103" t="s">
        <v>437</v>
      </c>
      <c r="H89" s="103" t="s">
        <v>430</v>
      </c>
      <c r="I89" s="103" t="s">
        <v>312</v>
      </c>
      <c r="J89" s="103" t="s">
        <v>314</v>
      </c>
    </row>
    <row r="90" spans="2:10" x14ac:dyDescent="0.3">
      <c r="B90" s="102" t="s">
        <v>223</v>
      </c>
      <c r="C90" s="102" t="str" cm="1">
        <f t="array" ref="C90">UPPER(INDEX(_xlfn.TEXTSPLIT($F90, "-"), 3))</f>
        <v>INT</v>
      </c>
      <c r="D90" s="103" t="s">
        <v>239</v>
      </c>
      <c r="E90" s="103" t="s">
        <v>24</v>
      </c>
      <c r="F90" s="103" t="s">
        <v>267</v>
      </c>
      <c r="G90" s="103" t="s">
        <v>276</v>
      </c>
      <c r="H90" s="103" t="s">
        <v>301</v>
      </c>
      <c r="I90" s="103" t="s">
        <v>312</v>
      </c>
      <c r="J90" s="103" t="s">
        <v>314</v>
      </c>
    </row>
    <row r="91" spans="2:10" x14ac:dyDescent="0.3">
      <c r="B91" s="102" t="s">
        <v>223</v>
      </c>
      <c r="C91" s="102" t="str" cm="1">
        <f t="array" ref="C91">UPPER(INDEX(_xlfn.TEXTSPLIT($F91, "-"), 3))</f>
        <v>INT</v>
      </c>
      <c r="D91" s="103" t="s">
        <v>239</v>
      </c>
      <c r="E91" s="103" t="s">
        <v>24</v>
      </c>
      <c r="F91" s="103" t="s">
        <v>267</v>
      </c>
      <c r="G91" s="103" t="s">
        <v>277</v>
      </c>
      <c r="H91" s="103" t="s">
        <v>302</v>
      </c>
      <c r="I91" s="103" t="s">
        <v>312</v>
      </c>
      <c r="J91" s="103" t="s">
        <v>314</v>
      </c>
    </row>
    <row r="92" spans="2:10" x14ac:dyDescent="0.3">
      <c r="B92" s="102" t="s">
        <v>223</v>
      </c>
      <c r="C92" s="102" t="str" cm="1">
        <f t="array" ref="C92">UPPER(INDEX(_xlfn.TEXTSPLIT($F92, "-"), 3))</f>
        <v>INT</v>
      </c>
      <c r="D92" s="103" t="s">
        <v>239</v>
      </c>
      <c r="E92" s="103" t="s">
        <v>24</v>
      </c>
      <c r="F92" s="103" t="s">
        <v>267</v>
      </c>
      <c r="G92" s="103" t="s">
        <v>278</v>
      </c>
      <c r="H92" s="103" t="s">
        <v>303</v>
      </c>
      <c r="I92" s="103" t="s">
        <v>312</v>
      </c>
      <c r="J92" s="103" t="s">
        <v>314</v>
      </c>
    </row>
    <row r="93" spans="2:10" x14ac:dyDescent="0.3">
      <c r="B93" s="102" t="s">
        <v>223</v>
      </c>
      <c r="C93" s="102" t="str" cm="1">
        <f t="array" ref="C93">UPPER(INDEX(_xlfn.TEXTSPLIT($F93, "-"), 3))</f>
        <v>INT</v>
      </c>
      <c r="D93" s="103" t="s">
        <v>239</v>
      </c>
      <c r="E93" s="103" t="s">
        <v>24</v>
      </c>
      <c r="F93" s="103" t="s">
        <v>267</v>
      </c>
      <c r="G93" s="103" t="s">
        <v>279</v>
      </c>
      <c r="H93" s="103" t="s">
        <v>304</v>
      </c>
      <c r="I93" s="103" t="s">
        <v>312</v>
      </c>
      <c r="J93" s="103" t="s">
        <v>314</v>
      </c>
    </row>
    <row r="94" spans="2:10" x14ac:dyDescent="0.3">
      <c r="B94" s="102" t="s">
        <v>223</v>
      </c>
      <c r="C94" s="102" t="str" cm="1">
        <f t="array" ref="C94">UPPER(INDEX(_xlfn.TEXTSPLIT($F94, "-"), 3))</f>
        <v>INT</v>
      </c>
      <c r="D94" s="103" t="s">
        <v>239</v>
      </c>
      <c r="E94" s="103" t="s">
        <v>24</v>
      </c>
      <c r="F94" s="103" t="s">
        <v>267</v>
      </c>
      <c r="G94" s="103" t="s">
        <v>280</v>
      </c>
      <c r="H94" s="103" t="s">
        <v>305</v>
      </c>
      <c r="I94" s="103" t="s">
        <v>312</v>
      </c>
      <c r="J94" s="103" t="s">
        <v>314</v>
      </c>
    </row>
    <row r="95" spans="2:10" x14ac:dyDescent="0.3">
      <c r="B95" s="102" t="s">
        <v>223</v>
      </c>
      <c r="C95" s="102" t="str" cm="1">
        <f t="array" ref="C95">UPPER(INDEX(_xlfn.TEXTSPLIT($F95, "-"), 3))</f>
        <v>INT</v>
      </c>
      <c r="D95" s="103" t="s">
        <v>239</v>
      </c>
      <c r="E95" s="103" t="s">
        <v>24</v>
      </c>
      <c r="F95" s="103" t="s">
        <v>267</v>
      </c>
      <c r="G95" s="103" t="s">
        <v>281</v>
      </c>
      <c r="H95" s="103" t="s">
        <v>306</v>
      </c>
      <c r="I95" s="103" t="s">
        <v>312</v>
      </c>
      <c r="J95" s="103" t="s">
        <v>314</v>
      </c>
    </row>
    <row r="96" spans="2:10" x14ac:dyDescent="0.3">
      <c r="B96" s="102" t="s">
        <v>223</v>
      </c>
      <c r="C96" s="102" t="str" cm="1">
        <f t="array" ref="C96">UPPER(INDEX(_xlfn.TEXTSPLIT($F96, "-"), 3))</f>
        <v>INT</v>
      </c>
      <c r="D96" s="103" t="s">
        <v>239</v>
      </c>
      <c r="E96" s="103" t="s">
        <v>24</v>
      </c>
      <c r="F96" s="103" t="s">
        <v>267</v>
      </c>
      <c r="G96" s="103" t="s">
        <v>282</v>
      </c>
      <c r="H96" s="103" t="s">
        <v>307</v>
      </c>
      <c r="I96" s="103" t="s">
        <v>312</v>
      </c>
      <c r="J96" s="103" t="s">
        <v>314</v>
      </c>
    </row>
    <row r="97" spans="2:10" x14ac:dyDescent="0.3">
      <c r="B97" s="102" t="s">
        <v>223</v>
      </c>
      <c r="C97" s="102" t="str" cm="1">
        <f t="array" ref="C97">UPPER(INDEX(_xlfn.TEXTSPLIT($F97, "-"), 3))</f>
        <v>INT</v>
      </c>
      <c r="D97" s="103" t="s">
        <v>239</v>
      </c>
      <c r="E97" s="103" t="s">
        <v>24</v>
      </c>
      <c r="F97" s="103" t="s">
        <v>267</v>
      </c>
      <c r="G97" s="103" t="s">
        <v>283</v>
      </c>
      <c r="H97" s="103" t="s">
        <v>308</v>
      </c>
      <c r="I97" s="103" t="s">
        <v>312</v>
      </c>
      <c r="J97" s="103" t="s">
        <v>314</v>
      </c>
    </row>
    <row r="98" spans="2:10" x14ac:dyDescent="0.3">
      <c r="B98" s="102" t="s">
        <v>223</v>
      </c>
      <c r="C98" s="102" t="str" cm="1">
        <f t="array" ref="C98">UPPER(INDEX(_xlfn.TEXTSPLIT($F98, "-"), 3))</f>
        <v>INT</v>
      </c>
      <c r="D98" s="103" t="s">
        <v>239</v>
      </c>
      <c r="E98" s="103" t="s">
        <v>24</v>
      </c>
      <c r="F98" s="103" t="s">
        <v>267</v>
      </c>
      <c r="G98" s="103" t="s">
        <v>284</v>
      </c>
      <c r="H98" s="103" t="s">
        <v>309</v>
      </c>
      <c r="I98" s="103" t="s">
        <v>312</v>
      </c>
      <c r="J98" s="103" t="s">
        <v>314</v>
      </c>
    </row>
    <row r="99" spans="2:10" x14ac:dyDescent="0.3">
      <c r="B99" s="102" t="s">
        <v>223</v>
      </c>
      <c r="C99" s="102" t="str" cm="1">
        <f t="array" ref="C99">UPPER(INDEX(_xlfn.TEXTSPLIT($F99, "-"), 3))</f>
        <v>INT</v>
      </c>
      <c r="D99" s="103" t="s">
        <v>239</v>
      </c>
      <c r="E99" s="103" t="s">
        <v>24</v>
      </c>
      <c r="F99" s="103" t="s">
        <v>267</v>
      </c>
      <c r="G99" s="103" t="s">
        <v>285</v>
      </c>
      <c r="H99" s="103" t="s">
        <v>310</v>
      </c>
      <c r="I99" s="103" t="s">
        <v>312</v>
      </c>
      <c r="J99" s="103" t="s">
        <v>314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34</v>
      </c>
      <c r="D1" s="47" t="s">
        <v>38</v>
      </c>
      <c r="E1" s="46" t="s">
        <v>39</v>
      </c>
      <c r="F1" s="47" t="s">
        <v>41</v>
      </c>
      <c r="G1" s="46" t="s">
        <v>40</v>
      </c>
      <c r="H1" s="48" t="s">
        <v>53</v>
      </c>
      <c r="I1" s="49" t="s">
        <v>54</v>
      </c>
      <c r="J1" s="49" t="s">
        <v>55</v>
      </c>
      <c r="K1" s="49" t="s">
        <v>56</v>
      </c>
      <c r="L1" s="49" t="s">
        <v>57</v>
      </c>
      <c r="M1" s="50" t="s">
        <v>22</v>
      </c>
    </row>
    <row r="2" spans="1:16" x14ac:dyDescent="0.3">
      <c r="A2" s="14" t="s">
        <v>23</v>
      </c>
      <c r="B2" s="15" t="s">
        <v>29</v>
      </c>
      <c r="C2" s="15" t="s">
        <v>101</v>
      </c>
      <c r="D2" s="15">
        <v>100</v>
      </c>
      <c r="E2" s="15" t="s">
        <v>51</v>
      </c>
      <c r="F2" s="15" t="s">
        <v>42</v>
      </c>
      <c r="G2" s="15" t="s">
        <v>45</v>
      </c>
      <c r="H2" s="15" t="s">
        <v>58</v>
      </c>
      <c r="I2" s="30" t="s">
        <v>74</v>
      </c>
      <c r="J2" s="30" t="s">
        <v>59</v>
      </c>
      <c r="K2" s="30" t="s">
        <v>26</v>
      </c>
      <c r="L2" s="30">
        <v>22</v>
      </c>
      <c r="M2" s="24" t="s">
        <v>63</v>
      </c>
    </row>
    <row r="3" spans="1:16" x14ac:dyDescent="0.3">
      <c r="A3" s="16" t="s">
        <v>23</v>
      </c>
      <c r="B3" s="4" t="s">
        <v>29</v>
      </c>
      <c r="C3" s="4" t="s">
        <v>101</v>
      </c>
      <c r="D3" s="4">
        <v>110</v>
      </c>
      <c r="E3" s="4" t="s">
        <v>50</v>
      </c>
      <c r="F3" s="4" t="s">
        <v>42</v>
      </c>
      <c r="G3" s="4" t="s">
        <v>45</v>
      </c>
      <c r="H3" s="4" t="s">
        <v>58</v>
      </c>
      <c r="I3" s="31" t="s">
        <v>59</v>
      </c>
      <c r="J3" s="31" t="s">
        <v>75</v>
      </c>
      <c r="K3" s="31" t="s">
        <v>72</v>
      </c>
      <c r="L3" s="31">
        <v>80</v>
      </c>
      <c r="M3" s="25" t="s">
        <v>64</v>
      </c>
    </row>
    <row r="4" spans="1:16" x14ac:dyDescent="0.3">
      <c r="A4" s="17" t="s">
        <v>23</v>
      </c>
      <c r="B4" s="9" t="s">
        <v>29</v>
      </c>
      <c r="C4" s="9" t="s">
        <v>101</v>
      </c>
      <c r="D4" s="9">
        <v>4095</v>
      </c>
      <c r="E4" s="9" t="s">
        <v>49</v>
      </c>
      <c r="F4" s="9" t="s">
        <v>42</v>
      </c>
      <c r="G4" s="9" t="s">
        <v>45</v>
      </c>
      <c r="H4" s="9" t="s">
        <v>60</v>
      </c>
      <c r="I4" s="32" t="s">
        <v>61</v>
      </c>
      <c r="J4" s="32" t="s">
        <v>59</v>
      </c>
      <c r="K4" s="32" t="s">
        <v>59</v>
      </c>
      <c r="L4" s="32" t="s">
        <v>59</v>
      </c>
      <c r="M4" s="26" t="s">
        <v>67</v>
      </c>
    </row>
    <row r="5" spans="1:16" x14ac:dyDescent="0.3">
      <c r="A5" s="18" t="s">
        <v>23</v>
      </c>
      <c r="B5" s="9" t="s">
        <v>29</v>
      </c>
      <c r="C5" s="9" t="s">
        <v>101</v>
      </c>
      <c r="D5" s="9">
        <v>4096</v>
      </c>
      <c r="E5" s="9" t="s">
        <v>52</v>
      </c>
      <c r="F5" s="9" t="s">
        <v>42</v>
      </c>
      <c r="G5" s="9" t="s">
        <v>44</v>
      </c>
      <c r="H5" s="9" t="s">
        <v>60</v>
      </c>
      <c r="I5" s="32" t="s">
        <v>35</v>
      </c>
      <c r="J5" s="32" t="s">
        <v>59</v>
      </c>
      <c r="K5" s="32" t="s">
        <v>35</v>
      </c>
      <c r="L5" s="32" t="s">
        <v>59</v>
      </c>
      <c r="M5" s="26" t="s">
        <v>66</v>
      </c>
    </row>
    <row r="6" spans="1:16" x14ac:dyDescent="0.3">
      <c r="A6" s="19" t="s">
        <v>23</v>
      </c>
      <c r="B6" s="12" t="s">
        <v>29</v>
      </c>
      <c r="C6" s="12" t="s">
        <v>101</v>
      </c>
      <c r="D6" s="12">
        <v>100</v>
      </c>
      <c r="E6" s="12" t="s">
        <v>47</v>
      </c>
      <c r="F6" s="12" t="s">
        <v>43</v>
      </c>
      <c r="G6" s="12" t="s">
        <v>45</v>
      </c>
      <c r="H6" s="12" t="s">
        <v>58</v>
      </c>
      <c r="I6" s="33" t="s">
        <v>26</v>
      </c>
      <c r="J6" s="33" t="s">
        <v>59</v>
      </c>
      <c r="K6" s="33" t="s">
        <v>68</v>
      </c>
      <c r="L6" s="33" t="s">
        <v>76</v>
      </c>
      <c r="M6" s="27" t="s">
        <v>70</v>
      </c>
    </row>
    <row r="7" spans="1:16" x14ac:dyDescent="0.3">
      <c r="A7" s="20" t="s">
        <v>23</v>
      </c>
      <c r="B7" s="6" t="s">
        <v>29</v>
      </c>
      <c r="C7" s="6" t="s">
        <v>101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29</v>
      </c>
      <c r="C8" s="6" t="s">
        <v>101</v>
      </c>
      <c r="D8" s="6"/>
      <c r="E8" s="6"/>
      <c r="F8" s="6" t="s">
        <v>43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29</v>
      </c>
      <c r="C9" s="22" t="s">
        <v>101</v>
      </c>
      <c r="D9" s="22">
        <v>4096</v>
      </c>
      <c r="E9" s="22" t="s">
        <v>73</v>
      </c>
      <c r="F9" s="22" t="s">
        <v>43</v>
      </c>
      <c r="G9" s="22" t="s">
        <v>44</v>
      </c>
      <c r="H9" s="23" t="s">
        <v>60</v>
      </c>
      <c r="I9" s="35" t="s">
        <v>59</v>
      </c>
      <c r="J9" s="35" t="s">
        <v>59</v>
      </c>
      <c r="K9" s="35" t="s">
        <v>69</v>
      </c>
      <c r="L9" s="35" t="s">
        <v>59</v>
      </c>
      <c r="M9" s="29" t="s">
        <v>65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29</v>
      </c>
      <c r="C11" s="13" t="s">
        <v>103</v>
      </c>
      <c r="D11" s="13">
        <v>100</v>
      </c>
      <c r="E11" s="13" t="s">
        <v>48</v>
      </c>
      <c r="F11" s="13" t="s">
        <v>42</v>
      </c>
      <c r="G11" s="13" t="s">
        <v>45</v>
      </c>
      <c r="H11" s="13" t="s">
        <v>58</v>
      </c>
      <c r="I11" s="36" t="s">
        <v>62</v>
      </c>
      <c r="J11" s="36" t="s">
        <v>59</v>
      </c>
      <c r="K11" s="36" t="s">
        <v>27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29</v>
      </c>
      <c r="C12" s="4" t="s">
        <v>103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29</v>
      </c>
      <c r="C13" s="9" t="s">
        <v>103</v>
      </c>
      <c r="D13" s="9">
        <v>4095</v>
      </c>
      <c r="E13" s="9" t="s">
        <v>49</v>
      </c>
      <c r="F13" s="9" t="s">
        <v>42</v>
      </c>
      <c r="G13" s="9" t="s">
        <v>45</v>
      </c>
      <c r="H13" s="9" t="s">
        <v>60</v>
      </c>
      <c r="I13" s="32" t="s">
        <v>61</v>
      </c>
      <c r="J13" s="32" t="s">
        <v>59</v>
      </c>
      <c r="K13" s="32" t="s">
        <v>59</v>
      </c>
      <c r="L13" s="32" t="s">
        <v>59</v>
      </c>
      <c r="M13" s="26" t="s">
        <v>67</v>
      </c>
    </row>
    <row r="14" spans="1:16" x14ac:dyDescent="0.3">
      <c r="A14" s="9" t="s">
        <v>23</v>
      </c>
      <c r="B14" s="9" t="s">
        <v>29</v>
      </c>
      <c r="C14" s="9" t="s">
        <v>103</v>
      </c>
      <c r="D14" s="9">
        <v>4096</v>
      </c>
      <c r="E14" s="9" t="s">
        <v>52</v>
      </c>
      <c r="F14" s="9" t="s">
        <v>42</v>
      </c>
      <c r="G14" s="9" t="s">
        <v>44</v>
      </c>
      <c r="H14" s="9" t="s">
        <v>60</v>
      </c>
      <c r="I14" s="32" t="s">
        <v>35</v>
      </c>
      <c r="J14" s="32" t="s">
        <v>59</v>
      </c>
      <c r="K14" s="32" t="s">
        <v>35</v>
      </c>
      <c r="L14" s="32" t="s">
        <v>59</v>
      </c>
      <c r="M14" s="9" t="s">
        <v>66</v>
      </c>
    </row>
    <row r="15" spans="1:16" x14ac:dyDescent="0.3">
      <c r="A15" s="63" t="s">
        <v>23</v>
      </c>
      <c r="B15" s="63" t="s">
        <v>29</v>
      </c>
      <c r="C15" s="63" t="s">
        <v>103</v>
      </c>
      <c r="D15" s="63"/>
      <c r="E15" s="63"/>
      <c r="F15" s="63" t="s">
        <v>43</v>
      </c>
      <c r="G15" s="63"/>
      <c r="H15" s="64"/>
      <c r="I15" s="65"/>
      <c r="J15" s="65"/>
      <c r="K15" s="65"/>
      <c r="L15" s="65"/>
      <c r="M15" s="64"/>
    </row>
    <row r="16" spans="1:16" x14ac:dyDescent="0.3">
      <c r="A16" s="63" t="s">
        <v>23</v>
      </c>
      <c r="B16" s="63" t="s">
        <v>29</v>
      </c>
      <c r="C16" s="63" t="s">
        <v>103</v>
      </c>
      <c r="D16" s="63"/>
      <c r="E16" s="63"/>
      <c r="F16" s="63" t="s">
        <v>43</v>
      </c>
      <c r="G16" s="63"/>
      <c r="H16" s="63"/>
      <c r="I16" s="66"/>
      <c r="J16" s="66"/>
      <c r="K16" s="66"/>
      <c r="L16" s="66"/>
      <c r="M16" s="63"/>
    </row>
    <row r="17" spans="1:13" x14ac:dyDescent="0.3">
      <c r="A17" s="63" t="s">
        <v>23</v>
      </c>
      <c r="B17" s="63" t="s">
        <v>29</v>
      </c>
      <c r="C17" s="63" t="s">
        <v>102</v>
      </c>
      <c r="D17" s="63"/>
      <c r="E17" s="63"/>
      <c r="F17" s="63" t="s">
        <v>43</v>
      </c>
      <c r="G17" s="63"/>
      <c r="H17" s="63"/>
      <c r="I17" s="66"/>
      <c r="J17" s="66"/>
      <c r="K17" s="66"/>
      <c r="L17" s="66"/>
      <c r="M17" s="63"/>
    </row>
    <row r="18" spans="1:13" x14ac:dyDescent="0.3">
      <c r="A18" s="67" t="s">
        <v>23</v>
      </c>
      <c r="B18" s="67" t="s">
        <v>29</v>
      </c>
      <c r="C18" s="63" t="s">
        <v>102</v>
      </c>
      <c r="D18" s="68">
        <v>4096</v>
      </c>
      <c r="E18" s="68" t="s">
        <v>73</v>
      </c>
      <c r="F18" s="67" t="s">
        <v>43</v>
      </c>
      <c r="G18" s="68" t="s">
        <v>44</v>
      </c>
      <c r="H18" s="69" t="s">
        <v>60</v>
      </c>
      <c r="I18" s="70" t="s">
        <v>59</v>
      </c>
      <c r="J18" s="70" t="s">
        <v>59</v>
      </c>
      <c r="K18" s="70" t="s">
        <v>69</v>
      </c>
      <c r="L18" s="70" t="s">
        <v>59</v>
      </c>
      <c r="M18" s="68" t="s">
        <v>65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30</v>
      </c>
      <c r="C20" s="15" t="s">
        <v>104</v>
      </c>
      <c r="D20" s="15">
        <v>150</v>
      </c>
      <c r="E20" s="15" t="s">
        <v>51</v>
      </c>
      <c r="F20" s="15" t="s">
        <v>42</v>
      </c>
      <c r="G20" s="15" t="s">
        <v>45</v>
      </c>
      <c r="H20" s="15" t="s">
        <v>58</v>
      </c>
      <c r="I20" s="30" t="s">
        <v>74</v>
      </c>
      <c r="J20" s="30" t="s">
        <v>59</v>
      </c>
      <c r="K20" s="30" t="s">
        <v>26</v>
      </c>
      <c r="L20" s="30">
        <v>22</v>
      </c>
      <c r="M20" s="24" t="s">
        <v>63</v>
      </c>
    </row>
    <row r="21" spans="1:13" x14ac:dyDescent="0.3">
      <c r="A21" s="16" t="s">
        <v>23</v>
      </c>
      <c r="B21" s="4" t="s">
        <v>30</v>
      </c>
      <c r="C21" s="4" t="s">
        <v>104</v>
      </c>
      <c r="D21" s="4">
        <v>160</v>
      </c>
      <c r="E21" s="4" t="s">
        <v>46</v>
      </c>
      <c r="F21" s="4" t="s">
        <v>42</v>
      </c>
      <c r="G21" s="4" t="s">
        <v>45</v>
      </c>
      <c r="H21" s="4" t="s">
        <v>58</v>
      </c>
      <c r="I21" s="31" t="s">
        <v>59</v>
      </c>
      <c r="J21" s="31" t="s">
        <v>59</v>
      </c>
      <c r="K21" s="31" t="s">
        <v>27</v>
      </c>
      <c r="L21" s="31" t="s">
        <v>78</v>
      </c>
      <c r="M21" s="25"/>
    </row>
    <row r="22" spans="1:13" x14ac:dyDescent="0.3">
      <c r="A22" s="17" t="s">
        <v>23</v>
      </c>
      <c r="B22" s="9" t="s">
        <v>29</v>
      </c>
      <c r="C22" s="9" t="s">
        <v>104</v>
      </c>
      <c r="D22" s="9">
        <v>4095</v>
      </c>
      <c r="E22" s="9" t="s">
        <v>49</v>
      </c>
      <c r="F22" s="9" t="s">
        <v>42</v>
      </c>
      <c r="G22" s="9" t="s">
        <v>45</v>
      </c>
      <c r="H22" s="9" t="s">
        <v>60</v>
      </c>
      <c r="I22" s="32" t="s">
        <v>61</v>
      </c>
      <c r="J22" s="32" t="s">
        <v>59</v>
      </c>
      <c r="K22" s="32" t="s">
        <v>59</v>
      </c>
      <c r="L22" s="32" t="s">
        <v>59</v>
      </c>
      <c r="M22" s="26" t="s">
        <v>67</v>
      </c>
    </row>
    <row r="23" spans="1:13" x14ac:dyDescent="0.3">
      <c r="A23" s="18" t="s">
        <v>23</v>
      </c>
      <c r="B23" s="9" t="s">
        <v>29</v>
      </c>
      <c r="C23" s="9" t="s">
        <v>104</v>
      </c>
      <c r="D23" s="9">
        <v>4096</v>
      </c>
      <c r="E23" s="9" t="s">
        <v>52</v>
      </c>
      <c r="F23" s="9" t="s">
        <v>42</v>
      </c>
      <c r="G23" s="9" t="s">
        <v>44</v>
      </c>
      <c r="H23" s="9" t="s">
        <v>60</v>
      </c>
      <c r="I23" s="32" t="s">
        <v>35</v>
      </c>
      <c r="J23" s="32" t="s">
        <v>59</v>
      </c>
      <c r="K23" s="32" t="s">
        <v>35</v>
      </c>
      <c r="L23" s="32" t="s">
        <v>59</v>
      </c>
      <c r="M23" s="26" t="s">
        <v>66</v>
      </c>
    </row>
    <row r="24" spans="1:13" x14ac:dyDescent="0.3">
      <c r="A24" s="71" t="s">
        <v>23</v>
      </c>
      <c r="B24" s="63" t="s">
        <v>30</v>
      </c>
      <c r="C24" s="63" t="s">
        <v>104</v>
      </c>
      <c r="D24" s="63"/>
      <c r="E24" s="63"/>
      <c r="F24" s="63" t="s">
        <v>43</v>
      </c>
      <c r="G24" s="63"/>
      <c r="H24" s="64"/>
      <c r="I24" s="65"/>
      <c r="J24" s="65"/>
      <c r="K24" s="65"/>
      <c r="L24" s="65"/>
      <c r="M24" s="72"/>
    </row>
    <row r="25" spans="1:13" x14ac:dyDescent="0.3">
      <c r="A25" s="71" t="s">
        <v>23</v>
      </c>
      <c r="B25" s="63" t="s">
        <v>30</v>
      </c>
      <c r="C25" s="63" t="s">
        <v>104</v>
      </c>
      <c r="D25" s="63"/>
      <c r="E25" s="63"/>
      <c r="F25" s="63" t="s">
        <v>43</v>
      </c>
      <c r="G25" s="63"/>
      <c r="H25" s="63"/>
      <c r="I25" s="66"/>
      <c r="J25" s="66"/>
      <c r="K25" s="66"/>
      <c r="L25" s="66"/>
      <c r="M25" s="73"/>
    </row>
    <row r="26" spans="1:13" x14ac:dyDescent="0.3">
      <c r="A26" s="71" t="s">
        <v>23</v>
      </c>
      <c r="B26" s="63" t="s">
        <v>30</v>
      </c>
      <c r="C26" s="63" t="s">
        <v>104</v>
      </c>
      <c r="D26" s="63"/>
      <c r="E26" s="63"/>
      <c r="F26" s="63" t="s">
        <v>43</v>
      </c>
      <c r="G26" s="63"/>
      <c r="H26" s="63"/>
      <c r="I26" s="66"/>
      <c r="J26" s="66"/>
      <c r="K26" s="66"/>
      <c r="L26" s="66"/>
      <c r="M26" s="73"/>
    </row>
    <row r="27" spans="1:13" ht="17.25" thickBot="1" x14ac:dyDescent="0.35">
      <c r="A27" s="74" t="s">
        <v>23</v>
      </c>
      <c r="B27" s="75" t="s">
        <v>30</v>
      </c>
      <c r="C27" s="75" t="s">
        <v>104</v>
      </c>
      <c r="D27" s="76">
        <v>4096</v>
      </c>
      <c r="E27" s="76" t="s">
        <v>73</v>
      </c>
      <c r="F27" s="75" t="s">
        <v>43</v>
      </c>
      <c r="G27" s="76" t="s">
        <v>44</v>
      </c>
      <c r="H27" s="77" t="s">
        <v>60</v>
      </c>
      <c r="I27" s="78" t="s">
        <v>59</v>
      </c>
      <c r="J27" s="78" t="s">
        <v>59</v>
      </c>
      <c r="K27" s="78" t="s">
        <v>69</v>
      </c>
      <c r="L27" s="78" t="s">
        <v>59</v>
      </c>
      <c r="M27" s="79" t="s">
        <v>65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32</v>
      </c>
      <c r="C29" s="13" t="s">
        <v>105</v>
      </c>
      <c r="D29" s="13"/>
      <c r="E29" s="13"/>
      <c r="F29" s="13" t="s">
        <v>42</v>
      </c>
      <c r="G29" s="13" t="s">
        <v>45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32</v>
      </c>
      <c r="C30" s="4" t="s">
        <v>105</v>
      </c>
      <c r="D30" s="4"/>
      <c r="E30" s="4"/>
      <c r="F30" s="4" t="s">
        <v>42</v>
      </c>
      <c r="G30" s="4" t="s">
        <v>45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29</v>
      </c>
      <c r="C31" s="9" t="s">
        <v>105</v>
      </c>
      <c r="D31" s="9">
        <v>4095</v>
      </c>
      <c r="E31" s="9" t="s">
        <v>49</v>
      </c>
      <c r="F31" s="9" t="s">
        <v>42</v>
      </c>
      <c r="G31" s="9" t="s">
        <v>45</v>
      </c>
      <c r="H31" s="9" t="s">
        <v>60</v>
      </c>
      <c r="I31" s="32" t="s">
        <v>61</v>
      </c>
      <c r="J31" s="32" t="s">
        <v>59</v>
      </c>
      <c r="K31" s="32" t="s">
        <v>59</v>
      </c>
      <c r="L31" s="32" t="s">
        <v>59</v>
      </c>
      <c r="M31" s="26" t="s">
        <v>67</v>
      </c>
    </row>
    <row r="32" spans="1:13" x14ac:dyDescent="0.3">
      <c r="A32" s="9" t="s">
        <v>23</v>
      </c>
      <c r="B32" s="9" t="s">
        <v>29</v>
      </c>
      <c r="C32" s="9" t="s">
        <v>105</v>
      </c>
      <c r="D32" s="9">
        <v>4096</v>
      </c>
      <c r="E32" s="9" t="s">
        <v>52</v>
      </c>
      <c r="F32" s="9" t="s">
        <v>42</v>
      </c>
      <c r="G32" s="9" t="s">
        <v>44</v>
      </c>
      <c r="H32" s="9" t="s">
        <v>60</v>
      </c>
      <c r="I32" s="32" t="s">
        <v>35</v>
      </c>
      <c r="J32" s="32" t="s">
        <v>59</v>
      </c>
      <c r="K32" s="32" t="s">
        <v>35</v>
      </c>
      <c r="L32" s="32" t="s">
        <v>59</v>
      </c>
      <c r="M32" s="9" t="s">
        <v>66</v>
      </c>
    </row>
    <row r="33" spans="1:13" x14ac:dyDescent="0.3">
      <c r="A33" s="6" t="s">
        <v>23</v>
      </c>
      <c r="B33" s="6" t="s">
        <v>32</v>
      </c>
      <c r="C33" s="6" t="s">
        <v>105</v>
      </c>
      <c r="D33" s="12">
        <v>200</v>
      </c>
      <c r="E33" s="12" t="s">
        <v>47</v>
      </c>
      <c r="F33" s="12" t="s">
        <v>43</v>
      </c>
      <c r="G33" s="12" t="s">
        <v>45</v>
      </c>
      <c r="H33" s="12" t="s">
        <v>58</v>
      </c>
      <c r="I33" s="33" t="s">
        <v>71</v>
      </c>
      <c r="J33" s="33" t="s">
        <v>59</v>
      </c>
      <c r="K33" s="33" t="s">
        <v>68</v>
      </c>
      <c r="L33" s="33" t="s">
        <v>77</v>
      </c>
      <c r="M33" s="27" t="s">
        <v>70</v>
      </c>
    </row>
    <row r="34" spans="1:13" x14ac:dyDescent="0.3">
      <c r="A34" s="6" t="s">
        <v>23</v>
      </c>
      <c r="B34" s="6" t="s">
        <v>32</v>
      </c>
      <c r="C34" s="6" t="s">
        <v>105</v>
      </c>
      <c r="D34" s="6"/>
      <c r="E34" s="6"/>
      <c r="F34" s="6" t="s">
        <v>43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32</v>
      </c>
      <c r="C35" s="6" t="s">
        <v>105</v>
      </c>
      <c r="D35" s="6"/>
      <c r="E35" s="6"/>
      <c r="F35" s="6" t="s">
        <v>43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32</v>
      </c>
      <c r="C36" s="6" t="s">
        <v>105</v>
      </c>
      <c r="D36" s="11">
        <v>4096</v>
      </c>
      <c r="E36" s="11" t="s">
        <v>73</v>
      </c>
      <c r="F36" s="6" t="s">
        <v>43</v>
      </c>
      <c r="G36" s="11" t="s">
        <v>44</v>
      </c>
      <c r="H36" s="10" t="s">
        <v>60</v>
      </c>
      <c r="I36" s="37" t="s">
        <v>59</v>
      </c>
      <c r="J36" s="37" t="s">
        <v>59</v>
      </c>
      <c r="K36" s="37" t="s">
        <v>69</v>
      </c>
      <c r="L36" s="37" t="s">
        <v>59</v>
      </c>
      <c r="M36" s="11" t="s">
        <v>65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107</v>
      </c>
      <c r="C1" s="58" t="s">
        <v>3</v>
      </c>
      <c r="D1" s="58" t="s">
        <v>106</v>
      </c>
      <c r="E1" s="58" t="s">
        <v>108</v>
      </c>
      <c r="F1" s="58" t="s">
        <v>147</v>
      </c>
      <c r="G1" s="58" t="s">
        <v>144</v>
      </c>
      <c r="H1" s="58" t="s">
        <v>110</v>
      </c>
      <c r="I1" s="58" t="s">
        <v>111</v>
      </c>
      <c r="J1" s="58" t="s">
        <v>159</v>
      </c>
      <c r="K1" s="59" t="s">
        <v>112</v>
      </c>
      <c r="L1" s="59" t="s">
        <v>113</v>
      </c>
      <c r="M1" s="59" t="s">
        <v>114</v>
      </c>
      <c r="N1" s="59" t="s">
        <v>116</v>
      </c>
      <c r="O1" s="58" t="s">
        <v>120</v>
      </c>
    </row>
    <row r="2" spans="1:15" x14ac:dyDescent="0.3">
      <c r="A2" s="56" t="s">
        <v>23</v>
      </c>
      <c r="B2" s="56" t="s">
        <v>91</v>
      </c>
      <c r="C2" s="56" t="s">
        <v>24</v>
      </c>
      <c r="D2" s="56" t="s">
        <v>121</v>
      </c>
      <c r="E2" s="56" t="s">
        <v>122</v>
      </c>
      <c r="F2" s="56" t="s">
        <v>145</v>
      </c>
      <c r="G2" s="56"/>
      <c r="H2" s="56" t="s">
        <v>109</v>
      </c>
      <c r="I2" s="56" t="s">
        <v>154</v>
      </c>
      <c r="J2" s="56" t="s">
        <v>81</v>
      </c>
      <c r="K2" s="56" t="s">
        <v>82</v>
      </c>
      <c r="L2" s="56" t="s">
        <v>89</v>
      </c>
      <c r="M2" s="56" t="s">
        <v>115</v>
      </c>
      <c r="N2" s="56" t="s">
        <v>117</v>
      </c>
      <c r="O2" s="56" t="s">
        <v>119</v>
      </c>
    </row>
    <row r="3" spans="1:15" x14ac:dyDescent="0.3">
      <c r="A3" s="56" t="s">
        <v>23</v>
      </c>
      <c r="B3" s="56" t="s">
        <v>91</v>
      </c>
      <c r="C3" s="56" t="s">
        <v>24</v>
      </c>
      <c r="D3" s="56" t="s">
        <v>134</v>
      </c>
      <c r="E3" s="56" t="s">
        <v>122</v>
      </c>
      <c r="F3" s="56" t="s">
        <v>146</v>
      </c>
      <c r="G3" s="56">
        <v>1</v>
      </c>
      <c r="H3" s="56" t="s">
        <v>109</v>
      </c>
      <c r="I3" s="56" t="s">
        <v>155</v>
      </c>
      <c r="J3" s="56" t="s">
        <v>81</v>
      </c>
      <c r="K3" s="56" t="s">
        <v>82</v>
      </c>
      <c r="L3" s="56" t="s">
        <v>90</v>
      </c>
      <c r="M3" s="56" t="s">
        <v>115</v>
      </c>
      <c r="N3" s="56" t="s">
        <v>135</v>
      </c>
      <c r="O3" s="56" t="s">
        <v>119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106</v>
      </c>
      <c r="C1" s="58" t="s">
        <v>123</v>
      </c>
      <c r="D1" s="58" t="s">
        <v>53</v>
      </c>
      <c r="E1" s="58" t="s">
        <v>125</v>
      </c>
      <c r="F1" s="59" t="s">
        <v>126</v>
      </c>
      <c r="G1" s="59" t="s">
        <v>130</v>
      </c>
      <c r="H1" s="59" t="s">
        <v>131</v>
      </c>
    </row>
    <row r="2" spans="1:8" x14ac:dyDescent="0.3">
      <c r="A2" s="56" t="s">
        <v>23</v>
      </c>
      <c r="B2" s="56" t="s">
        <v>121</v>
      </c>
      <c r="C2" s="56" t="s">
        <v>124</v>
      </c>
      <c r="D2" s="56" t="s">
        <v>58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121</v>
      </c>
      <c r="C3" s="56" t="s">
        <v>132</v>
      </c>
      <c r="D3" s="56" t="s">
        <v>58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121</v>
      </c>
      <c r="C4" s="56" t="s">
        <v>127</v>
      </c>
      <c r="D4" s="56" t="s">
        <v>128</v>
      </c>
      <c r="E4" s="56">
        <v>443</v>
      </c>
      <c r="F4" s="60" t="s">
        <v>129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121</v>
      </c>
      <c r="C5" s="56" t="s">
        <v>160</v>
      </c>
      <c r="D5" s="56" t="s">
        <v>133</v>
      </c>
      <c r="E5" s="56">
        <v>80</v>
      </c>
      <c r="F5" s="60" t="s">
        <v>129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134</v>
      </c>
      <c r="C6" s="61" t="s">
        <v>124</v>
      </c>
      <c r="D6" s="61" t="s">
        <v>58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134</v>
      </c>
      <c r="C7" s="61" t="s">
        <v>156</v>
      </c>
      <c r="D7" s="61" t="s">
        <v>58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134</v>
      </c>
      <c r="C8" s="61" t="s">
        <v>127</v>
      </c>
      <c r="D8" s="61" t="s">
        <v>128</v>
      </c>
      <c r="E8" s="61">
        <v>443</v>
      </c>
      <c r="F8" s="62" t="s">
        <v>129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134</v>
      </c>
      <c r="C9" s="61" t="s">
        <v>160</v>
      </c>
      <c r="D9" s="61" t="s">
        <v>133</v>
      </c>
      <c r="E9" s="61">
        <v>80</v>
      </c>
      <c r="F9" s="62" t="s">
        <v>129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106</v>
      </c>
      <c r="C1" s="58" t="s">
        <v>136</v>
      </c>
      <c r="D1" s="58" t="s">
        <v>111</v>
      </c>
      <c r="E1" s="59" t="s">
        <v>138</v>
      </c>
      <c r="F1" s="59" t="s">
        <v>137</v>
      </c>
      <c r="G1" s="59" t="s">
        <v>158</v>
      </c>
      <c r="H1" s="58" t="s">
        <v>120</v>
      </c>
      <c r="I1" s="59" t="s">
        <v>139</v>
      </c>
      <c r="J1" s="59" t="s">
        <v>123</v>
      </c>
      <c r="K1" s="59" t="s">
        <v>141</v>
      </c>
      <c r="L1" s="59" t="s">
        <v>142</v>
      </c>
      <c r="M1" s="59" t="s">
        <v>157</v>
      </c>
      <c r="N1" s="59" t="s">
        <v>140</v>
      </c>
    </row>
    <row r="2" spans="1:14" x14ac:dyDescent="0.3">
      <c r="A2" s="56" t="s">
        <v>23</v>
      </c>
      <c r="B2" s="56" t="s">
        <v>121</v>
      </c>
      <c r="C2" s="56" t="s">
        <v>148</v>
      </c>
      <c r="D2" s="56" t="s">
        <v>154</v>
      </c>
      <c r="E2" s="56" t="s">
        <v>58</v>
      </c>
      <c r="F2" s="56">
        <v>80</v>
      </c>
      <c r="G2" s="56" t="b">
        <v>0</v>
      </c>
      <c r="H2" s="56" t="s">
        <v>119</v>
      </c>
      <c r="I2" s="56">
        <v>80</v>
      </c>
      <c r="J2" s="56" t="s">
        <v>124</v>
      </c>
      <c r="K2" s="56">
        <v>4</v>
      </c>
      <c r="L2" s="56" t="s">
        <v>143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121</v>
      </c>
      <c r="C3" s="56" t="s">
        <v>149</v>
      </c>
      <c r="D3" s="56" t="s">
        <v>154</v>
      </c>
      <c r="E3" s="56" t="s">
        <v>58</v>
      </c>
      <c r="F3" s="56">
        <v>8080</v>
      </c>
      <c r="G3" s="56" t="b">
        <v>0</v>
      </c>
      <c r="H3" s="56" t="s">
        <v>118</v>
      </c>
      <c r="I3" s="56">
        <v>8080</v>
      </c>
      <c r="J3" s="56" t="s">
        <v>132</v>
      </c>
      <c r="K3" s="56">
        <v>4</v>
      </c>
      <c r="L3" s="56" t="s">
        <v>143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134</v>
      </c>
      <c r="C4" s="56" t="s">
        <v>150</v>
      </c>
      <c r="D4" s="56" t="s">
        <v>155</v>
      </c>
      <c r="E4" s="56" t="s">
        <v>58</v>
      </c>
      <c r="F4" s="56">
        <v>443</v>
      </c>
      <c r="G4" s="56" t="b">
        <v>0</v>
      </c>
      <c r="H4" s="56" t="s">
        <v>118</v>
      </c>
      <c r="I4" s="56">
        <v>443</v>
      </c>
      <c r="J4" s="56" t="s">
        <v>127</v>
      </c>
      <c r="K4" s="56">
        <v>4</v>
      </c>
      <c r="L4" s="56" t="s">
        <v>152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134</v>
      </c>
      <c r="C5" s="56" t="s">
        <v>151</v>
      </c>
      <c r="D5" s="56" t="s">
        <v>155</v>
      </c>
      <c r="E5" s="56" t="s">
        <v>58</v>
      </c>
      <c r="F5" s="56">
        <v>22</v>
      </c>
      <c r="G5" s="56" t="b">
        <v>0</v>
      </c>
      <c r="H5" s="56" t="s">
        <v>118</v>
      </c>
      <c r="I5" s="56">
        <v>22</v>
      </c>
      <c r="J5" s="56" t="s">
        <v>156</v>
      </c>
      <c r="K5" s="56">
        <v>4</v>
      </c>
      <c r="L5" s="56" t="s">
        <v>153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UDR</vt:lpstr>
      <vt:lpstr>NSG_Rule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2026-04-23T02:37:48Z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