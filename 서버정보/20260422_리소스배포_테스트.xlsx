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427039E-54CD-4D45-8059-E592C7171A1E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LB_Rule!$A$1:$R$88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8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9" i="11"/>
  <c r="F80" i="11"/>
  <c r="F81" i="11"/>
  <c r="F82" i="11"/>
  <c r="F83" i="11"/>
  <c r="F84" i="11"/>
  <c r="F85" i="11"/>
  <c r="F86" i="11"/>
  <c r="F87" i="11"/>
  <c r="F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9" i="11"/>
  <c r="E80" i="11"/>
  <c r="E81" i="11"/>
  <c r="E82" i="11"/>
  <c r="E83" i="11"/>
  <c r="E84" i="11"/>
  <c r="E85" i="11"/>
  <c r="E86" i="11"/>
  <c r="E87" i="11"/>
  <c r="E88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9" i="11"/>
  <c r="M80" i="11"/>
  <c r="M81" i="11"/>
  <c r="M82" i="11"/>
  <c r="M83" i="11"/>
  <c r="M84" i="11"/>
  <c r="M85" i="11"/>
  <c r="M86" i="11"/>
  <c r="M87" i="11"/>
  <c r="M88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K2" i="11"/>
  <c r="K3" i="11"/>
  <c r="K4" i="11"/>
  <c r="K5" i="11"/>
  <c r="K6" i="11"/>
  <c r="G3" i="11"/>
  <c r="G4" i="11"/>
  <c r="G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<sst xmlns="http://schemas.openxmlformats.org/spreadsheetml/2006/main" count="4783" uniqueCount="633">
  <si>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</si>
  <si>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</si>
  <si>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</si>
  <si>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</si>
  <si>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</si>
  <si>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</si>
  <si>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</si>
  <si>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</si>
  <si>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</si>
  <si>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</si>
  <si>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</si>
  <si>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</si>
  <si>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</si>
  <si>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</si>
  <si>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</si>
  <si>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</si>
  <si>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</si>
  <si>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</si>
  <si>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</si>
  <si>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</si>
  <si>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</si>
  <si>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</si>
  <si>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</si>
  <si>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</si>
  <si>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</si>
  <si>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</si>
  <si>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</si>
  <si>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</si>
  <si>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</si>
  <si>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</si>
  <si>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</si>
  <si>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</si>
  <si>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</si>
  <si>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</si>
  <si>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</si>
  <si>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</si>
  <si>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</si>
  <si>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</si>
  <si>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</si>
  <si>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</si>
  <si>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</si>
  <si>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</si>
  <si>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</si>
  <si>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</si>
  <si>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</si>
  <si>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</si>
  <si>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</si>
  <si>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</si>
  <si>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</si>
  <si>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</si>
  <si>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</si>
  <si>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</si>
  <si>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</si>
  <si>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</si>
  <si>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</si>
  <si>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</si>
  <si>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</si>
  <si>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</si>
  <si>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</si>
  <si>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</si>
  <si>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</si>
  <si>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</si>
  <si>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</si>
  <si>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</si>
  <si>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</si>
  <si>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</si>
  <si>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</si>
  <si>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</si>
  <si>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</si>
  <si>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</si>
  <si>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</si>
  <si>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</si>
  <si>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</si>
  <si>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</si>
  <si>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</si>
  <si>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</si>
  <si>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</si>
  <si>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</si>
  <si>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</si>
  <si>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</si>
  <si>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</si>
  <si>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</si>
  <si>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</si>
  <si>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</si>
  <si>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</si>
  <si>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</si>
  <si>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</si>
  <si>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</si>
  <si>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</si>
  <si>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</si>
  <si>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</si>
  <si>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</si>
  <si>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</si>
  <si>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</si>
  <si>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</si>
  <si>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</si>
  <si>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</si>
  <si>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</si>
  <si>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</si>
  <si>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</si>
  <si>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</si>
  <si>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</si>
  <si>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</si>
  <si>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</si>
  <si>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</si>
  <si>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</si>
  <si>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</si>
  <si>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</si>
  <si>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</si>
  <si>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</si>
  <si>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</si>
  <si>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</si>
  <si>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</si>
  <si>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</si>
  <si>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</si>
  <si>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</si>
  <si>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</si>
  <si>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</si>
  <si>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</si>
  <si>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</si>
  <si>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</si>
  <si>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</si>
  <si>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</si>
  <si>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</si>
  <si>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</si>
  <si>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</si>
  <si>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</si>
  <si>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</si>
  <si>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</si>
  <si>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</si>
  <si>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</si>
  <si>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</si>
  <si>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</si>
  <si>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</si>
  <si>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</si>
  <si>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</si>
  <si>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</si>
  <si>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</si>
  <si>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</si>
  <si>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</si>
  <si>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</si>
  <si>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</si>
  <si>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</si>
  <si>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</si>
  <si>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</si>
  <si>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</si>
  <si>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</si>
  <si>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</si>
  <si>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</si>
  <si>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</si>
  <si>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</si>
  <si>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</si>
  <si>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</si>
  <si>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</si>
  <si>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</si>
  <si>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</si>
  <si>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</si>
  <si>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</si>
  <si>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</si>
  <si>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</si>
  <si>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</si>
  <si>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</si>
  <si>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</si>
  <si>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</si>
  <si>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</si>
  <si>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</si>
  <si>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</si>
  <si>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</si>
  <si>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</si>
  <si>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</si>
  <si>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</si>
  <si>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</si>
  <si>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</si>
  <si>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</si>
  <si>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</si>
  <si>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</si>
  <si>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</si>
  <si>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</si>
  <si>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</si>
  <si>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</si>
  <si>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</si>
  <si>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</si>
  <si>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</si>
  <si>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</si>
  <si>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</si>
  <si>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</si>
  <si>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</si>
  <si>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</si>
  <si>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</si>
  <si>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</si>
  <si>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</si>
  <si>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</si>
  <si>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</si>
  <si>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</si>
  <si>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</si>
  <si>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</si>
  <si>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</si>
  <si>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</si>
  <si>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</si>
  <si>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</si>
  <si>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</si>
  <si>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</si>
  <si>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</si>
  <si>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</si>
  <si>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</si>
  <si>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</si>
  <si>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</si>
  <si>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</si>
  <si>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</si>
  <si>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</si>
  <si>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</si>
  <si>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</si>
  <si>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</si>
  <si>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</si>
  <si>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</si>
  <si>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</si>
  <si>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</si>
  <si>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</si>
  <si>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</si>
  <si>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</si>
  <si>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</si>
  <si>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</si>
  <si>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</si>
  <si>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</si>
  <si>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</si>
  <si>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</si>
  <si>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</si>
  <si>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</si>
  <si>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</si>
  <si>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</si>
  <si>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</si>
  <si>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</si>
  <si>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</si>
  <si>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</si>
  <si>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</si>
  <si>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</si>
  <si>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</si>
  <si>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</si>
  <si>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</si>
  <si>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</si>
  <si>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</si>
  <si>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</si>
  <si>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</si>
  <si>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</si>
  <si>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</si>
  <si>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</si>
  <si>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</si>
  <si>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</si>
  <si>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</si>
  <si>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</si>
  <si>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</si>
  <si>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</si>
  <si>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</si>
  <si>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</si>
  <si>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</si>
  <si>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</si>
  <si>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</si>
  <si>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</si>
  <si>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</si>
  <si>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</si>
  <si>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</si>
  <si>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</si>
  <si>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</si>
  <si>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</si>
  <si>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</si>
  <si>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</si>
  <si>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</si>
  <si>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</si>
  <si>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</si>
  <si>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</si>
  <si>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</si>
  <si>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</si>
  <si>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</si>
  <si>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</si>
  <si>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</si>
  <si>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</si>
  <si>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</si>
  <si>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</si>
  <si>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</si>
  <si>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</si>
  <si>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</si>
  <si>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</si>
  <si>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</si>
  <si>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</si>
  <si>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</si>
  <si>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</si>
  <si>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</si>
  <si>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</si>
  <si>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</si>
  <si>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</si>
  <si>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</si>
  <si>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</si>
  <si>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</si>
  <si>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</si>
  <si>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</si>
  <si>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</si>
  <si>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</si>
  <si>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</si>
  <si>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</si>
  <si>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</si>
  <si>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</si>
  <si>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</si>
  <si>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</si>
  <si>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</si>
  <si>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</si>
  <si>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</si>
  <si>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</si>
  <si>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</si>
  <si>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</si>
  <si>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</si>
  <si>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</si>
  <si>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</si>
  <si>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</si>
  <si>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</si>
  <si>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</si>
  <si>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</si>
  <si>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</si>
  <si>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</si>
  <si>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</si>
  <si>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</si>
  <si>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</si>
  <si>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</si>
  <si>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</si>
  <si>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</si>
  <si>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</si>
  <si>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</si>
  <si>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</si>
  <si>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</si>
  <si>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</si>
  <si>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</si>
  <si>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</si>
  <si>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</si>
  <si>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</si>
  <si>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</si>
  <si>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</si>
  <si>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</si>
  <si>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</si>
  <si>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</si>
  <si>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</si>
  <si>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</si>
  <si>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</si>
  <si>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</si>
  <si>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</si>
  <si>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</si>
  <si>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</si>
  <si>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</si>
  <si>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</si>
  <si>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</si>
  <si>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</si>
  <si>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</si>
  <si>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</si>
  <si>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</si>
  <si>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</si>
  <si>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</si>
  <si>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</si>
  <si>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</si>
  <si>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</si>
  <si>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</si>
  <si>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</si>
  <si>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</si>
  <si>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</si>
  <si>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</si>
  <si>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</si>
  <si>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</si>
  <si>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</si>
  <si>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</si>
  <si>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</si>
  <si>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</si>
  <si>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</si>
  <si>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</si>
  <si>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</si>
  <si>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</si>
  <si>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</si>
  <si>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</si>
  <si>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</si>
  <si>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</si>
  <si>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</si>
  <si>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</si>
  <si>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</si>
  <si>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</si>
  <si>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</si>
  <si>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</si>
  <si>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</si>
  <si>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</si>
  <si>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</si>
  <si>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</si>
  <si>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</si>
  <si>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</si>
  <si>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</si>
  <si>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</si>
  <si>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</si>
  <si>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</si>
  <si>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</si>
  <si>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</si>
  <si>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</si>
  <si>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</si>
  <si>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</si>
  <si>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</si>
  <si>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</si>
  <si>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</si>
  <si>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</si>
  <si>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</si>
  <si>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</si>
  <si>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</si>
  <si>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</si>
  <si>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</si>
  <si>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</si>
  <si>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</si>
  <si>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</si>
  <si>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</si>
  <si>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</si>
  <si>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</si>
  <si>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</si>
  <si>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</si>
  <si>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</si>
  <si>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</si>
  <si>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</si>
  <si>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</si>
  <si>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</si>
  <si>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</si>
  <si>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</si>
  <si>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</si>
  <si>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</si>
  <si>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</si>
  <si>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</si>
  <si>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</si>
  <si>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</si>
  <si>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</si>
  <si>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</si>
  <si>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</si>
  <si>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</si>
  <si>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</si>
  <si>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</si>
  <si>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</si>
  <si>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</si>
  <si>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</si>
  <si>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</si>
  <si>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</si>
  <si>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</si>
  <si>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</si>
  <si>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</si>
  <si>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</si>
  <si>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</si>
  <si>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</si>
  <si>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</si>
  <si>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</si>
  <si>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</si>
  <si>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</si>
  <si>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</si>
  <si>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</si>
  <si>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</si>
  <si>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</si>
  <si>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</si>
  <si>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</si>
  <si>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</si>
  <si>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</si>
  <si>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</si>
  <si>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</si>
  <si>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</si>
  <si>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</si>
  <si>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</si>
  <si>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</si>
  <si>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</si>
  <si>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</si>
  <si>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</si>
  <si>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</si>
  <si>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</si>
  <si>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</si>
  <si>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</si>
  <si>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</si>
  <si>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</si>
  <si>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</si>
  <si>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</si>
  <si>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</si>
  <si>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</si>
  <si>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</si>
  <si>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</si>
  <si>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</si>
  <si>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</si>
  <si>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</si>
  <si>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</si>
  <si>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</si>
  <si>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</si>
  <si>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</si>
  <si>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</si>
  <si>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</si>
  <si>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</si>
  <si>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</si>
  <si>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</si>
  <si>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</si>
  <si>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</si>
  <si>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</si>
  <si>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</si>
  <si>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</si>
  <si>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</si>
  <si>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</si>
  <si>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</si>
  <si>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</si>
  <si>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</si>
  <si>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</si>
  <si>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</si>
  <si>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</si>
  <si>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</si>
  <si>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</si>
  <si>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</si>
  <si>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</si>
  <si>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</si>
  <si>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</si>
  <si>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</si>
  <si>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</si>
  <si>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</si>
  <si>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</si>
  <si>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</si>
  <si>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</si>
  <si>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</si>
  <si>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</si>
  <si>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</si>
  <si>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</si>
  <si>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</si>
  <si>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</si>
  <si>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</si>
  <si>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</si>
  <si>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</si>
  <si>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</si>
  <si>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</si>
  <si>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</si>
  <si>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</si>
  <si>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</si>
  <si>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</si>
  <si>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</si>
  <si>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</si>
  <si>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</si>
  <si>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</si>
  <si>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</si>
  <si>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</si>
  <si>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</si>
  <si>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</si>
  <si>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</si>
  <si>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</si>
  <si>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</si>
  <si>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</si>
  <si>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</si>
  <si>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</si>
  <si>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</si>
  <si>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</si>
  <si>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</si>
  <si>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</si>
  <si>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</si>
  <si>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</si>
  <si>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</si>
  <si>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</si>
  <si>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</si>
  <si>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</si>
  <si>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</si>
  <si>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</si>
  <si>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</si>
  <si>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</si>
  <si>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</si>
  <si>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</si>
  <si>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</si>
  <si>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</si>
  <si>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</si>
  <si>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</si>
  <si>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</si>
  <si>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</si>
  <si>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</si>
  <si>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</si>
  <si>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</si>
  <si>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</si>
  <si>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</si>
  <si>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</si>
  <si>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</si>
  <si>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</si>
  <si>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</si>
  <si>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</si>
  <si>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</si>
  <si>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</si>
  <si>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</si>
  <si>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</si>
  <si>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</si>
  <si>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</si>
  <si>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</si>
  <si>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</si>
  <si>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</si>
  <si>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</si>
  <si>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</si>
  <si>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</si>
  <si>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</si>
  <si>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</si>
  <si>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</si>
  <si>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</si>
  <si>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</si>
  <si>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</si>
  <si>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</si>
  <si>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</si>
  <si>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</si>
  <si>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</si>
  <si>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</si>
  <si>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</si>
  <si>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</si>
  <si>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</si>
  <si>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</si>
  <si>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</si>
  <si>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</si>
  <si>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</si>
  <si>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</si>
  <si>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</si>
  <si>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</si>
  <si>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</si>
  <si>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</si>
  <si>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</si>
  <si>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</si>
  <si>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</si>
  <si>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</si>
  <si>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</si>
  <si>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</si>
  <si>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</si>
  <si>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</si>
  <si>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</si>
  <si>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</si>
  <si>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</si>
  <si>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</si>
  <si>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</si>
  <si>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</si>
  <si>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</si>
  <si>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</si>
  <si>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</si>
  <si>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</si>
  <si>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</si>
  <si>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</si>
  <si>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</si>
  <si>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</si>
  <si>
    <t>OldRuleName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</si>
</sst>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topLeftCell="A13" workbookViewId="0">
      <selection activeCell="I22" sqref="I22:I23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88" t="str">
        <f t="shared" ref="E2:E33" si="0">SUBSTITUTE(D2, "hazr-", "")&amp;"-pb"&amp;G2</f>
        <v>t-dtg-web-lb-pb8080</v>
      </c>
      <c r="F2" s="74" t="s">
        <v>57</v>
      </c>
      <c r="G2" s="74">
        <v>8080</v>
      </c>
      <c r="H2" s="74"/>
      <c r="I2" s="74">
        <v>5</v>
      </c>
      <c r="J2" s="74">
        <v>2</v>
      </c>
    </row>
    <row r="3" spans="1:10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88" t="str">
        <f t="shared" si="0"/>
        <v>t-dtg-web-lb-pb8081</v>
      </c>
      <c r="F3" s="74" t="s">
        <v>57</v>
      </c>
      <c r="G3" s="74">
        <v>8081</v>
      </c>
      <c r="H3" s="74"/>
      <c r="I3" s="74">
        <v>5</v>
      </c>
      <c r="J3" s="74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 t="shared" si="0"/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 t="shared" si="0"/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 t="shared" si="0"/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88" t="str">
        <f t="shared" si="0"/>
        <v>t-dtg-extgeoap-lb-pb3660</v>
      </c>
      <c r="F9" s="74" t="s">
        <v>57</v>
      </c>
      <c r="G9" s="74">
        <v>3660</v>
      </c>
      <c r="H9" s="74"/>
      <c r="I9" s="74">
        <v>5</v>
      </c>
      <c r="J9" s="74">
        <v>2</v>
      </c>
    </row>
    <row r="10" spans="1:10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88" t="str">
        <f t="shared" si="0"/>
        <v>t-dtg-extgeoap-lb-pb3661</v>
      </c>
      <c r="F10" s="74" t="s">
        <v>57</v>
      </c>
      <c r="G10" s="74">
        <v>3661</v>
      </c>
      <c r="H10" s="74"/>
      <c r="I10" s="74">
        <v>5</v>
      </c>
      <c r="J10" s="74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 t="shared" si="0"/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 t="shared" si="0"/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 t="shared" si="0"/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 t="shared" si="0"/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 t="shared" si="0"/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 t="shared" si="0"/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 t="shared" si="0"/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 t="shared" si="0"/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 t="shared" si="0"/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 t="shared" si="0"/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 t="shared" si="0"/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 t="shared" si="0"/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 t="shared" si="0"/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 t="shared" si="0"/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74" t="s">
        <v>185</v>
      </c>
      <c r="B25" s="74" t="str" cm="1">
        <f t="array" ref="B25">UPPER(INDEX(_xlfn.TEXTSPLIT($C25, "-"), 3))</f>
        <v>DTG</v>
      </c>
      <c r="C25" s="74" t="s">
        <v>391</v>
      </c>
      <c r="D25" s="74" t="s">
        <v>361</v>
      </c>
      <c r="E25" s="88" t="str">
        <f t="shared" si="0"/>
        <v>t-dtg-admweb-lb-pb8088</v>
      </c>
      <c r="F25" s="74" t="s">
        <v>57</v>
      </c>
      <c r="G25" s="74">
        <v>8088</v>
      </c>
      <c r="H25" s="74"/>
      <c r="I25" s="74">
        <v>5</v>
      </c>
      <c r="J25" s="74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 t="shared" si="0"/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 t="shared" si="0"/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 t="shared" si="0"/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 t="shared" si="0"/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 t="shared" si="0"/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 t="shared" si="0"/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 t="shared" si="0"/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74" t="s">
        <v>185</v>
      </c>
      <c r="B33" s="74" t="str" cm="1">
        <f t="array" ref="B33">UPPER(INDEX(_xlfn.TEXTSPLIT($C33, "-"), 3))</f>
        <v>DIS</v>
      </c>
      <c r="C33" s="74" t="s">
        <v>289</v>
      </c>
      <c r="D33" s="74" t="s">
        <v>350</v>
      </c>
      <c r="E33" s="88" t="str">
        <f t="shared" si="0"/>
        <v>t-dis-walkweb-lb-pb443</v>
      </c>
      <c r="F33" s="74" t="s">
        <v>57</v>
      </c>
      <c r="G33" s="74">
        <v>443</v>
      </c>
      <c r="H33" s="74"/>
      <c r="I33" s="74">
        <v>5</v>
      </c>
      <c r="J33" s="74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 t="shared" ref="E34:E65" si="1"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 t="shared" si="1"/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 t="shared" si="1"/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74" t="s">
        <v>185</v>
      </c>
      <c r="B37" s="74" t="str" cm="1">
        <f t="array" ref="B37">UPPER(INDEX(_xlfn.TEXTSPLIT($C37, "-"), 3))</f>
        <v>DIS</v>
      </c>
      <c r="C37" s="74" t="s">
        <v>289</v>
      </c>
      <c r="D37" s="74" t="s">
        <v>354</v>
      </c>
      <c r="E37" s="88" t="str">
        <f t="shared" si="1"/>
        <v>t-dis-cmsweb-lb-pb80</v>
      </c>
      <c r="F37" s="74" t="s">
        <v>57</v>
      </c>
      <c r="G37" s="74">
        <v>80</v>
      </c>
      <c r="H37" s="74"/>
      <c r="I37" s="74">
        <v>5</v>
      </c>
      <c r="J37" s="74">
        <v>2</v>
      </c>
    </row>
    <row r="38" spans="1:10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88" t="str">
        <f t="shared" si="1"/>
        <v>t-dis-cmsweb-lb-pb443</v>
      </c>
      <c r="F38" s="74" t="s">
        <v>57</v>
      </c>
      <c r="G38" s="74">
        <v>443</v>
      </c>
      <c r="H38" s="74"/>
      <c r="I38" s="74">
        <v>5</v>
      </c>
      <c r="J38" s="74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 t="shared" si="1"/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74" t="s">
        <v>185</v>
      </c>
      <c r="B40" s="74" t="str" cm="1">
        <f t="array" ref="B40">UPPER(INDEX(_xlfn.TEXTSPLIT($C40, "-"), 3))</f>
        <v>DIS</v>
      </c>
      <c r="C40" s="74" t="s">
        <v>289</v>
      </c>
      <c r="D40" s="74" t="s">
        <v>352</v>
      </c>
      <c r="E40" s="88" t="str">
        <f t="shared" si="1"/>
        <v>t-dis-cmsadm-lb-pb443</v>
      </c>
      <c r="F40" s="74" t="s">
        <v>57</v>
      </c>
      <c r="G40" s="74">
        <v>443</v>
      </c>
      <c r="H40" s="74"/>
      <c r="I40" s="74">
        <v>5</v>
      </c>
      <c r="J40" s="74">
        <v>2</v>
      </c>
    </row>
    <row r="41" spans="1:10" x14ac:dyDescent="0.3">
      <c r="A41" s="74" t="s">
        <v>185</v>
      </c>
      <c r="B41" s="74" t="str" cm="1">
        <f t="array" ref="B41">UPPER(INDEX(_xlfn.TEXTSPLIT($C41, "-"), 3))</f>
        <v>DIS</v>
      </c>
      <c r="C41" s="74" t="s">
        <v>289</v>
      </c>
      <c r="D41" s="74" t="s">
        <v>355</v>
      </c>
      <c r="E41" s="88" t="str">
        <f t="shared" si="1"/>
        <v>t-dis-cmbsap-lb-pb8080</v>
      </c>
      <c r="F41" s="74" t="s">
        <v>115</v>
      </c>
      <c r="G41" s="74">
        <v>8080</v>
      </c>
      <c r="H41" s="74" t="s">
        <v>628</v>
      </c>
      <c r="I41" s="74">
        <v>5</v>
      </c>
      <c r="J41" s="74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 t="shared" si="1"/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 t="shared" si="1"/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 t="shared" si="1"/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 t="shared" si="1"/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 t="shared" si="1"/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 t="shared" si="1"/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 t="shared" si="1"/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 t="shared" si="1"/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 t="shared" si="1"/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 t="shared" si="1"/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 t="shared" si="1"/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 t="shared" si="1"/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 t="shared" si="1"/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 t="shared" si="1"/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 t="shared" si="1"/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 t="shared" si="1"/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 t="shared" si="1"/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 t="shared" si="1"/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 t="shared" si="1"/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 t="shared" si="1"/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 t="shared" si="1"/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 t="shared" si="1"/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 t="shared" si="1"/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 t="shared" si="1"/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 t="shared" ref="E66:E88" si="2"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 t="shared" si="2"/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 t="shared" si="2"/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 t="shared" si="2"/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 t="shared" si="2"/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 t="shared" si="2"/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 t="shared" si="2"/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 t="shared" si="2"/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 t="shared" si="2"/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 t="shared" si="2"/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74" t="s">
        <v>185</v>
      </c>
      <c r="B76" s="74" t="str" cm="1">
        <f t="array" ref="B76">UPPER(INDEX(_xlfn.TEXTSPLIT($C76, "-"), 3))</f>
        <v>CS</v>
      </c>
      <c r="C76" s="74" t="s">
        <v>208</v>
      </c>
      <c r="D76" s="74" t="s">
        <v>383</v>
      </c>
      <c r="E76" s="88" t="str">
        <f t="shared" si="2"/>
        <v>t-cs-chtweb-lb-pb</v>
      </c>
      <c r="F76" s="74"/>
      <c r="G76" s="74"/>
      <c r="H76" s="74"/>
      <c r="I76" s="74">
        <v>5</v>
      </c>
      <c r="J76" s="74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 t="shared" si="2"/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 t="shared" si="2"/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 t="shared" si="2"/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 t="shared" si="2"/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 t="shared" si="2"/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 t="shared" si="2"/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 t="shared" si="2"/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 t="shared" si="2"/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 t="shared" si="2"/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74" t="s">
        <v>185</v>
      </c>
      <c r="B86" s="74" t="str" cm="1">
        <f t="array" ref="B86">UPPER(INDEX(_xlfn.TEXTSPLIT($C86, "-"), 3))</f>
        <v>BDP</v>
      </c>
      <c r="C86" s="74" t="s">
        <v>392</v>
      </c>
      <c r="D86" s="74" t="s">
        <v>388</v>
      </c>
      <c r="E86" s="88" t="str">
        <f t="shared" si="2"/>
        <v>t-bdp-crkweb-lb-pb443</v>
      </c>
      <c r="F86" s="74" t="s">
        <v>57</v>
      </c>
      <c r="G86" s="74">
        <v>443</v>
      </c>
      <c r="H86" s="74"/>
      <c r="I86" s="74">
        <v>5</v>
      </c>
      <c r="J86" s="74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 t="shared" si="2"/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 t="shared" si="2"/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8"/>
  <sheetViews>
    <sheetView tabSelected="1" workbookViewId="0">
      <selection activeCell="F1" sqref="F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24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20" max="20" width="22" customWidth="1"/>
    <col min="21" max="21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632</v>
      </c>
      <c r="G1" s="77" t="s">
        <v>104</v>
      </c>
      <c r="H1" s="79" t="s">
        <v>120</v>
      </c>
      <c r="I1" s="79" t="s">
        <v>119</v>
      </c>
      <c r="J1" s="102" t="s">
        <v>130</v>
      </c>
      <c r="K1" s="77" t="s">
        <v>110</v>
      </c>
      <c r="L1" s="79" t="s">
        <v>121</v>
      </c>
      <c r="M1" s="102" t="s">
        <v>112</v>
      </c>
      <c r="N1" s="72" t="s">
        <v>629</v>
      </c>
      <c r="O1" s="102" t="s">
        <v>123</v>
      </c>
      <c r="P1" s="79" t="s">
        <v>124</v>
      </c>
      <c r="Q1" s="102" t="s">
        <v>129</v>
      </c>
      <c r="R1" s="102" t="s">
        <v>122</v>
      </c>
    </row>
    <row r="2" spans="1:18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74" t="str">
        <f>SUBSTITUTE(D2, "hazr-", "")&amp;"-rule"&amp;N2</f>
        <v>t-dtg-web-lb-rule8080</v>
      </c>
      <c r="F2" s="74" t="str">
        <f>SUBSTITUTE(D2, "hazr-", "")&amp;"-rule"</f>
        <v>t-dtg-web-lb-rule</v>
      </c>
      <c r="G2" s="74" t="str">
        <f>SUBSTITUTE(D2, "hazr-", "")&amp;"-fe"</f>
        <v>t-dtg-web-lb-fe</v>
      </c>
      <c r="H2" s="74" t="s">
        <v>57</v>
      </c>
      <c r="I2" s="74">
        <v>8080</v>
      </c>
      <c r="J2" s="74" t="b">
        <v>0</v>
      </c>
      <c r="K2" s="74" t="str">
        <f>SUBSTITUTE(D2, "hazr-", "")&amp;"-bp"</f>
        <v>t-dtg-web-lb-bp</v>
      </c>
      <c r="L2" s="74">
        <v>8080</v>
      </c>
      <c r="M2" s="74" t="str">
        <f>SUBSTITUTE(D2, "hazr-", "")&amp;"-pb"&amp;IF(N2="", "", N2)</f>
        <v>t-dtg-web-lb-pb8080</v>
      </c>
      <c r="N2" s="74">
        <v>8080</v>
      </c>
      <c r="O2" s="74">
        <v>4</v>
      </c>
      <c r="P2" s="74" t="s">
        <v>125</v>
      </c>
      <c r="Q2" s="74" t="b">
        <v>1</v>
      </c>
      <c r="R2" s="74" t="b">
        <v>0</v>
      </c>
    </row>
    <row r="3" spans="1:18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74" t="str">
        <f t="shared" ref="E3:E66" si="0">SUBSTITUTE(D3, "hazr-", "")&amp;"-rule"&amp;N3</f>
        <v>t-dtg-web-lb-rule8081</v>
      </c>
      <c r="F3" s="74" t="str">
        <f t="shared" ref="F3:F66" si="1">SUBSTITUTE(D3, "hazr-", "")&amp;"-rule"</f>
        <v>t-dtg-web-lb-rule</v>
      </c>
      <c r="G3" s="74" t="str">
        <f>SUBSTITUTE(D3, "hazr-", "")&amp;"-fe"</f>
        <v>t-dtg-web-lb-fe</v>
      </c>
      <c r="H3" s="74" t="s">
        <v>57</v>
      </c>
      <c r="I3" s="74">
        <v>8081</v>
      </c>
      <c r="J3" s="74" t="b">
        <v>0</v>
      </c>
      <c r="K3" s="74" t="str">
        <f>SUBSTITUTE(D3, "hazr-", "")&amp;"-bp"</f>
        <v>t-dtg-web-lb-bp</v>
      </c>
      <c r="L3" s="74">
        <v>8081</v>
      </c>
      <c r="M3" s="74" t="str">
        <f t="shared" ref="M3:M66" si="2">SUBSTITUTE(D3, "hazr-", "")&amp;"-pb"&amp;IF(N3="", "", N3)</f>
        <v>t-dtg-web-lb-pb8081</v>
      </c>
      <c r="N3" s="74">
        <v>8081</v>
      </c>
      <c r="O3" s="74">
        <v>4</v>
      </c>
      <c r="P3" s="74" t="s">
        <v>125</v>
      </c>
      <c r="Q3" s="74" t="b">
        <v>1</v>
      </c>
      <c r="R3" s="74" t="b">
        <v>0</v>
      </c>
    </row>
    <row r="4" spans="1:18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 t="shared" si="0"/>
        <v>t-dtg-mq-lb-rule1883</v>
      </c>
      <c r="F4" s="74" t="str">
        <f t="shared" si="1"/>
        <v>t-dtg-mq-lb-rule</v>
      </c>
      <c r="G4" s="84" t="str">
        <f>SUBSTITUTE(D4, "hazr-", "")&amp;"-fe"</f>
        <v>t-dtg-mq-lb-fe</v>
      </c>
      <c r="H4" s="84" t="s">
        <v>57</v>
      </c>
      <c r="I4" s="84">
        <v>1883</v>
      </c>
      <c r="J4" s="84" t="b">
        <v>0</v>
      </c>
      <c r="K4" s="84" t="str">
        <f>SUBSTITUTE(D4, "hazr-", "")&amp;"-bp"</f>
        <v>t-dtg-mq-lb-bp</v>
      </c>
      <c r="L4" s="84">
        <v>1883</v>
      </c>
      <c r="M4" s="84" t="str">
        <f t="shared" si="2"/>
        <v>t-dtg-mq-lb-pb1883</v>
      </c>
      <c r="N4" s="84">
        <v>1883</v>
      </c>
      <c r="O4" s="84">
        <v>4</v>
      </c>
      <c r="P4" s="84" t="s">
        <v>125</v>
      </c>
      <c r="Q4" s="84" t="b">
        <v>1</v>
      </c>
      <c r="R4" s="84" t="b">
        <v>0</v>
      </c>
    </row>
    <row r="5" spans="1:18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 t="shared" si="0"/>
        <v>t-dtg-mq-lb-rule1884</v>
      </c>
      <c r="F5" s="74" t="str">
        <f t="shared" si="1"/>
        <v>t-dtg-mq-lb-rule</v>
      </c>
      <c r="G5" s="84" t="str">
        <f>SUBSTITUTE(D5, "hazr-", "")&amp;"-fe"</f>
        <v>t-dtg-mq-lb-fe</v>
      </c>
      <c r="H5" s="84" t="s">
        <v>57</v>
      </c>
      <c r="I5" s="84">
        <v>1884</v>
      </c>
      <c r="J5" s="84" t="b">
        <v>0</v>
      </c>
      <c r="K5" s="84" t="str">
        <f>SUBSTITUTE(D5, "hazr-", "")&amp;"-bp"</f>
        <v>t-dtg-mq-lb-bp</v>
      </c>
      <c r="L5" s="84">
        <v>1884</v>
      </c>
      <c r="M5" s="84" t="str">
        <f t="shared" si="2"/>
        <v>t-dtg-mq-lb-pb1884</v>
      </c>
      <c r="N5" s="84">
        <v>1884</v>
      </c>
      <c r="O5" s="84">
        <v>4</v>
      </c>
      <c r="P5" s="84" t="s">
        <v>125</v>
      </c>
      <c r="Q5" s="84" t="b">
        <v>1</v>
      </c>
      <c r="R5" s="84" t="b">
        <v>0</v>
      </c>
    </row>
    <row r="6" spans="1:18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 t="shared" si="0"/>
        <v>t-dtg-ingap-lb-rule8081</v>
      </c>
      <c r="F6" s="74" t="str">
        <f t="shared" si="1"/>
        <v>t-dtg-ingap-lb-rule</v>
      </c>
      <c r="G6" s="86" t="str">
        <f t="shared" ref="G6:G50" si="3">SUBSTITUTE(D6, "hazr-", "")&amp;"-fe"</f>
        <v>t-dtg-ingap-lb-fe</v>
      </c>
      <c r="H6" s="86" t="s">
        <v>57</v>
      </c>
      <c r="I6" s="86">
        <v>8081</v>
      </c>
      <c r="J6" s="86" t="b">
        <v>0</v>
      </c>
      <c r="K6" s="86" t="str">
        <f>SUBSTITUTE(D6, "hazr-", "")&amp;"-bp"</f>
        <v>t-dtg-ingap-lb-bp</v>
      </c>
      <c r="L6" s="86">
        <v>8081</v>
      </c>
      <c r="M6" s="86" t="str">
        <f t="shared" si="2"/>
        <v>t-dtg-ingap-lb-pb8081</v>
      </c>
      <c r="N6" s="86">
        <v>8081</v>
      </c>
      <c r="O6" s="86">
        <v>4</v>
      </c>
      <c r="P6" s="86" t="s">
        <v>125</v>
      </c>
      <c r="Q6" s="86" t="b">
        <v>1</v>
      </c>
      <c r="R6" s="86" t="b">
        <v>0</v>
      </c>
    </row>
    <row r="7" spans="1:18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t-dtg-geoap-lb-rule8089</v>
      </c>
      <c r="F7" s="74" t="str">
        <f t="shared" si="1"/>
        <v>t-dtg-geoap-lb-rule</v>
      </c>
      <c r="G7" s="84" t="str">
        <f t="shared" si="3"/>
        <v>t-dtg-geoap-lb-fe</v>
      </c>
      <c r="H7" s="84" t="s">
        <v>57</v>
      </c>
      <c r="I7" s="84">
        <v>8089</v>
      </c>
      <c r="J7" s="84" t="b">
        <v>0</v>
      </c>
      <c r="K7" s="84" t="str">
        <f t="shared" ref="K7:K50" si="4">SUBSTITUTE(D7, "hazr-", "")&amp;"-bp"</f>
        <v>t-dtg-geoap-lb-bp</v>
      </c>
      <c r="L7" s="84">
        <v>8089</v>
      </c>
      <c r="M7" s="84" t="str">
        <f t="shared" si="2"/>
        <v>t-dtg-geoap-lb-pb8089</v>
      </c>
      <c r="N7" s="84">
        <v>8089</v>
      </c>
      <c r="O7" s="84">
        <v>4</v>
      </c>
      <c r="P7" s="84" t="s">
        <v>125</v>
      </c>
      <c r="Q7" s="84" t="b">
        <v>1</v>
      </c>
      <c r="R7" s="84" t="b">
        <v>0</v>
      </c>
    </row>
    <row r="8" spans="1:18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t-dtg-geoap-lb-rule9089</v>
      </c>
      <c r="F8" s="74" t="str">
        <f t="shared" si="1"/>
        <v>t-dtg-geoap-lb-rule</v>
      </c>
      <c r="G8" s="84" t="str">
        <f t="shared" si="3"/>
        <v>t-dtg-geoap-lb-fe</v>
      </c>
      <c r="H8" s="84" t="s">
        <v>57</v>
      </c>
      <c r="I8" s="84">
        <v>9089</v>
      </c>
      <c r="J8" s="84" t="b">
        <v>0</v>
      </c>
      <c r="K8" s="84" t="str">
        <f t="shared" si="4"/>
        <v>t-dtg-geoap-lb-bp</v>
      </c>
      <c r="L8" s="84">
        <v>9089</v>
      </c>
      <c r="M8" s="84" t="str">
        <f t="shared" si="2"/>
        <v>t-dtg-geoap-lb-pb9089</v>
      </c>
      <c r="N8" s="84">
        <v>9089</v>
      </c>
      <c r="O8" s="84">
        <v>4</v>
      </c>
      <c r="P8" s="84" t="s">
        <v>125</v>
      </c>
      <c r="Q8" s="84" t="b">
        <v>1</v>
      </c>
      <c r="R8" s="84" t="b">
        <v>0</v>
      </c>
    </row>
    <row r="9" spans="1:18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74" t="str">
        <f t="shared" si="0"/>
        <v>t-dtg-extgeoap-lb-rule3660</v>
      </c>
      <c r="F9" s="74" t="str">
        <f t="shared" si="1"/>
        <v>t-dtg-extgeoap-lb-rule</v>
      </c>
      <c r="G9" s="74" t="str">
        <f t="shared" si="3"/>
        <v>t-dtg-extgeoap-lb-fe</v>
      </c>
      <c r="H9" s="74" t="s">
        <v>57</v>
      </c>
      <c r="I9" s="74">
        <v>3660</v>
      </c>
      <c r="J9" s="74" t="b">
        <v>0</v>
      </c>
      <c r="K9" s="74" t="str">
        <f t="shared" si="4"/>
        <v>t-dtg-extgeoap-lb-bp</v>
      </c>
      <c r="L9" s="74">
        <v>3660</v>
      </c>
      <c r="M9" s="74" t="str">
        <f t="shared" si="2"/>
        <v>t-dtg-extgeoap-lb-pb3660</v>
      </c>
      <c r="N9" s="74">
        <v>3660</v>
      </c>
      <c r="O9" s="74">
        <v>4</v>
      </c>
      <c r="P9" s="74" t="s">
        <v>125</v>
      </c>
      <c r="Q9" s="74" t="b">
        <v>1</v>
      </c>
      <c r="R9" s="74" t="b">
        <v>0</v>
      </c>
    </row>
    <row r="10" spans="1:18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74" t="str">
        <f t="shared" si="0"/>
        <v>t-dtg-extgeoap-lb-rule3661</v>
      </c>
      <c r="F10" s="74" t="str">
        <f t="shared" si="1"/>
        <v>t-dtg-extgeoap-lb-rule</v>
      </c>
      <c r="G10" s="74" t="str">
        <f t="shared" si="3"/>
        <v>t-dtg-extgeoap-lb-fe</v>
      </c>
      <c r="H10" s="74" t="s">
        <v>57</v>
      </c>
      <c r="I10" s="74">
        <v>3661</v>
      </c>
      <c r="J10" s="74" t="b">
        <v>0</v>
      </c>
      <c r="K10" s="74" t="str">
        <f t="shared" si="4"/>
        <v>t-dtg-extgeoap-lb-bp</v>
      </c>
      <c r="L10" s="74">
        <v>3661</v>
      </c>
      <c r="M10" s="74" t="str">
        <f t="shared" si="2"/>
        <v>t-dtg-extgeoap-lb-pb3661</v>
      </c>
      <c r="N10" s="74">
        <v>3661</v>
      </c>
      <c r="O10" s="74">
        <v>4</v>
      </c>
      <c r="P10" s="74" t="s">
        <v>125</v>
      </c>
      <c r="Q10" s="74" t="b">
        <v>1</v>
      </c>
      <c r="R10" s="74" t="b">
        <v>0</v>
      </c>
    </row>
    <row r="11" spans="1:18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 t="shared" si="0"/>
        <v>t-dtg-dprweb-lb-rule443</v>
      </c>
      <c r="F11" s="74" t="str">
        <f t="shared" si="1"/>
        <v>t-dtg-dprweb-lb-rule</v>
      </c>
      <c r="G11" s="84" t="str">
        <f t="shared" si="3"/>
        <v>t-dtg-dprweb-lb-fe</v>
      </c>
      <c r="H11" s="84" t="s">
        <v>57</v>
      </c>
      <c r="I11" s="84">
        <v>443</v>
      </c>
      <c r="J11" s="84" t="b">
        <v>0</v>
      </c>
      <c r="K11" s="84" t="str">
        <f t="shared" si="4"/>
        <v>t-dtg-dprweb-lb-bp</v>
      </c>
      <c r="L11" s="84">
        <v>443</v>
      </c>
      <c r="M11" s="84" t="str">
        <f t="shared" si="2"/>
        <v>t-dtg-dprweb-lb-pb443</v>
      </c>
      <c r="N11" s="84">
        <v>443</v>
      </c>
      <c r="O11" s="84">
        <v>4</v>
      </c>
      <c r="P11" s="84" t="s">
        <v>125</v>
      </c>
      <c r="Q11" s="84" t="b">
        <v>1</v>
      </c>
      <c r="R11" s="84" t="b">
        <v>0</v>
      </c>
    </row>
    <row r="12" spans="1:18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 t="shared" si="0"/>
        <v>t-dtg-dprap-lb-rule8082</v>
      </c>
      <c r="F12" s="74" t="str">
        <f t="shared" si="1"/>
        <v>t-dtg-dprap-lb-rule</v>
      </c>
      <c r="G12" s="86" t="str">
        <f t="shared" si="3"/>
        <v>t-dtg-dprap-lb-fe</v>
      </c>
      <c r="H12" s="86" t="s">
        <v>57</v>
      </c>
      <c r="I12" s="86">
        <v>8082</v>
      </c>
      <c r="J12" s="86" t="b">
        <v>0</v>
      </c>
      <c r="K12" s="86" t="str">
        <f t="shared" si="4"/>
        <v>t-dtg-dprap-lb-bp</v>
      </c>
      <c r="L12" s="86">
        <v>8082</v>
      </c>
      <c r="M12" s="86" t="str">
        <f t="shared" si="2"/>
        <v>t-dtg-dprap-lb-pb8082</v>
      </c>
      <c r="N12" s="86">
        <v>8082</v>
      </c>
      <c r="O12" s="86">
        <v>4</v>
      </c>
      <c r="P12" s="86" t="s">
        <v>125</v>
      </c>
      <c r="Q12" s="86" t="b">
        <v>1</v>
      </c>
      <c r="R12" s="86" t="b">
        <v>0</v>
      </c>
    </row>
    <row r="13" spans="1:18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 t="shared" si="0"/>
        <v>t-dtg-diosweb-lb-rule443</v>
      </c>
      <c r="F13" s="74" t="str">
        <f t="shared" si="1"/>
        <v>t-dtg-diosweb-lb-rule</v>
      </c>
      <c r="G13" s="84" t="str">
        <f t="shared" si="3"/>
        <v>t-dtg-diosweb-lb-fe</v>
      </c>
      <c r="H13" s="84" t="s">
        <v>57</v>
      </c>
      <c r="I13" s="84">
        <v>443</v>
      </c>
      <c r="J13" s="84" t="b">
        <v>0</v>
      </c>
      <c r="K13" s="84" t="str">
        <f t="shared" si="4"/>
        <v>t-dtg-diosweb-lb-bp</v>
      </c>
      <c r="L13" s="84">
        <v>443</v>
      </c>
      <c r="M13" s="84" t="str">
        <f t="shared" si="2"/>
        <v>t-dtg-diosweb-lb-pb443</v>
      </c>
      <c r="N13" s="84">
        <v>443</v>
      </c>
      <c r="O13" s="84">
        <v>4</v>
      </c>
      <c r="P13" s="84" t="s">
        <v>125</v>
      </c>
      <c r="Q13" s="84" t="b">
        <v>1</v>
      </c>
      <c r="R13" s="84" t="b">
        <v>0</v>
      </c>
    </row>
    <row r="14" spans="1:18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 t="shared" si="0"/>
        <v>t-dtg-diosap-lb-rule8080</v>
      </c>
      <c r="F14" s="74" t="str">
        <f t="shared" si="1"/>
        <v>t-dtg-diosap-lb-rule</v>
      </c>
      <c r="G14" s="86" t="str">
        <f t="shared" si="3"/>
        <v>t-dtg-diosap-lb-fe</v>
      </c>
      <c r="H14" s="86" t="s">
        <v>57</v>
      </c>
      <c r="I14" s="86">
        <v>8080</v>
      </c>
      <c r="J14" s="86" t="b">
        <v>0</v>
      </c>
      <c r="K14" s="86" t="str">
        <f t="shared" si="4"/>
        <v>t-dtg-diosap-lb-bp</v>
      </c>
      <c r="L14" s="86">
        <v>8080</v>
      </c>
      <c r="M14" s="86" t="str">
        <f t="shared" si="2"/>
        <v>t-dtg-diosap-lb-pb8080</v>
      </c>
      <c r="N14" s="86">
        <v>8080</v>
      </c>
      <c r="O14" s="86">
        <v>4</v>
      </c>
      <c r="P14" s="86" t="s">
        <v>125</v>
      </c>
      <c r="Q14" s="86" t="b">
        <v>1</v>
      </c>
      <c r="R14" s="86" t="b">
        <v>0</v>
      </c>
    </row>
    <row r="15" spans="1:18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 t="shared" si="0"/>
        <v>t-dtg-cdsvadm-lb-rule9100</v>
      </c>
      <c r="F15" s="74" t="str">
        <f t="shared" si="1"/>
        <v>t-dtg-cdsvadm-lb-rule</v>
      </c>
      <c r="G15" s="84" t="str">
        <f t="shared" si="3"/>
        <v>t-dtg-cdsvadm-lb-fe</v>
      </c>
      <c r="H15" s="84" t="s">
        <v>57</v>
      </c>
      <c r="I15" s="84">
        <v>9100</v>
      </c>
      <c r="J15" s="84" t="b">
        <v>0</v>
      </c>
      <c r="K15" s="84" t="str">
        <f t="shared" si="4"/>
        <v>t-dtg-cdsvadm-lb-bp</v>
      </c>
      <c r="L15" s="84">
        <v>9100</v>
      </c>
      <c r="M15" s="84" t="str">
        <f t="shared" si="2"/>
        <v>t-dtg-cdsvadm-lb-pb9100</v>
      </c>
      <c r="N15" s="84">
        <v>9100</v>
      </c>
      <c r="O15" s="84">
        <v>4</v>
      </c>
      <c r="P15" s="84" t="s">
        <v>125</v>
      </c>
      <c r="Q15" s="84" t="b">
        <v>1</v>
      </c>
      <c r="R15" s="84" t="b">
        <v>0</v>
      </c>
    </row>
    <row r="16" spans="1:18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 t="shared" si="0"/>
        <v>t-dtg-cdsvadm-lb-rule9300</v>
      </c>
      <c r="F16" s="74" t="str">
        <f t="shared" si="1"/>
        <v>t-dtg-cdsvadm-lb-rule</v>
      </c>
      <c r="G16" s="84" t="str">
        <f t="shared" si="3"/>
        <v>t-dtg-cdsvadm-lb-fe</v>
      </c>
      <c r="H16" s="84" t="s">
        <v>57</v>
      </c>
      <c r="I16" s="84">
        <v>9300</v>
      </c>
      <c r="J16" s="84" t="b">
        <v>0</v>
      </c>
      <c r="K16" s="84" t="str">
        <f t="shared" si="4"/>
        <v>t-dtg-cdsvadm-lb-bp</v>
      </c>
      <c r="L16" s="84">
        <v>9300</v>
      </c>
      <c r="M16" s="84" t="str">
        <f t="shared" si="2"/>
        <v>t-dtg-cdsvadm-lb-pb9300</v>
      </c>
      <c r="N16" s="84">
        <v>9300</v>
      </c>
      <c r="O16" s="84">
        <v>4</v>
      </c>
      <c r="P16" s="84" t="s">
        <v>125</v>
      </c>
      <c r="Q16" s="84" t="b">
        <v>1</v>
      </c>
      <c r="R16" s="84" t="b">
        <v>0</v>
      </c>
    </row>
    <row r="17" spans="1:18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 t="shared" si="0"/>
        <v>t-dtg-cdsvadm-lb-rule9105</v>
      </c>
      <c r="F17" s="74" t="str">
        <f t="shared" si="1"/>
        <v>t-dtg-cdsvadm-lb-rule</v>
      </c>
      <c r="G17" s="84" t="str">
        <f t="shared" si="3"/>
        <v>t-dtg-cdsvadm-lb-fe</v>
      </c>
      <c r="H17" s="84" t="s">
        <v>57</v>
      </c>
      <c r="I17" s="84">
        <v>9105</v>
      </c>
      <c r="J17" s="84" t="b">
        <v>0</v>
      </c>
      <c r="K17" s="84" t="str">
        <f t="shared" si="4"/>
        <v>t-dtg-cdsvadm-lb-bp</v>
      </c>
      <c r="L17" s="84">
        <v>9105</v>
      </c>
      <c r="M17" s="84" t="str">
        <f t="shared" si="2"/>
        <v>t-dtg-cdsvadm-lb-pb9105</v>
      </c>
      <c r="N17" s="84">
        <v>9105</v>
      </c>
      <c r="O17" s="84">
        <v>4</v>
      </c>
      <c r="P17" s="84" t="s">
        <v>125</v>
      </c>
      <c r="Q17" s="84" t="b">
        <v>1</v>
      </c>
      <c r="R17" s="84" t="b">
        <v>0</v>
      </c>
    </row>
    <row r="18" spans="1:18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 t="shared" si="0"/>
        <v>t-dtg-cdsvadm-lb-rule9003</v>
      </c>
      <c r="F18" s="74" t="str">
        <f t="shared" si="1"/>
        <v>t-dtg-cdsvadm-lb-rule</v>
      </c>
      <c r="G18" s="84" t="str">
        <f t="shared" si="3"/>
        <v>t-dtg-cdsvadm-lb-fe</v>
      </c>
      <c r="H18" s="84" t="s">
        <v>57</v>
      </c>
      <c r="I18" s="84">
        <v>9003</v>
      </c>
      <c r="J18" s="84" t="b">
        <v>0</v>
      </c>
      <c r="K18" s="84" t="str">
        <f t="shared" si="4"/>
        <v>t-dtg-cdsvadm-lb-bp</v>
      </c>
      <c r="L18" s="84">
        <v>9003</v>
      </c>
      <c r="M18" s="84" t="str">
        <f t="shared" si="2"/>
        <v>t-dtg-cdsvadm-lb-pb9003</v>
      </c>
      <c r="N18" s="84">
        <v>9003</v>
      </c>
      <c r="O18" s="84">
        <v>4</v>
      </c>
      <c r="P18" s="84" t="s">
        <v>125</v>
      </c>
      <c r="Q18" s="84" t="b">
        <v>1</v>
      </c>
      <c r="R18" s="84" t="b">
        <v>0</v>
      </c>
    </row>
    <row r="19" spans="1:18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 t="shared" si="0"/>
        <v>t-dtg-cdsvadm-lb-rule8088</v>
      </c>
      <c r="F19" s="74" t="str">
        <f t="shared" si="1"/>
        <v>t-dtg-cdsvadm-lb-rule</v>
      </c>
      <c r="G19" s="84" t="str">
        <f t="shared" si="3"/>
        <v>t-dtg-cdsvadm-lb-fe</v>
      </c>
      <c r="H19" s="84" t="s">
        <v>57</v>
      </c>
      <c r="I19" s="84">
        <v>8088</v>
      </c>
      <c r="J19" s="84" t="b">
        <v>0</v>
      </c>
      <c r="K19" s="84" t="str">
        <f t="shared" si="4"/>
        <v>t-dtg-cdsvadm-lb-bp</v>
      </c>
      <c r="L19" s="84">
        <v>8088</v>
      </c>
      <c r="M19" s="84" t="str">
        <f t="shared" si="2"/>
        <v>t-dtg-cdsvadm-lb-pb8088</v>
      </c>
      <c r="N19" s="84">
        <v>8088</v>
      </c>
      <c r="O19" s="84">
        <v>4</v>
      </c>
      <c r="P19" s="84" t="s">
        <v>125</v>
      </c>
      <c r="Q19" s="84" t="b">
        <v>1</v>
      </c>
      <c r="R19" s="84" t="b">
        <v>0</v>
      </c>
    </row>
    <row r="20" spans="1:18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/>
      <c r="F20" s="74"/>
      <c r="G20" s="86" t="str">
        <f t="shared" si="3"/>
        <v>t-dtg-cdstap-lb-fe</v>
      </c>
      <c r="H20" s="86" t="s">
        <v>57</v>
      </c>
      <c r="I20" s="86"/>
      <c r="J20" s="86" t="b">
        <v>0</v>
      </c>
      <c r="K20" s="86" t="str">
        <f t="shared" si="4"/>
        <v>t-dtg-cdstap-lb-bp</v>
      </c>
      <c r="L20" s="86"/>
      <c r="M20" s="86"/>
      <c r="N20" s="86"/>
      <c r="O20" s="86">
        <v>4</v>
      </c>
      <c r="P20" s="86" t="s">
        <v>125</v>
      </c>
      <c r="Q20" s="86" t="b">
        <v>1</v>
      </c>
      <c r="R20" s="86" t="b">
        <v>0</v>
      </c>
    </row>
    <row r="21" spans="1:18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 t="shared" si="0"/>
        <v>t-dtg-cdmlap-lb-rule9305</v>
      </c>
      <c r="F21" s="74" t="str">
        <f t="shared" si="1"/>
        <v>t-dtg-cdmlap-lb-rule</v>
      </c>
      <c r="G21" s="84" t="str">
        <f t="shared" si="3"/>
        <v>t-dtg-cdmlap-lb-fe</v>
      </c>
      <c r="H21" s="84" t="s">
        <v>57</v>
      </c>
      <c r="I21" s="84">
        <v>9305</v>
      </c>
      <c r="J21" s="84" t="b">
        <v>0</v>
      </c>
      <c r="K21" s="84" t="str">
        <f t="shared" si="4"/>
        <v>t-dtg-cdmlap-lb-bp</v>
      </c>
      <c r="L21" s="84">
        <v>9305</v>
      </c>
      <c r="M21" s="84" t="str">
        <f t="shared" si="2"/>
        <v>t-dtg-cdmlap-lb-pb9305</v>
      </c>
      <c r="N21" s="84">
        <v>9305</v>
      </c>
      <c r="O21" s="84">
        <v>4</v>
      </c>
      <c r="P21" s="84" t="s">
        <v>125</v>
      </c>
      <c r="Q21" s="84" t="b">
        <v>1</v>
      </c>
      <c r="R21" s="84" t="b">
        <v>0</v>
      </c>
    </row>
    <row r="22" spans="1:18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 t="shared" si="0"/>
        <v>t-dtg-cdmlap-lb-rule9306</v>
      </c>
      <c r="F22" s="74" t="str">
        <f t="shared" si="1"/>
        <v>t-dtg-cdmlap-lb-rule</v>
      </c>
      <c r="G22" s="84" t="str">
        <f t="shared" si="3"/>
        <v>t-dtg-cdmlap-lb-fe</v>
      </c>
      <c r="H22" s="84" t="s">
        <v>57</v>
      </c>
      <c r="I22" s="84">
        <v>9306</v>
      </c>
      <c r="J22" s="84" t="b">
        <v>0</v>
      </c>
      <c r="K22" s="84" t="str">
        <f t="shared" si="4"/>
        <v>t-dtg-cdmlap-lb-bp</v>
      </c>
      <c r="L22" s="84">
        <v>9306</v>
      </c>
      <c r="M22" s="84" t="str">
        <f t="shared" si="2"/>
        <v>t-dtg-cdmlap-lb-pb9306</v>
      </c>
      <c r="N22" s="84">
        <v>9306</v>
      </c>
      <c r="O22" s="84">
        <v>4</v>
      </c>
      <c r="P22" s="84" t="s">
        <v>125</v>
      </c>
      <c r="Q22" s="84" t="b">
        <v>1</v>
      </c>
      <c r="R22" s="84" t="b">
        <v>0</v>
      </c>
    </row>
    <row r="23" spans="1:18" x14ac:dyDescent="0.3">
      <c r="A23" s="74" t="s">
        <v>185</v>
      </c>
      <c r="B23" s="74" t="str" cm="1">
        <f t="array" ref="B23">UPPER(INDEX(_xlfn.TEXTSPLIT($C23, "-"), 3))</f>
        <v>DTG</v>
      </c>
      <c r="C23" s="74" t="s">
        <v>391</v>
      </c>
      <c r="D23" s="74" t="s">
        <v>357</v>
      </c>
      <c r="E23" s="74" t="str">
        <f t="shared" si="0"/>
        <v>t-dtg-ap-lb-rule8080</v>
      </c>
      <c r="F23" s="74" t="str">
        <f t="shared" si="1"/>
        <v>t-dtg-ap-lb-rule</v>
      </c>
      <c r="G23" s="74" t="str">
        <f t="shared" si="3"/>
        <v>t-dtg-ap-lb-fe</v>
      </c>
      <c r="H23" s="74" t="s">
        <v>57</v>
      </c>
      <c r="I23" s="74">
        <v>8080</v>
      </c>
      <c r="J23" s="74" t="b">
        <v>0</v>
      </c>
      <c r="K23" s="74" t="str">
        <f t="shared" si="4"/>
        <v>t-dtg-ap-lb-bp</v>
      </c>
      <c r="L23" s="74">
        <v>8080</v>
      </c>
      <c r="M23" s="74" t="str">
        <f t="shared" si="2"/>
        <v>t-dtg-ap-lb-pb8080</v>
      </c>
      <c r="N23" s="74">
        <v>8080</v>
      </c>
      <c r="O23" s="74">
        <v>4</v>
      </c>
      <c r="P23" s="74" t="s">
        <v>125</v>
      </c>
      <c r="Q23" s="74" t="b">
        <v>1</v>
      </c>
      <c r="R23" s="74" t="b">
        <v>0</v>
      </c>
    </row>
    <row r="24" spans="1:18" x14ac:dyDescent="0.3">
      <c r="A24" s="74" t="s">
        <v>185</v>
      </c>
      <c r="B24" s="74" t="str" cm="1">
        <f t="array" ref="B24">UPPER(INDEX(_xlfn.TEXTSPLIT($C24, "-"), 3))</f>
        <v>DTG</v>
      </c>
      <c r="C24" s="74" t="s">
        <v>391</v>
      </c>
      <c r="D24" s="74" t="s">
        <v>357</v>
      </c>
      <c r="E24" s="74" t="str">
        <f t="shared" si="0"/>
        <v>t-dtg-ap-lb-rule9087</v>
      </c>
      <c r="F24" s="74" t="str">
        <f t="shared" si="1"/>
        <v>t-dtg-ap-lb-rule</v>
      </c>
      <c r="G24" s="74" t="str">
        <f t="shared" si="3"/>
        <v>t-dtg-ap-lb-fe</v>
      </c>
      <c r="H24" s="74" t="s">
        <v>57</v>
      </c>
      <c r="I24" s="74">
        <v>9087</v>
      </c>
      <c r="J24" s="74" t="b">
        <v>0</v>
      </c>
      <c r="K24" s="74" t="str">
        <f t="shared" si="4"/>
        <v>t-dtg-ap-lb-bp</v>
      </c>
      <c r="L24" s="74">
        <v>9087</v>
      </c>
      <c r="M24" s="74" t="str">
        <f t="shared" si="2"/>
        <v>t-dtg-ap-lb-pb9087</v>
      </c>
      <c r="N24" s="74">
        <v>9087</v>
      </c>
      <c r="O24" s="74">
        <v>4</v>
      </c>
      <c r="P24" s="74" t="s">
        <v>125</v>
      </c>
      <c r="Q24" s="74" t="b">
        <v>1</v>
      </c>
      <c r="R24" s="74" t="b">
        <v>0</v>
      </c>
    </row>
    <row r="25" spans="1:18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 t="shared" si="0"/>
        <v>t-dtg-admweb-lb-rule8088</v>
      </c>
      <c r="F25" s="74" t="str">
        <f t="shared" si="1"/>
        <v>t-dtg-admweb-lb-rule</v>
      </c>
      <c r="G25" s="84" t="str">
        <f t="shared" si="3"/>
        <v>t-dtg-admweb-lb-fe</v>
      </c>
      <c r="H25" s="84" t="s">
        <v>57</v>
      </c>
      <c r="I25" s="84">
        <v>8088</v>
      </c>
      <c r="J25" s="84" t="b">
        <v>0</v>
      </c>
      <c r="K25" s="84" t="str">
        <f t="shared" si="4"/>
        <v>t-dtg-admweb-lb-bp</v>
      </c>
      <c r="L25" s="84">
        <v>8088</v>
      </c>
      <c r="M25" s="84" t="str">
        <f t="shared" si="2"/>
        <v>t-dtg-admweb-lb-pb8088</v>
      </c>
      <c r="N25" s="84">
        <v>8088</v>
      </c>
      <c r="O25" s="84">
        <v>4</v>
      </c>
      <c r="P25" s="84" t="s">
        <v>125</v>
      </c>
      <c r="Q25" s="84" t="b">
        <v>1</v>
      </c>
      <c r="R25" s="84" t="b">
        <v>0</v>
      </c>
    </row>
    <row r="26" spans="1:18" x14ac:dyDescent="0.3">
      <c r="A26" s="74" t="s">
        <v>185</v>
      </c>
      <c r="B26" s="74" t="str" cm="1">
        <f t="array" ref="B26">UPPER(INDEX(_xlfn.TEXTSPLIT($C26, "-"), 3))</f>
        <v>DTG</v>
      </c>
      <c r="C26" s="74" t="s">
        <v>391</v>
      </c>
      <c r="D26" s="74" t="s">
        <v>362</v>
      </c>
      <c r="E26" s="74" t="str">
        <f t="shared" si="0"/>
        <v>t-dtg-admap-lb-rule8085</v>
      </c>
      <c r="F26" s="74" t="str">
        <f t="shared" si="1"/>
        <v>t-dtg-admap-lb-rule</v>
      </c>
      <c r="G26" s="74" t="str">
        <f t="shared" si="3"/>
        <v>t-dtg-admap-lb-fe</v>
      </c>
      <c r="H26" s="74" t="s">
        <v>57</v>
      </c>
      <c r="I26" s="74">
        <v>8085</v>
      </c>
      <c r="J26" s="74" t="b">
        <v>0</v>
      </c>
      <c r="K26" s="74" t="str">
        <f t="shared" si="4"/>
        <v>t-dtg-admap-lb-bp</v>
      </c>
      <c r="L26" s="74">
        <v>8085</v>
      </c>
      <c r="M26" s="74" t="str">
        <f t="shared" si="2"/>
        <v>t-dtg-admap-lb-pb8085</v>
      </c>
      <c r="N26" s="74">
        <v>8085</v>
      </c>
      <c r="O26" s="74">
        <v>4</v>
      </c>
      <c r="P26" s="74" t="s">
        <v>125</v>
      </c>
      <c r="Q26" s="74" t="b">
        <v>1</v>
      </c>
      <c r="R26" s="74" t="b">
        <v>0</v>
      </c>
    </row>
    <row r="27" spans="1:18" x14ac:dyDescent="0.3">
      <c r="A27" s="74" t="s">
        <v>185</v>
      </c>
      <c r="B27" s="74" t="str" cm="1">
        <f t="array" ref="B27">UPPER(INDEX(_xlfn.TEXTSPLIT($C27, "-"), 3))</f>
        <v>DTG</v>
      </c>
      <c r="C27" s="74" t="s">
        <v>391</v>
      </c>
      <c r="D27" s="74" t="s">
        <v>362</v>
      </c>
      <c r="E27" s="74" t="str">
        <f t="shared" si="0"/>
        <v>t-dtg-admap-lb-rule8087</v>
      </c>
      <c r="F27" s="74" t="str">
        <f t="shared" si="1"/>
        <v>t-dtg-admap-lb-rule</v>
      </c>
      <c r="G27" s="74" t="str">
        <f t="shared" si="3"/>
        <v>t-dtg-admap-lb-fe</v>
      </c>
      <c r="H27" s="74" t="s">
        <v>57</v>
      </c>
      <c r="I27" s="74">
        <v>8087</v>
      </c>
      <c r="J27" s="74" t="b">
        <v>0</v>
      </c>
      <c r="K27" s="74" t="str">
        <f t="shared" si="4"/>
        <v>t-dtg-admap-lb-bp</v>
      </c>
      <c r="L27" s="74">
        <v>8087</v>
      </c>
      <c r="M27" s="74" t="str">
        <f t="shared" si="2"/>
        <v>t-dtg-admap-lb-pb8087</v>
      </c>
      <c r="N27" s="74">
        <v>8087</v>
      </c>
      <c r="O27" s="74">
        <v>4</v>
      </c>
      <c r="P27" s="74" t="s">
        <v>125</v>
      </c>
      <c r="Q27" s="74" t="b">
        <v>1</v>
      </c>
      <c r="R27" s="74" t="b">
        <v>0</v>
      </c>
    </row>
    <row r="28" spans="1:18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/>
      <c r="F28" s="74"/>
      <c r="G28" s="84" t="str">
        <f t="shared" si="3"/>
        <v>t-doip-web-lb-fe</v>
      </c>
      <c r="H28" s="84" t="s">
        <v>57</v>
      </c>
      <c r="I28" s="84"/>
      <c r="J28" s="84" t="b">
        <v>0</v>
      </c>
      <c r="K28" s="84" t="str">
        <f t="shared" si="4"/>
        <v>t-doip-web-lb-bp</v>
      </c>
      <c r="L28" s="84"/>
      <c r="M28" s="84"/>
      <c r="N28" s="84"/>
      <c r="O28" s="84">
        <v>4</v>
      </c>
      <c r="P28" s="84" t="s">
        <v>125</v>
      </c>
      <c r="Q28" s="84" t="b">
        <v>1</v>
      </c>
      <c r="R28" s="84" t="b">
        <v>0</v>
      </c>
    </row>
    <row r="29" spans="1:18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/>
      <c r="F29" s="74"/>
      <c r="G29" s="86" t="str">
        <f t="shared" si="3"/>
        <v>t-doip-ap-lb-fe</v>
      </c>
      <c r="H29" s="86" t="s">
        <v>57</v>
      </c>
      <c r="I29" s="86"/>
      <c r="J29" s="86" t="b">
        <v>0</v>
      </c>
      <c r="K29" s="86" t="str">
        <f t="shared" si="4"/>
        <v>t-doip-ap-lb-bp</v>
      </c>
      <c r="L29" s="86"/>
      <c r="M29" s="86"/>
      <c r="N29" s="86"/>
      <c r="O29" s="86">
        <v>4</v>
      </c>
      <c r="P29" s="86" t="s">
        <v>125</v>
      </c>
      <c r="Q29" s="86" t="b">
        <v>1</v>
      </c>
      <c r="R29" s="86" t="b">
        <v>0</v>
      </c>
    </row>
    <row r="30" spans="1:18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/>
      <c r="F30" s="74"/>
      <c r="G30" s="84" t="str">
        <f t="shared" si="3"/>
        <v>t-doip-adm-lb-fe</v>
      </c>
      <c r="H30" s="84" t="s">
        <v>57</v>
      </c>
      <c r="I30" s="84"/>
      <c r="J30" s="84" t="b">
        <v>0</v>
      </c>
      <c r="K30" s="84" t="str">
        <f t="shared" si="4"/>
        <v>t-doip-adm-lb-bp</v>
      </c>
      <c r="L30" s="84"/>
      <c r="M30" s="84"/>
      <c r="N30" s="84"/>
      <c r="O30" s="84">
        <v>4</v>
      </c>
      <c r="P30" s="84" t="s">
        <v>125</v>
      </c>
      <c r="Q30" s="84" t="b">
        <v>1</v>
      </c>
      <c r="R30" s="84" t="b">
        <v>0</v>
      </c>
    </row>
    <row r="31" spans="1:18" x14ac:dyDescent="0.3">
      <c r="A31" s="74" t="s">
        <v>185</v>
      </c>
      <c r="B31" s="74" t="str" cm="1">
        <f t="array" ref="B31">UPPER(INDEX(_xlfn.TEXTSPLIT($C31, "-"), 3))</f>
        <v>DIS</v>
      </c>
      <c r="C31" s="74" t="s">
        <v>289</v>
      </c>
      <c r="D31" s="74" t="s">
        <v>292</v>
      </c>
      <c r="E31" s="74" t="str">
        <f t="shared" si="0"/>
        <v>t-dis-web-lb-rule80</v>
      </c>
      <c r="F31" s="74" t="str">
        <f t="shared" si="1"/>
        <v>t-dis-web-lb-rule</v>
      </c>
      <c r="G31" s="74" t="str">
        <f t="shared" si="3"/>
        <v>t-dis-web-lb-fe</v>
      </c>
      <c r="H31" s="74" t="s">
        <v>57</v>
      </c>
      <c r="I31" s="74">
        <v>80</v>
      </c>
      <c r="J31" s="74" t="b">
        <v>0</v>
      </c>
      <c r="K31" s="74" t="str">
        <f t="shared" si="4"/>
        <v>t-dis-web-lb-bp</v>
      </c>
      <c r="L31" s="74">
        <v>80</v>
      </c>
      <c r="M31" s="74" t="str">
        <f t="shared" si="2"/>
        <v>t-dis-web-lb-pb80</v>
      </c>
      <c r="N31" s="74">
        <v>80</v>
      </c>
      <c r="O31" s="74">
        <v>4</v>
      </c>
      <c r="P31" s="74" t="s">
        <v>125</v>
      </c>
      <c r="Q31" s="74" t="b">
        <v>1</v>
      </c>
      <c r="R31" s="74" t="b">
        <v>0</v>
      </c>
    </row>
    <row r="32" spans="1:18" x14ac:dyDescent="0.3">
      <c r="A32" s="74" t="s">
        <v>185</v>
      </c>
      <c r="B32" s="74" t="str" cm="1">
        <f t="array" ref="B32">UPPER(INDEX(_xlfn.TEXTSPLIT($C32, "-"), 3))</f>
        <v>DIS</v>
      </c>
      <c r="C32" s="74" t="s">
        <v>289</v>
      </c>
      <c r="D32" s="74" t="s">
        <v>292</v>
      </c>
      <c r="E32" s="74" t="str">
        <f t="shared" si="0"/>
        <v>t-dis-web-lb-rule443</v>
      </c>
      <c r="F32" s="74" t="str">
        <f t="shared" si="1"/>
        <v>t-dis-web-lb-rule</v>
      </c>
      <c r="G32" s="74" t="str">
        <f t="shared" si="3"/>
        <v>t-dis-web-lb-fe</v>
      </c>
      <c r="H32" s="74" t="s">
        <v>57</v>
      </c>
      <c r="I32" s="74">
        <v>443</v>
      </c>
      <c r="J32" s="74" t="b">
        <v>0</v>
      </c>
      <c r="K32" s="74" t="str">
        <f t="shared" si="4"/>
        <v>t-dis-web-lb-bp</v>
      </c>
      <c r="L32" s="74">
        <v>443</v>
      </c>
      <c r="M32" s="74" t="str">
        <f t="shared" si="2"/>
        <v>t-dis-web-lb-pb443</v>
      </c>
      <c r="N32" s="74">
        <v>443</v>
      </c>
      <c r="O32" s="74">
        <v>4</v>
      </c>
      <c r="P32" s="74" t="s">
        <v>125</v>
      </c>
      <c r="Q32" s="74" t="b">
        <v>1</v>
      </c>
      <c r="R32" s="74" t="b">
        <v>0</v>
      </c>
    </row>
    <row r="33" spans="1:18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 t="shared" si="0"/>
        <v>t-dis-walkweb-lb-rule443</v>
      </c>
      <c r="F33" s="74" t="str">
        <f t="shared" si="1"/>
        <v>t-dis-walkweb-lb-rule</v>
      </c>
      <c r="G33" s="84" t="str">
        <f t="shared" si="3"/>
        <v>t-dis-walkweb-lb-fe</v>
      </c>
      <c r="H33" s="84" t="s">
        <v>57</v>
      </c>
      <c r="I33" s="84">
        <v>443</v>
      </c>
      <c r="J33" s="84" t="b">
        <v>0</v>
      </c>
      <c r="K33" s="84" t="str">
        <f t="shared" si="4"/>
        <v>t-dis-walkweb-lb-bp</v>
      </c>
      <c r="L33" s="84">
        <v>443</v>
      </c>
      <c r="M33" s="84" t="str">
        <f t="shared" si="2"/>
        <v>t-dis-walkweb-lb-pb443</v>
      </c>
      <c r="N33" s="84">
        <v>443</v>
      </c>
      <c r="O33" s="84">
        <v>4</v>
      </c>
      <c r="P33" s="84" t="s">
        <v>125</v>
      </c>
      <c r="Q33" s="84" t="b">
        <v>1</v>
      </c>
      <c r="R33" s="84" t="b">
        <v>0</v>
      </c>
    </row>
    <row r="34" spans="1:18" x14ac:dyDescent="0.3">
      <c r="A34" s="74" t="s">
        <v>185</v>
      </c>
      <c r="B34" s="74" t="str" cm="1">
        <f t="array" ref="B34">UPPER(INDEX(_xlfn.TEXTSPLIT($C34, "-"), 3))</f>
        <v>DIS</v>
      </c>
      <c r="C34" s="74" t="s">
        <v>205</v>
      </c>
      <c r="D34" s="74" t="s">
        <v>348</v>
      </c>
      <c r="E34" s="74" t="str">
        <f t="shared" si="0"/>
        <v>t-dis-walkap-lb-rule8080</v>
      </c>
      <c r="F34" s="74" t="str">
        <f t="shared" si="1"/>
        <v>t-dis-walkap-lb-rule</v>
      </c>
      <c r="G34" s="74" t="str">
        <f t="shared" si="3"/>
        <v>t-dis-walkap-lb-fe</v>
      </c>
      <c r="H34" s="74" t="s">
        <v>57</v>
      </c>
      <c r="I34" s="74">
        <v>8080</v>
      </c>
      <c r="J34" s="74" t="b">
        <v>0</v>
      </c>
      <c r="K34" s="74" t="str">
        <f t="shared" si="4"/>
        <v>t-dis-walkap-lb-bp</v>
      </c>
      <c r="L34" s="74">
        <v>8080</v>
      </c>
      <c r="M34" s="74" t="str">
        <f t="shared" si="2"/>
        <v>t-dis-walkap-lb-pb8080</v>
      </c>
      <c r="N34" s="74">
        <v>8080</v>
      </c>
      <c r="O34" s="74">
        <v>4</v>
      </c>
      <c r="P34" s="74" t="s">
        <v>125</v>
      </c>
      <c r="Q34" s="74" t="b">
        <v>1</v>
      </c>
      <c r="R34" s="74" t="b">
        <v>0</v>
      </c>
    </row>
    <row r="35" spans="1:18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 t="shared" si="0"/>
        <v>t-dis-drvmsgap-lb-rule8080</v>
      </c>
      <c r="F35" s="74" t="str">
        <f t="shared" si="1"/>
        <v>t-dis-drvmsgap-lb-rule</v>
      </c>
      <c r="G35" s="84" t="str">
        <f t="shared" si="3"/>
        <v>t-dis-drvmsgap-lb-fe</v>
      </c>
      <c r="H35" s="84" t="s">
        <v>57</v>
      </c>
      <c r="I35" s="84">
        <v>8080</v>
      </c>
      <c r="J35" s="84" t="b">
        <v>0</v>
      </c>
      <c r="K35" s="84" t="str">
        <f t="shared" si="4"/>
        <v>t-dis-drvmsgap-lb-bp</v>
      </c>
      <c r="L35" s="84">
        <v>8080</v>
      </c>
      <c r="M35" s="84" t="str">
        <f t="shared" si="2"/>
        <v>t-dis-drvmsgap-lb-pb8080</v>
      </c>
      <c r="N35" s="84">
        <v>8080</v>
      </c>
      <c r="O35" s="84">
        <v>4</v>
      </c>
      <c r="P35" s="84" t="s">
        <v>125</v>
      </c>
      <c r="Q35" s="84" t="b">
        <v>1</v>
      </c>
      <c r="R35" s="84" t="b">
        <v>0</v>
      </c>
    </row>
    <row r="36" spans="1:18" x14ac:dyDescent="0.3">
      <c r="A36" s="74" t="s">
        <v>185</v>
      </c>
      <c r="B36" s="74" t="str" cm="1">
        <f t="array" ref="B36">UPPER(INDEX(_xlfn.TEXTSPLIT($C36, "-"), 3))</f>
        <v>DIS</v>
      </c>
      <c r="C36" s="74" t="s">
        <v>289</v>
      </c>
      <c r="D36" s="74" t="s">
        <v>349</v>
      </c>
      <c r="E36" s="74" t="str">
        <f t="shared" si="0"/>
        <v>t-dis-drvcltap-lb-rule8081</v>
      </c>
      <c r="F36" s="74" t="str">
        <f t="shared" si="1"/>
        <v>t-dis-drvcltap-lb-rule</v>
      </c>
      <c r="G36" s="74" t="str">
        <f t="shared" si="3"/>
        <v>t-dis-drvcltap-lb-fe</v>
      </c>
      <c r="H36" s="74" t="s">
        <v>57</v>
      </c>
      <c r="I36" s="74">
        <v>8081</v>
      </c>
      <c r="J36" s="74" t="b">
        <v>0</v>
      </c>
      <c r="K36" s="74" t="str">
        <f t="shared" si="4"/>
        <v>t-dis-drvcltap-lb-bp</v>
      </c>
      <c r="L36" s="74">
        <v>8081</v>
      </c>
      <c r="M36" s="74" t="str">
        <f t="shared" si="2"/>
        <v>t-dis-drvcltap-lb-pb8081</v>
      </c>
      <c r="N36" s="74">
        <v>8081</v>
      </c>
      <c r="O36" s="74">
        <v>4</v>
      </c>
      <c r="P36" s="74" t="s">
        <v>125</v>
      </c>
      <c r="Q36" s="74" t="b">
        <v>1</v>
      </c>
      <c r="R36" s="74" t="b">
        <v>0</v>
      </c>
    </row>
    <row r="37" spans="1:18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 t="shared" si="0"/>
        <v>t-dis-cmsweb-lb-rule80</v>
      </c>
      <c r="F37" s="74" t="str">
        <f t="shared" si="1"/>
        <v>t-dis-cmsweb-lb-rule</v>
      </c>
      <c r="G37" s="84" t="str">
        <f t="shared" si="3"/>
        <v>t-dis-cmsweb-lb-fe</v>
      </c>
      <c r="H37" s="84" t="s">
        <v>57</v>
      </c>
      <c r="I37" s="84">
        <v>80</v>
      </c>
      <c r="J37" s="84" t="b">
        <v>0</v>
      </c>
      <c r="K37" s="84" t="str">
        <f t="shared" si="4"/>
        <v>t-dis-cmsweb-lb-bp</v>
      </c>
      <c r="L37" s="84">
        <v>80</v>
      </c>
      <c r="M37" s="84" t="str">
        <f t="shared" si="2"/>
        <v>t-dis-cmsweb-lb-pb80</v>
      </c>
      <c r="N37" s="84">
        <v>80</v>
      </c>
      <c r="O37" s="84">
        <v>4</v>
      </c>
      <c r="P37" s="84" t="s">
        <v>125</v>
      </c>
      <c r="Q37" s="84" t="b">
        <v>1</v>
      </c>
      <c r="R37" s="84" t="b">
        <v>0</v>
      </c>
    </row>
    <row r="38" spans="1:18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74" t="str">
        <f t="shared" si="0"/>
        <v>t-dis-cmsweb-lb-rule443</v>
      </c>
      <c r="F38" s="74" t="str">
        <f t="shared" si="1"/>
        <v>t-dis-cmsweb-lb-rule</v>
      </c>
      <c r="G38" s="74" t="str">
        <f t="shared" si="3"/>
        <v>t-dis-cmsweb-lb-fe</v>
      </c>
      <c r="H38" s="74" t="s">
        <v>57</v>
      </c>
      <c r="I38" s="74">
        <v>443</v>
      </c>
      <c r="J38" s="74" t="b">
        <v>0</v>
      </c>
      <c r="K38" s="74" t="str">
        <f t="shared" si="4"/>
        <v>t-dis-cmsweb-lb-bp</v>
      </c>
      <c r="L38" s="74">
        <v>443</v>
      </c>
      <c r="M38" s="74" t="str">
        <f t="shared" si="2"/>
        <v>t-dis-cmsweb-lb-pb443</v>
      </c>
      <c r="N38" s="74">
        <v>443</v>
      </c>
      <c r="O38" s="74">
        <v>4</v>
      </c>
      <c r="P38" s="74" t="s">
        <v>125</v>
      </c>
      <c r="Q38" s="74" t="b">
        <v>1</v>
      </c>
      <c r="R38" s="74" t="b">
        <v>0</v>
      </c>
    </row>
    <row r="39" spans="1:18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 t="shared" si="0"/>
        <v>t-dis-cmsap-lb-rule4001</v>
      </c>
      <c r="F39" s="74" t="str">
        <f t="shared" si="1"/>
        <v>t-dis-cmsap-lb-rule</v>
      </c>
      <c r="G39" s="84" t="str">
        <f t="shared" si="3"/>
        <v>t-dis-cmsap-lb-fe</v>
      </c>
      <c r="H39" s="84" t="s">
        <v>57</v>
      </c>
      <c r="I39" s="84">
        <v>4001</v>
      </c>
      <c r="J39" s="84" t="b">
        <v>0</v>
      </c>
      <c r="K39" s="84" t="str">
        <f t="shared" si="4"/>
        <v>t-dis-cmsap-lb-bp</v>
      </c>
      <c r="L39" s="84">
        <v>4001</v>
      </c>
      <c r="M39" s="84" t="str">
        <f t="shared" si="2"/>
        <v>t-dis-cmsap-lb-pb4001</v>
      </c>
      <c r="N39" s="84">
        <v>4001</v>
      </c>
      <c r="O39" s="84">
        <v>4</v>
      </c>
      <c r="P39" s="84" t="s">
        <v>125</v>
      </c>
      <c r="Q39" s="84" t="b">
        <v>1</v>
      </c>
      <c r="R39" s="84" t="b">
        <v>0</v>
      </c>
    </row>
    <row r="40" spans="1:18" x14ac:dyDescent="0.3">
      <c r="A40" s="74" t="s">
        <v>185</v>
      </c>
      <c r="B40" s="74" t="str" cm="1">
        <f t="array" ref="B40">UPPER(INDEX(_xlfn.TEXTSPLIT($C40, "-"), 3))</f>
        <v>DIS</v>
      </c>
      <c r="C40" s="74" t="s">
        <v>205</v>
      </c>
      <c r="D40" s="74" t="s">
        <v>352</v>
      </c>
      <c r="E40" s="74" t="str">
        <f t="shared" si="0"/>
        <v>t-dis-cmsadm-lb-rule443</v>
      </c>
      <c r="F40" s="74" t="str">
        <f t="shared" si="1"/>
        <v>t-dis-cmsadm-lb-rule</v>
      </c>
      <c r="G40" s="74" t="str">
        <f t="shared" si="3"/>
        <v>t-dis-cmsadm-lb-fe</v>
      </c>
      <c r="H40" s="74" t="s">
        <v>57</v>
      </c>
      <c r="I40" s="74">
        <v>443</v>
      </c>
      <c r="J40" s="74" t="b">
        <v>0</v>
      </c>
      <c r="K40" s="74" t="str">
        <f t="shared" si="4"/>
        <v>t-dis-cmsadm-lb-bp</v>
      </c>
      <c r="L40" s="74">
        <v>443</v>
      </c>
      <c r="M40" s="74" t="str">
        <f t="shared" si="2"/>
        <v>t-dis-cmsadm-lb-pb443</v>
      </c>
      <c r="N40" s="74">
        <v>443</v>
      </c>
      <c r="O40" s="74">
        <v>4</v>
      </c>
      <c r="P40" s="74" t="s">
        <v>125</v>
      </c>
      <c r="Q40" s="74" t="b">
        <v>1</v>
      </c>
      <c r="R40" s="74" t="b">
        <v>0</v>
      </c>
    </row>
    <row r="41" spans="1:18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 t="shared" si="0"/>
        <v>t-dis-cmbsap-lb-rule8080</v>
      </c>
      <c r="F41" s="74" t="str">
        <f t="shared" si="1"/>
        <v>t-dis-cmbsap-lb-rule</v>
      </c>
      <c r="G41" s="84" t="str">
        <f t="shared" si="3"/>
        <v>t-dis-cmbsap-lb-fe</v>
      </c>
      <c r="H41" s="84" t="s">
        <v>57</v>
      </c>
      <c r="I41" s="84">
        <v>8080</v>
      </c>
      <c r="J41" s="84" t="b">
        <v>0</v>
      </c>
      <c r="K41" s="84" t="str">
        <f t="shared" si="4"/>
        <v>t-dis-cmbsap-lb-bp</v>
      </c>
      <c r="L41" s="84">
        <v>8080</v>
      </c>
      <c r="M41" s="84" t="str">
        <f t="shared" si="2"/>
        <v>t-dis-cmbsap-lb-pb8080</v>
      </c>
      <c r="N41" s="84">
        <v>8080</v>
      </c>
      <c r="O41" s="84">
        <v>4</v>
      </c>
      <c r="P41" s="84" t="s">
        <v>125</v>
      </c>
      <c r="Q41" s="84" t="b">
        <v>1</v>
      </c>
      <c r="R41" s="84" t="b">
        <v>0</v>
      </c>
    </row>
    <row r="42" spans="1:18" x14ac:dyDescent="0.3">
      <c r="A42" s="74" t="s">
        <v>185</v>
      </c>
      <c r="B42" s="74" t="str" cm="1">
        <f t="array" ref="B42">UPPER(INDEX(_xlfn.TEXTSPLIT($C42, "-"), 3))</f>
        <v>DIS</v>
      </c>
      <c r="C42" s="74" t="s">
        <v>205</v>
      </c>
      <c r="D42" s="74" t="s">
        <v>345</v>
      </c>
      <c r="E42" s="74" t="str">
        <f t="shared" si="0"/>
        <v>t-dis-bbiweb-lb-rule443</v>
      </c>
      <c r="F42" s="74" t="str">
        <f t="shared" si="1"/>
        <v>t-dis-bbiweb-lb-rule</v>
      </c>
      <c r="G42" s="74" t="str">
        <f t="shared" si="3"/>
        <v>t-dis-bbiweb-lb-fe</v>
      </c>
      <c r="H42" s="74" t="s">
        <v>57</v>
      </c>
      <c r="I42" s="74">
        <v>443</v>
      </c>
      <c r="J42" s="74" t="b">
        <v>0</v>
      </c>
      <c r="K42" s="74" t="str">
        <f t="shared" si="4"/>
        <v>t-dis-bbiweb-lb-bp</v>
      </c>
      <c r="L42" s="74">
        <v>443</v>
      </c>
      <c r="M42" s="74" t="str">
        <f t="shared" si="2"/>
        <v>t-dis-bbiweb-lb-pb443</v>
      </c>
      <c r="N42" s="74">
        <v>443</v>
      </c>
      <c r="O42" s="74">
        <v>4</v>
      </c>
      <c r="P42" s="74" t="s">
        <v>125</v>
      </c>
      <c r="Q42" s="74" t="b">
        <v>1</v>
      </c>
      <c r="R42" s="74" t="b">
        <v>0</v>
      </c>
    </row>
    <row r="43" spans="1:18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 t="shared" si="0"/>
        <v>t-dis-bbimsgap-lb-rule20030</v>
      </c>
      <c r="F43" s="74" t="str">
        <f t="shared" si="1"/>
        <v>t-dis-bbimsgap-lb-rule</v>
      </c>
      <c r="G43" s="84" t="str">
        <f t="shared" si="3"/>
        <v>t-dis-bbimsgap-lb-fe</v>
      </c>
      <c r="H43" s="84" t="s">
        <v>57</v>
      </c>
      <c r="I43" s="84">
        <v>20030</v>
      </c>
      <c r="J43" s="84" t="b">
        <v>0</v>
      </c>
      <c r="K43" s="84" t="str">
        <f t="shared" si="4"/>
        <v>t-dis-bbimsgap-lb-bp</v>
      </c>
      <c r="L43" s="84">
        <v>20030</v>
      </c>
      <c r="M43" s="84" t="str">
        <f t="shared" si="2"/>
        <v>t-dis-bbimsgap-lb-pb20030</v>
      </c>
      <c r="N43" s="84">
        <v>20030</v>
      </c>
      <c r="O43" s="84">
        <v>4</v>
      </c>
      <c r="P43" s="84" t="s">
        <v>125</v>
      </c>
      <c r="Q43" s="84" t="b">
        <v>1</v>
      </c>
      <c r="R43" s="84" t="b">
        <v>0</v>
      </c>
    </row>
    <row r="44" spans="1:18" x14ac:dyDescent="0.3">
      <c r="A44" s="74" t="s">
        <v>185</v>
      </c>
      <c r="B44" s="74" t="str" cm="1">
        <f t="array" ref="B44">UPPER(INDEX(_xlfn.TEXTSPLIT($C44, "-"), 3))</f>
        <v>DIS</v>
      </c>
      <c r="C44" s="74" t="s">
        <v>205</v>
      </c>
      <c r="D44" s="74" t="s">
        <v>346</v>
      </c>
      <c r="E44" s="74" t="str">
        <f t="shared" si="0"/>
        <v>t-dis-bbicltap-lb-rule20000</v>
      </c>
      <c r="F44" s="74" t="str">
        <f t="shared" si="1"/>
        <v>t-dis-bbicltap-lb-rule</v>
      </c>
      <c r="G44" s="74" t="str">
        <f t="shared" si="3"/>
        <v>t-dis-bbicltap-lb-fe</v>
      </c>
      <c r="H44" s="74" t="s">
        <v>57</v>
      </c>
      <c r="I44" s="74">
        <v>20000</v>
      </c>
      <c r="J44" s="74" t="b">
        <v>0</v>
      </c>
      <c r="K44" s="74" t="str">
        <f t="shared" si="4"/>
        <v>t-dis-bbicltap-lb-bp</v>
      </c>
      <c r="L44" s="74">
        <v>20000</v>
      </c>
      <c r="M44" s="74" t="str">
        <f t="shared" si="2"/>
        <v>t-dis-bbicltap-lb-pb20000</v>
      </c>
      <c r="N44" s="74">
        <v>20000</v>
      </c>
      <c r="O44" s="74">
        <v>4</v>
      </c>
      <c r="P44" s="74" t="s">
        <v>125</v>
      </c>
      <c r="Q44" s="74" t="b">
        <v>1</v>
      </c>
      <c r="R44" s="74" t="b">
        <v>0</v>
      </c>
    </row>
    <row r="45" spans="1:18" x14ac:dyDescent="0.3">
      <c r="A45" s="74" t="s">
        <v>185</v>
      </c>
      <c r="B45" s="74" t="str" cm="1">
        <f t="array" ref="B45">UPPER(INDEX(_xlfn.TEXTSPLIT($C45, "-"), 3))</f>
        <v>DIS</v>
      </c>
      <c r="C45" s="74" t="s">
        <v>205</v>
      </c>
      <c r="D45" s="74" t="s">
        <v>346</v>
      </c>
      <c r="E45" s="74" t="str">
        <f t="shared" si="0"/>
        <v>t-dis-bbicltap-lb-rule21000</v>
      </c>
      <c r="F45" s="74" t="str">
        <f t="shared" si="1"/>
        <v>t-dis-bbicltap-lb-rule</v>
      </c>
      <c r="G45" s="74" t="str">
        <f t="shared" si="3"/>
        <v>t-dis-bbicltap-lb-fe</v>
      </c>
      <c r="H45" s="74" t="s">
        <v>57</v>
      </c>
      <c r="I45" s="74">
        <v>21000</v>
      </c>
      <c r="J45" s="74" t="b">
        <v>0</v>
      </c>
      <c r="K45" s="74" t="str">
        <f t="shared" si="4"/>
        <v>t-dis-bbicltap-lb-bp</v>
      </c>
      <c r="L45" s="74">
        <v>21000</v>
      </c>
      <c r="M45" s="74" t="str">
        <f t="shared" si="2"/>
        <v>t-dis-bbicltap-lb-pb21000</v>
      </c>
      <c r="N45" s="74">
        <v>21000</v>
      </c>
      <c r="O45" s="74">
        <v>4</v>
      </c>
      <c r="P45" s="74" t="s">
        <v>125</v>
      </c>
      <c r="Q45" s="74" t="b">
        <v>1</v>
      </c>
      <c r="R45" s="74" t="b">
        <v>0</v>
      </c>
    </row>
    <row r="46" spans="1:18" x14ac:dyDescent="0.3">
      <c r="A46" s="74" t="s">
        <v>185</v>
      </c>
      <c r="B46" s="74" t="str" cm="1">
        <f t="array" ref="B46">UPPER(INDEX(_xlfn.TEXTSPLIT($C46, "-"), 3))</f>
        <v>DIS</v>
      </c>
      <c r="C46" s="74" t="s">
        <v>205</v>
      </c>
      <c r="D46" s="74" t="s">
        <v>346</v>
      </c>
      <c r="E46" s="74" t="str">
        <f t="shared" si="0"/>
        <v>t-dis-bbicltap-lb-rule22000</v>
      </c>
      <c r="F46" s="74" t="str">
        <f t="shared" si="1"/>
        <v>t-dis-bbicltap-lb-rule</v>
      </c>
      <c r="G46" s="74" t="str">
        <f t="shared" si="3"/>
        <v>t-dis-bbicltap-lb-fe</v>
      </c>
      <c r="H46" s="74" t="s">
        <v>57</v>
      </c>
      <c r="I46" s="74">
        <v>22000</v>
      </c>
      <c r="J46" s="74" t="b">
        <v>0</v>
      </c>
      <c r="K46" s="74" t="str">
        <f t="shared" si="4"/>
        <v>t-dis-bbicltap-lb-bp</v>
      </c>
      <c r="L46" s="74">
        <v>22000</v>
      </c>
      <c r="M46" s="74" t="str">
        <f t="shared" si="2"/>
        <v>t-dis-bbicltap-lb-pb22000</v>
      </c>
      <c r="N46" s="74">
        <v>22000</v>
      </c>
      <c r="O46" s="74">
        <v>4</v>
      </c>
      <c r="P46" s="74" t="s">
        <v>125</v>
      </c>
      <c r="Q46" s="74" t="b">
        <v>1</v>
      </c>
      <c r="R46" s="74" t="b">
        <v>0</v>
      </c>
    </row>
    <row r="47" spans="1:18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 t="shared" si="0"/>
        <v>t-dis-ap-lb-rule8080</v>
      </c>
      <c r="F47" s="74" t="str">
        <f t="shared" si="1"/>
        <v>t-dis-ap-lb-rule</v>
      </c>
      <c r="G47" s="84" t="str">
        <f t="shared" si="3"/>
        <v>t-dis-ap-lb-fe</v>
      </c>
      <c r="H47" s="84" t="s">
        <v>57</v>
      </c>
      <c r="I47" s="84">
        <v>8080</v>
      </c>
      <c r="J47" s="84" t="b">
        <v>0</v>
      </c>
      <c r="K47" s="84" t="str">
        <f t="shared" si="4"/>
        <v>t-dis-ap-lb-bp</v>
      </c>
      <c r="L47" s="84">
        <v>8080</v>
      </c>
      <c r="M47" s="84" t="str">
        <f t="shared" si="2"/>
        <v>t-dis-ap-lb-pb8080</v>
      </c>
      <c r="N47" s="84">
        <v>8080</v>
      </c>
      <c r="O47" s="84">
        <v>4</v>
      </c>
      <c r="P47" s="84" t="s">
        <v>125</v>
      </c>
      <c r="Q47" s="84" t="b">
        <v>1</v>
      </c>
      <c r="R47" s="84" t="b">
        <v>0</v>
      </c>
    </row>
    <row r="48" spans="1:18" x14ac:dyDescent="0.3">
      <c r="A48" s="74" t="s">
        <v>185</v>
      </c>
      <c r="B48" s="74" t="str" cm="1">
        <f t="array" ref="B48">UPPER(INDEX(_xlfn.TEXTSPLIT($C48, "-"), 3))</f>
        <v>DIS</v>
      </c>
      <c r="C48" s="74" t="s">
        <v>205</v>
      </c>
      <c r="D48" s="74" t="s">
        <v>344</v>
      </c>
      <c r="E48" s="74" t="str">
        <f t="shared" si="0"/>
        <v>t-dis-adm-lb-rule443</v>
      </c>
      <c r="F48" s="74" t="str">
        <f t="shared" si="1"/>
        <v>t-dis-adm-lb-rule</v>
      </c>
      <c r="G48" s="74" t="str">
        <f t="shared" si="3"/>
        <v>t-dis-adm-lb-fe</v>
      </c>
      <c r="H48" s="74" t="s">
        <v>57</v>
      </c>
      <c r="I48" s="74">
        <v>443</v>
      </c>
      <c r="J48" s="74" t="b">
        <v>0</v>
      </c>
      <c r="K48" s="74" t="str">
        <f t="shared" si="4"/>
        <v>t-dis-adm-lb-bp</v>
      </c>
      <c r="L48" s="74">
        <v>443</v>
      </c>
      <c r="M48" s="74" t="str">
        <f t="shared" si="2"/>
        <v>t-dis-adm-lb-pb443</v>
      </c>
      <c r="N48" s="74">
        <v>443</v>
      </c>
      <c r="O48" s="74">
        <v>4</v>
      </c>
      <c r="P48" s="74" t="s">
        <v>125</v>
      </c>
      <c r="Q48" s="74" t="b">
        <v>1</v>
      </c>
      <c r="R48" s="74" t="b">
        <v>0</v>
      </c>
    </row>
    <row r="49" spans="1:18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 t="shared" si="0"/>
        <v>t-dip-web-lb-rule443</v>
      </c>
      <c r="F49" s="74" t="str">
        <f t="shared" si="1"/>
        <v>t-dip-web-lb-rule</v>
      </c>
      <c r="G49" s="84" t="str">
        <f t="shared" si="3"/>
        <v>t-dip-web-lb-fe</v>
      </c>
      <c r="H49" s="84" t="s">
        <v>57</v>
      </c>
      <c r="I49" s="84">
        <v>443</v>
      </c>
      <c r="J49" s="84" t="b">
        <v>0</v>
      </c>
      <c r="K49" s="84" t="str">
        <f t="shared" si="4"/>
        <v>t-dip-web-lb-bp</v>
      </c>
      <c r="L49" s="84">
        <v>443</v>
      </c>
      <c r="M49" s="84" t="str">
        <f t="shared" si="2"/>
        <v>t-dip-web-lb-pb443</v>
      </c>
      <c r="N49" s="84">
        <v>443</v>
      </c>
      <c r="O49" s="84">
        <v>4</v>
      </c>
      <c r="P49" s="84" t="s">
        <v>125</v>
      </c>
      <c r="Q49" s="84" t="b">
        <v>1</v>
      </c>
      <c r="R49" s="84" t="b">
        <v>0</v>
      </c>
    </row>
    <row r="50" spans="1:18" x14ac:dyDescent="0.3">
      <c r="A50" s="74" t="s">
        <v>185</v>
      </c>
      <c r="B50" s="74" t="str" cm="1">
        <f t="array" ref="B50">UPPER(INDEX(_xlfn.TEXTSPLIT($C50, "-"), 3))</f>
        <v>DIP</v>
      </c>
      <c r="C50" s="74" t="s">
        <v>630</v>
      </c>
      <c r="D50" s="74" t="s">
        <v>379</v>
      </c>
      <c r="E50" s="74" t="str">
        <f t="shared" si="0"/>
        <v>t-dip-web-lb-rule9100</v>
      </c>
      <c r="F50" s="74" t="str">
        <f t="shared" si="1"/>
        <v>t-dip-web-lb-rule</v>
      </c>
      <c r="G50" s="74" t="str">
        <f t="shared" si="3"/>
        <v>t-dip-web-lb-fe</v>
      </c>
      <c r="H50" s="74" t="s">
        <v>57</v>
      </c>
      <c r="I50" s="74">
        <v>9100</v>
      </c>
      <c r="J50" s="74" t="b">
        <v>0</v>
      </c>
      <c r="K50" s="74" t="str">
        <f t="shared" si="4"/>
        <v>t-dip-web-lb-bp</v>
      </c>
      <c r="L50" s="74">
        <v>9100</v>
      </c>
      <c r="M50" s="74" t="str">
        <f t="shared" si="2"/>
        <v>t-dip-web-lb-pb9100</v>
      </c>
      <c r="N50" s="74">
        <v>9100</v>
      </c>
      <c r="O50" s="74">
        <v>4</v>
      </c>
      <c r="P50" s="74" t="s">
        <v>125</v>
      </c>
      <c r="Q50" s="74" t="b">
        <v>1</v>
      </c>
      <c r="R50" s="74" t="b">
        <v>0</v>
      </c>
    </row>
    <row r="51" spans="1:18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 t="shared" si="0"/>
        <v>t-dip-mqweb-lb-rule8883</v>
      </c>
      <c r="F51" s="74" t="str">
        <f t="shared" si="1"/>
        <v>t-dip-mqweb-lb-rule</v>
      </c>
      <c r="G51" s="84" t="str">
        <f>SUBSTITUTE(D51, "hazr-", "")&amp;"-fe"</f>
        <v>t-dip-mqweb-lb-fe</v>
      </c>
      <c r="H51" s="84" t="s">
        <v>57</v>
      </c>
      <c r="I51" s="84">
        <v>8883</v>
      </c>
      <c r="J51" s="84" t="b">
        <v>0</v>
      </c>
      <c r="K51" s="84" t="str">
        <f>SUBSTITUTE(D51, "hazr-", "")&amp;"-bp"</f>
        <v>t-dip-mqweb-lb-bp</v>
      </c>
      <c r="L51" s="84">
        <v>8883</v>
      </c>
      <c r="M51" s="84" t="str">
        <f t="shared" si="2"/>
        <v>t-dip-mqweb-lb-pb8883</v>
      </c>
      <c r="N51" s="84">
        <v>8883</v>
      </c>
      <c r="O51" s="84">
        <v>4</v>
      </c>
      <c r="P51" s="84" t="s">
        <v>125</v>
      </c>
      <c r="Q51" s="84" t="b">
        <v>1</v>
      </c>
      <c r="R51" s="84" t="b">
        <v>0</v>
      </c>
    </row>
    <row r="52" spans="1:18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 t="shared" si="0"/>
        <v>t-dip-mqweb-lb-rule1884</v>
      </c>
      <c r="F52" s="74" t="str">
        <f t="shared" si="1"/>
        <v>t-dip-mqweb-lb-rule</v>
      </c>
      <c r="G52" s="84" t="str">
        <f>SUBSTITUTE(D52, "hazr-", "")&amp;"-fe"</f>
        <v>t-dip-mqweb-lb-fe</v>
      </c>
      <c r="H52" s="84" t="s">
        <v>57</v>
      </c>
      <c r="I52" s="84">
        <v>1884</v>
      </c>
      <c r="J52" s="84" t="b">
        <v>0</v>
      </c>
      <c r="K52" s="84" t="str">
        <f>SUBSTITUTE(D52, "hazr-", "")&amp;"-bp"</f>
        <v>t-dip-mqweb-lb-bp</v>
      </c>
      <c r="L52" s="84">
        <v>1884</v>
      </c>
      <c r="M52" s="84" t="str">
        <f t="shared" si="2"/>
        <v>t-dip-mqweb-lb-pb1884</v>
      </c>
      <c r="N52" s="84">
        <v>1884</v>
      </c>
      <c r="O52" s="84">
        <v>4</v>
      </c>
      <c r="P52" s="84" t="s">
        <v>125</v>
      </c>
      <c r="Q52" s="84" t="b">
        <v>1</v>
      </c>
      <c r="R52" s="84" t="b">
        <v>0</v>
      </c>
    </row>
    <row r="53" spans="1:18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 t="shared" si="0"/>
        <v>t-dip-mqweb-lb-rule9100</v>
      </c>
      <c r="F53" s="74" t="str">
        <f t="shared" si="1"/>
        <v>t-dip-mqweb-lb-rule</v>
      </c>
      <c r="G53" s="84" t="str">
        <f>SUBSTITUTE(D53, "hazr-", "")&amp;"-fe"</f>
        <v>t-dip-mqweb-lb-fe</v>
      </c>
      <c r="H53" s="84" t="s">
        <v>57</v>
      </c>
      <c r="I53" s="84">
        <v>9100</v>
      </c>
      <c r="J53" s="84" t="b">
        <v>0</v>
      </c>
      <c r="K53" s="84" t="str">
        <f>SUBSTITUTE(D53, "hazr-", "")&amp;"-bp"</f>
        <v>t-dip-mqweb-lb-bp</v>
      </c>
      <c r="L53" s="84">
        <v>9100</v>
      </c>
      <c r="M53" s="84" t="str">
        <f t="shared" si="2"/>
        <v>t-dip-mqweb-lb-pb9100</v>
      </c>
      <c r="N53" s="84">
        <v>9100</v>
      </c>
      <c r="O53" s="84">
        <v>4</v>
      </c>
      <c r="P53" s="84" t="s">
        <v>125</v>
      </c>
      <c r="Q53" s="84" t="b">
        <v>1</v>
      </c>
      <c r="R53" s="84" t="b">
        <v>0</v>
      </c>
    </row>
    <row r="54" spans="1:18" x14ac:dyDescent="0.3">
      <c r="A54" s="74" t="s">
        <v>185</v>
      </c>
      <c r="B54" s="74" t="str" cm="1">
        <f t="array" ref="B54">UPPER(INDEX(_xlfn.TEXTSPLIT($C54, "-"), 3))</f>
        <v>DIP</v>
      </c>
      <c r="C54" s="74" t="s">
        <v>630</v>
      </c>
      <c r="D54" s="74" t="s">
        <v>377</v>
      </c>
      <c r="E54" s="74" t="str">
        <f t="shared" si="0"/>
        <v>t-dip-mqap-lb-rule1883</v>
      </c>
      <c r="F54" s="74" t="str">
        <f t="shared" si="1"/>
        <v>t-dip-mqap-lb-rule</v>
      </c>
      <c r="G54" s="74" t="str">
        <f>SUBSTITUTE(D54, "hazr-", "")&amp;"-fe"</f>
        <v>t-dip-mqap-lb-fe</v>
      </c>
      <c r="H54" s="74" t="s">
        <v>57</v>
      </c>
      <c r="I54" s="74">
        <v>1883</v>
      </c>
      <c r="J54" s="74" t="b">
        <v>0</v>
      </c>
      <c r="K54" s="74" t="str">
        <f>SUBSTITUTE(D54, "hazr-", "")&amp;"-bp"</f>
        <v>t-dip-mqap-lb-bp</v>
      </c>
      <c r="L54" s="74">
        <v>1883</v>
      </c>
      <c r="M54" s="74" t="str">
        <f t="shared" si="2"/>
        <v>t-dip-mqap-lb-pb1883</v>
      </c>
      <c r="N54" s="74">
        <v>1883</v>
      </c>
      <c r="O54" s="74">
        <v>4</v>
      </c>
      <c r="P54" s="74" t="s">
        <v>125</v>
      </c>
      <c r="Q54" s="74" t="b">
        <v>1</v>
      </c>
      <c r="R54" s="74" t="b">
        <v>0</v>
      </c>
    </row>
    <row r="55" spans="1:18" x14ac:dyDescent="0.3">
      <c r="A55" s="74" t="s">
        <v>185</v>
      </c>
      <c r="B55" s="74" t="str" cm="1">
        <f t="array" ref="B55">UPPER(INDEX(_xlfn.TEXTSPLIT($C55, "-"), 3))</f>
        <v>DIP</v>
      </c>
      <c r="C55" s="74" t="s">
        <v>630</v>
      </c>
      <c r="D55" s="74" t="s">
        <v>377</v>
      </c>
      <c r="E55" s="74" t="str">
        <f t="shared" si="0"/>
        <v>t-dip-mqap-lb-rule1884</v>
      </c>
      <c r="F55" s="74" t="str">
        <f t="shared" si="1"/>
        <v>t-dip-mqap-lb-rule</v>
      </c>
      <c r="G55" s="74" t="str">
        <f t="shared" ref="G55:G88" si="5">SUBSTITUTE(D55, "hazr-", "")&amp;"-fe"</f>
        <v>t-dip-mqap-lb-fe</v>
      </c>
      <c r="H55" s="74" t="s">
        <v>57</v>
      </c>
      <c r="I55" s="74">
        <v>1884</v>
      </c>
      <c r="J55" s="74" t="b">
        <v>0</v>
      </c>
      <c r="K55" s="74" t="str">
        <f>SUBSTITUTE(D55, "hazr-", "")&amp;"-bp"</f>
        <v>t-dip-mqap-lb-bp</v>
      </c>
      <c r="L55" s="74">
        <v>1884</v>
      </c>
      <c r="M55" s="74" t="str">
        <f t="shared" si="2"/>
        <v>t-dip-mqap-lb-pb1884</v>
      </c>
      <c r="N55" s="74">
        <v>1884</v>
      </c>
      <c r="O55" s="74">
        <v>4</v>
      </c>
      <c r="P55" s="74" t="s">
        <v>125</v>
      </c>
      <c r="Q55" s="74" t="b">
        <v>1</v>
      </c>
      <c r="R55" s="74" t="b">
        <v>0</v>
      </c>
    </row>
    <row r="56" spans="1:18" x14ac:dyDescent="0.3">
      <c r="A56" s="74" t="s">
        <v>185</v>
      </c>
      <c r="B56" s="74" t="str" cm="1">
        <f t="array" ref="B56">UPPER(INDEX(_xlfn.TEXTSPLIT($C56, "-"), 3))</f>
        <v>DIP</v>
      </c>
      <c r="C56" s="74" t="s">
        <v>630</v>
      </c>
      <c r="D56" s="74" t="s">
        <v>377</v>
      </c>
      <c r="E56" s="74" t="str">
        <f t="shared" si="0"/>
        <v>t-dip-mqap-lb-rule18083</v>
      </c>
      <c r="F56" s="74" t="str">
        <f t="shared" si="1"/>
        <v>t-dip-mqap-lb-rule</v>
      </c>
      <c r="G56" s="74" t="str">
        <f t="shared" si="5"/>
        <v>t-dip-mqap-lb-fe</v>
      </c>
      <c r="H56" s="74" t="s">
        <v>57</v>
      </c>
      <c r="I56" s="74">
        <v>18083</v>
      </c>
      <c r="J56" s="74" t="b">
        <v>0</v>
      </c>
      <c r="K56" s="74" t="str">
        <f t="shared" ref="K56:K88" si="6">SUBSTITUTE(D56, "hazr-", "")&amp;"-bp"</f>
        <v>t-dip-mqap-lb-bp</v>
      </c>
      <c r="L56" s="74">
        <v>18083</v>
      </c>
      <c r="M56" s="74" t="str">
        <f t="shared" si="2"/>
        <v>t-dip-mqap-lb-pb18083</v>
      </c>
      <c r="N56" s="74">
        <v>18083</v>
      </c>
      <c r="O56" s="74">
        <v>4</v>
      </c>
      <c r="P56" s="74" t="s">
        <v>125</v>
      </c>
      <c r="Q56" s="74" t="b">
        <v>1</v>
      </c>
      <c r="R56" s="74" t="b">
        <v>0</v>
      </c>
    </row>
    <row r="57" spans="1:18" x14ac:dyDescent="0.3">
      <c r="A57" s="74" t="s">
        <v>185</v>
      </c>
      <c r="B57" s="74" t="str" cm="1">
        <f t="array" ref="B57">UPPER(INDEX(_xlfn.TEXTSPLIT($C57, "-"), 3))</f>
        <v>DIP</v>
      </c>
      <c r="C57" s="74" t="s">
        <v>630</v>
      </c>
      <c r="D57" s="74" t="s">
        <v>377</v>
      </c>
      <c r="E57" s="74" t="str">
        <f t="shared" si="0"/>
        <v>t-dip-mqap-lb-rule9100</v>
      </c>
      <c r="F57" s="74" t="str">
        <f t="shared" si="1"/>
        <v>t-dip-mqap-lb-rule</v>
      </c>
      <c r="G57" s="74" t="str">
        <f t="shared" si="5"/>
        <v>t-dip-mqap-lb-fe</v>
      </c>
      <c r="H57" s="74" t="s">
        <v>57</v>
      </c>
      <c r="I57" s="74">
        <v>9100</v>
      </c>
      <c r="J57" s="74" t="b">
        <v>0</v>
      </c>
      <c r="K57" s="74" t="str">
        <f t="shared" si="6"/>
        <v>t-dip-mqap-lb-bp</v>
      </c>
      <c r="L57" s="74">
        <v>9100</v>
      </c>
      <c r="M57" s="74" t="str">
        <f t="shared" si="2"/>
        <v>t-dip-mqap-lb-pb9100</v>
      </c>
      <c r="N57" s="74">
        <v>9100</v>
      </c>
      <c r="O57" s="74">
        <v>4</v>
      </c>
      <c r="P57" s="74" t="s">
        <v>125</v>
      </c>
      <c r="Q57" s="74" t="b">
        <v>1</v>
      </c>
      <c r="R57" s="74" t="b">
        <v>0</v>
      </c>
    </row>
    <row r="58" spans="1:18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 t="shared" si="0"/>
        <v>t-dip-geoap-lb-rule3660</v>
      </c>
      <c r="F58" s="74" t="str">
        <f t="shared" si="1"/>
        <v>t-dip-geoap-lb-rule</v>
      </c>
      <c r="G58" s="84" t="str">
        <f t="shared" si="5"/>
        <v>t-dip-geoap-lb-fe</v>
      </c>
      <c r="H58" s="84" t="s">
        <v>57</v>
      </c>
      <c r="I58" s="84">
        <v>3660</v>
      </c>
      <c r="J58" s="84" t="b">
        <v>0</v>
      </c>
      <c r="K58" s="84" t="str">
        <f t="shared" si="6"/>
        <v>t-dip-geoap-lb-bp</v>
      </c>
      <c r="L58" s="84">
        <v>3660</v>
      </c>
      <c r="M58" s="84" t="str">
        <f t="shared" si="2"/>
        <v>t-dip-geoap-lb-pb3660</v>
      </c>
      <c r="N58" s="84">
        <v>3660</v>
      </c>
      <c r="O58" s="84">
        <v>4</v>
      </c>
      <c r="P58" s="84" t="s">
        <v>125</v>
      </c>
      <c r="Q58" s="84" t="b">
        <v>1</v>
      </c>
      <c r="R58" s="84" t="b">
        <v>0</v>
      </c>
    </row>
    <row r="59" spans="1:18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 t="shared" si="0"/>
        <v>t-dip-geoap-lb-rule3661</v>
      </c>
      <c r="F59" s="74" t="str">
        <f t="shared" si="1"/>
        <v>t-dip-geoap-lb-rule</v>
      </c>
      <c r="G59" s="84" t="str">
        <f t="shared" si="5"/>
        <v>t-dip-geoap-lb-fe</v>
      </c>
      <c r="H59" s="84" t="s">
        <v>57</v>
      </c>
      <c r="I59" s="84">
        <v>3661</v>
      </c>
      <c r="J59" s="84" t="b">
        <v>0</v>
      </c>
      <c r="K59" s="84" t="str">
        <f t="shared" si="6"/>
        <v>t-dip-geoap-lb-bp</v>
      </c>
      <c r="L59" s="84">
        <v>3661</v>
      </c>
      <c r="M59" s="84" t="str">
        <f t="shared" si="2"/>
        <v>t-dip-geoap-lb-pb3661</v>
      </c>
      <c r="N59" s="84">
        <v>3661</v>
      </c>
      <c r="O59" s="84">
        <v>4</v>
      </c>
      <c r="P59" s="84" t="s">
        <v>125</v>
      </c>
      <c r="Q59" s="84" t="b">
        <v>1</v>
      </c>
      <c r="R59" s="84" t="b">
        <v>0</v>
      </c>
    </row>
    <row r="60" spans="1:18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 t="shared" si="0"/>
        <v>t-dip-geoap-lb-rule3670</v>
      </c>
      <c r="F60" s="74" t="str">
        <f t="shared" si="1"/>
        <v>t-dip-geoap-lb-rule</v>
      </c>
      <c r="G60" s="84" t="str">
        <f t="shared" si="5"/>
        <v>t-dip-geoap-lb-fe</v>
      </c>
      <c r="H60" s="84" t="s">
        <v>57</v>
      </c>
      <c r="I60" s="84">
        <v>3670</v>
      </c>
      <c r="J60" s="84" t="b">
        <v>0</v>
      </c>
      <c r="K60" s="84" t="str">
        <f t="shared" si="6"/>
        <v>t-dip-geoap-lb-bp</v>
      </c>
      <c r="L60" s="84">
        <v>3670</v>
      </c>
      <c r="M60" s="84" t="str">
        <f t="shared" si="2"/>
        <v>t-dip-geoap-lb-pb3670</v>
      </c>
      <c r="N60" s="84">
        <v>3670</v>
      </c>
      <c r="O60" s="84">
        <v>4</v>
      </c>
      <c r="P60" s="84" t="s">
        <v>125</v>
      </c>
      <c r="Q60" s="84" t="b">
        <v>1</v>
      </c>
      <c r="R60" s="84" t="b">
        <v>0</v>
      </c>
    </row>
    <row r="61" spans="1:18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 t="shared" si="0"/>
        <v>t-dip-geoap-lb-rule3671</v>
      </c>
      <c r="F61" s="74" t="str">
        <f t="shared" si="1"/>
        <v>t-dip-geoap-lb-rule</v>
      </c>
      <c r="G61" s="84" t="str">
        <f t="shared" si="5"/>
        <v>t-dip-geoap-lb-fe</v>
      </c>
      <c r="H61" s="84" t="s">
        <v>57</v>
      </c>
      <c r="I61" s="84">
        <v>3671</v>
      </c>
      <c r="J61" s="84" t="b">
        <v>0</v>
      </c>
      <c r="K61" s="84" t="str">
        <f t="shared" si="6"/>
        <v>t-dip-geoap-lb-bp</v>
      </c>
      <c r="L61" s="84">
        <v>3671</v>
      </c>
      <c r="M61" s="84" t="str">
        <f t="shared" si="2"/>
        <v>t-dip-geoap-lb-pb3671</v>
      </c>
      <c r="N61" s="84">
        <v>3671</v>
      </c>
      <c r="O61" s="84">
        <v>4</v>
      </c>
      <c r="P61" s="84" t="s">
        <v>125</v>
      </c>
      <c r="Q61" s="84" t="b">
        <v>1</v>
      </c>
      <c r="R61" s="84" t="b">
        <v>0</v>
      </c>
    </row>
    <row r="62" spans="1:18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 t="shared" si="0"/>
        <v>t-dip-geoap-lb-rule9100</v>
      </c>
      <c r="F62" s="74" t="str">
        <f t="shared" si="1"/>
        <v>t-dip-geoap-lb-rule</v>
      </c>
      <c r="G62" s="84" t="str">
        <f t="shared" si="5"/>
        <v>t-dip-geoap-lb-fe</v>
      </c>
      <c r="H62" s="84" t="s">
        <v>57</v>
      </c>
      <c r="I62" s="84">
        <v>9100</v>
      </c>
      <c r="J62" s="84" t="b">
        <v>0</v>
      </c>
      <c r="K62" s="84" t="str">
        <f t="shared" si="6"/>
        <v>t-dip-geoap-lb-bp</v>
      </c>
      <c r="L62" s="84">
        <v>9100</v>
      </c>
      <c r="M62" s="84" t="str">
        <f t="shared" si="2"/>
        <v>t-dip-geoap-lb-pb9100</v>
      </c>
      <c r="N62" s="84">
        <v>9100</v>
      </c>
      <c r="O62" s="84">
        <v>4</v>
      </c>
      <c r="P62" s="84" t="s">
        <v>125</v>
      </c>
      <c r="Q62" s="84" t="b">
        <v>1</v>
      </c>
      <c r="R62" s="84" t="b">
        <v>0</v>
      </c>
    </row>
    <row r="63" spans="1:18" x14ac:dyDescent="0.3">
      <c r="A63" s="74" t="s">
        <v>185</v>
      </c>
      <c r="B63" s="74" t="str" cm="1">
        <f t="array" ref="B63">UPPER(INDEX(_xlfn.TEXTSPLIT($C63, "-"), 3))</f>
        <v>DIP</v>
      </c>
      <c r="C63" s="74" t="s">
        <v>630</v>
      </c>
      <c r="D63" s="74" t="s">
        <v>375</v>
      </c>
      <c r="E63" s="74"/>
      <c r="F63" s="74"/>
      <c r="G63" s="74" t="str">
        <f t="shared" si="5"/>
        <v>t-dip-flk-lb-fe</v>
      </c>
      <c r="H63" s="74" t="s">
        <v>57</v>
      </c>
      <c r="I63" s="74"/>
      <c r="J63" s="74" t="b">
        <v>0</v>
      </c>
      <c r="K63" s="74" t="str">
        <f t="shared" si="6"/>
        <v>t-dip-flk-lb-bp</v>
      </c>
      <c r="L63" s="74"/>
      <c r="M63" s="74"/>
      <c r="N63" s="74"/>
      <c r="O63" s="74">
        <v>4</v>
      </c>
      <c r="P63" s="74" t="s">
        <v>125</v>
      </c>
      <c r="Q63" s="74" t="b">
        <v>1</v>
      </c>
      <c r="R63" s="74" t="b">
        <v>0</v>
      </c>
    </row>
    <row r="64" spans="1:18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 t="shared" si="0"/>
        <v>t-dip-ap-lb-rule443</v>
      </c>
      <c r="F64" s="74" t="str">
        <f t="shared" si="1"/>
        <v>t-dip-ap-lb-rule</v>
      </c>
      <c r="G64" s="84" t="str">
        <f t="shared" si="5"/>
        <v>t-dip-ap-lb-fe</v>
      </c>
      <c r="H64" s="84" t="s">
        <v>57</v>
      </c>
      <c r="I64" s="84">
        <v>443</v>
      </c>
      <c r="J64" s="84" t="b">
        <v>0</v>
      </c>
      <c r="K64" s="84" t="str">
        <f t="shared" si="6"/>
        <v>t-dip-ap-lb-bp</v>
      </c>
      <c r="L64" s="84">
        <v>443</v>
      </c>
      <c r="M64" s="84" t="str">
        <f t="shared" si="2"/>
        <v>t-dip-ap-lb-pb443</v>
      </c>
      <c r="N64" s="84">
        <v>443</v>
      </c>
      <c r="O64" s="84">
        <v>4</v>
      </c>
      <c r="P64" s="84" t="s">
        <v>125</v>
      </c>
      <c r="Q64" s="84" t="b">
        <v>1</v>
      </c>
      <c r="R64" s="84" t="b">
        <v>0</v>
      </c>
    </row>
    <row r="65" spans="1:18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 t="shared" si="0"/>
        <v>t-dip-ap-lb-rule8100</v>
      </c>
      <c r="F65" s="74" t="str">
        <f t="shared" si="1"/>
        <v>t-dip-ap-lb-rule</v>
      </c>
      <c r="G65" s="84" t="str">
        <f t="shared" si="5"/>
        <v>t-dip-ap-lb-fe</v>
      </c>
      <c r="H65" s="84" t="s">
        <v>57</v>
      </c>
      <c r="I65" s="84">
        <v>8100</v>
      </c>
      <c r="J65" s="84" t="b">
        <v>0</v>
      </c>
      <c r="K65" s="84" t="str">
        <f t="shared" si="6"/>
        <v>t-dip-ap-lb-bp</v>
      </c>
      <c r="L65" s="84">
        <v>8100</v>
      </c>
      <c r="M65" s="84" t="str">
        <f t="shared" si="2"/>
        <v>t-dip-ap-lb-pb8100</v>
      </c>
      <c r="N65" s="84">
        <v>8100</v>
      </c>
      <c r="O65" s="84">
        <v>4</v>
      </c>
      <c r="P65" s="84" t="s">
        <v>125</v>
      </c>
      <c r="Q65" s="84" t="b">
        <v>1</v>
      </c>
      <c r="R65" s="84" t="b">
        <v>0</v>
      </c>
    </row>
    <row r="66" spans="1:18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 t="shared" si="0"/>
        <v>t-dip-ap-lb-rule8200</v>
      </c>
      <c r="F66" s="74" t="str">
        <f t="shared" si="1"/>
        <v>t-dip-ap-lb-rule</v>
      </c>
      <c r="G66" s="84" t="str">
        <f t="shared" si="5"/>
        <v>t-dip-ap-lb-fe</v>
      </c>
      <c r="H66" s="84" t="s">
        <v>57</v>
      </c>
      <c r="I66" s="84">
        <v>8200</v>
      </c>
      <c r="J66" s="84" t="b">
        <v>0</v>
      </c>
      <c r="K66" s="84" t="str">
        <f t="shared" si="6"/>
        <v>t-dip-ap-lb-bp</v>
      </c>
      <c r="L66" s="84">
        <v>8200</v>
      </c>
      <c r="M66" s="84" t="str">
        <f t="shared" si="2"/>
        <v>t-dip-ap-lb-pb8200</v>
      </c>
      <c r="N66" s="84">
        <v>8200</v>
      </c>
      <c r="O66" s="84">
        <v>4</v>
      </c>
      <c r="P66" s="84" t="s">
        <v>125</v>
      </c>
      <c r="Q66" s="84" t="b">
        <v>1</v>
      </c>
      <c r="R66" s="84" t="b">
        <v>0</v>
      </c>
    </row>
    <row r="67" spans="1:18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 t="shared" ref="E67:E88" si="7">SUBSTITUTE(D67, "hazr-", "")&amp;"-rule"&amp;N67</f>
        <v>t-dip-ap-lb-rule8300</v>
      </c>
      <c r="F67" s="74" t="str">
        <f t="shared" ref="F67:F88" si="8">SUBSTITUTE(D67, "hazr-", "")&amp;"-rule"</f>
        <v>t-dip-ap-lb-rule</v>
      </c>
      <c r="G67" s="84" t="str">
        <f t="shared" si="5"/>
        <v>t-dip-ap-lb-fe</v>
      </c>
      <c r="H67" s="84" t="s">
        <v>57</v>
      </c>
      <c r="I67" s="84">
        <v>8300</v>
      </c>
      <c r="J67" s="84" t="b">
        <v>0</v>
      </c>
      <c r="K67" s="84" t="str">
        <f t="shared" si="6"/>
        <v>t-dip-ap-lb-bp</v>
      </c>
      <c r="L67" s="84">
        <v>8300</v>
      </c>
      <c r="M67" s="84" t="str">
        <f t="shared" ref="M67:M88" si="9">SUBSTITUTE(D67, "hazr-", "")&amp;"-pb"&amp;IF(N67="", "", N67)</f>
        <v>t-dip-ap-lb-pb8300</v>
      </c>
      <c r="N67" s="84">
        <v>8300</v>
      </c>
      <c r="O67" s="84">
        <v>4</v>
      </c>
      <c r="P67" s="84" t="s">
        <v>125</v>
      </c>
      <c r="Q67" s="84" t="b">
        <v>1</v>
      </c>
      <c r="R67" s="84" t="b">
        <v>0</v>
      </c>
    </row>
    <row r="68" spans="1:18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 t="shared" si="7"/>
        <v>t-dip-ap-lb-rule8400</v>
      </c>
      <c r="F68" s="74" t="str">
        <f t="shared" si="8"/>
        <v>t-dip-ap-lb-rule</v>
      </c>
      <c r="G68" s="84" t="str">
        <f t="shared" si="5"/>
        <v>t-dip-ap-lb-fe</v>
      </c>
      <c r="H68" s="84" t="s">
        <v>57</v>
      </c>
      <c r="I68" s="84">
        <v>8400</v>
      </c>
      <c r="J68" s="84" t="b">
        <v>0</v>
      </c>
      <c r="K68" s="84" t="str">
        <f t="shared" si="6"/>
        <v>t-dip-ap-lb-bp</v>
      </c>
      <c r="L68" s="84">
        <v>8400</v>
      </c>
      <c r="M68" s="84" t="str">
        <f t="shared" si="9"/>
        <v>t-dip-ap-lb-pb8400</v>
      </c>
      <c r="N68" s="84">
        <v>8400</v>
      </c>
      <c r="O68" s="84">
        <v>4</v>
      </c>
      <c r="P68" s="84" t="s">
        <v>125</v>
      </c>
      <c r="Q68" s="84" t="b">
        <v>1</v>
      </c>
      <c r="R68" s="84" t="b">
        <v>0</v>
      </c>
    </row>
    <row r="69" spans="1:18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 t="shared" si="7"/>
        <v>t-dip-ap-lb-rule9100</v>
      </c>
      <c r="F69" s="74" t="str">
        <f t="shared" si="8"/>
        <v>t-dip-ap-lb-rule</v>
      </c>
      <c r="G69" s="84" t="str">
        <f t="shared" si="5"/>
        <v>t-dip-ap-lb-fe</v>
      </c>
      <c r="H69" s="84" t="s">
        <v>57</v>
      </c>
      <c r="I69" s="84">
        <v>9100</v>
      </c>
      <c r="J69" s="84" t="b">
        <v>0</v>
      </c>
      <c r="K69" s="84" t="str">
        <f t="shared" si="6"/>
        <v>t-dip-ap-lb-bp</v>
      </c>
      <c r="L69" s="84">
        <v>9100</v>
      </c>
      <c r="M69" s="84" t="str">
        <f t="shared" si="9"/>
        <v>t-dip-ap-lb-pb9100</v>
      </c>
      <c r="N69" s="84">
        <v>9100</v>
      </c>
      <c r="O69" s="84">
        <v>4</v>
      </c>
      <c r="P69" s="84" t="s">
        <v>125</v>
      </c>
      <c r="Q69" s="84" t="b">
        <v>1</v>
      </c>
      <c r="R69" s="84" t="b">
        <v>0</v>
      </c>
    </row>
    <row r="70" spans="1:18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 t="shared" si="7"/>
        <v>t-dip-ap-lb-rule9113</v>
      </c>
      <c r="F70" s="74" t="str">
        <f t="shared" si="8"/>
        <v>t-dip-ap-lb-rule</v>
      </c>
      <c r="G70" s="84" t="str">
        <f t="shared" si="5"/>
        <v>t-dip-ap-lb-fe</v>
      </c>
      <c r="H70" s="84" t="s">
        <v>57</v>
      </c>
      <c r="I70" s="84">
        <v>9113</v>
      </c>
      <c r="J70" s="84" t="b">
        <v>0</v>
      </c>
      <c r="K70" s="84" t="str">
        <f t="shared" si="6"/>
        <v>t-dip-ap-lb-bp</v>
      </c>
      <c r="L70" s="84">
        <v>9113</v>
      </c>
      <c r="M70" s="84" t="str">
        <f t="shared" si="9"/>
        <v>t-dip-ap-lb-pb9113</v>
      </c>
      <c r="N70" s="84">
        <v>9113</v>
      </c>
      <c r="O70" s="84">
        <v>4</v>
      </c>
      <c r="P70" s="84" t="s">
        <v>125</v>
      </c>
      <c r="Q70" s="84" t="b">
        <v>1</v>
      </c>
      <c r="R70" s="84" t="b">
        <v>0</v>
      </c>
    </row>
    <row r="71" spans="1:18" x14ac:dyDescent="0.3">
      <c r="A71" s="74" t="s">
        <v>185</v>
      </c>
      <c r="B71" s="74" t="str" cm="1">
        <f t="array" ref="B71">UPPER(INDEX(_xlfn.TEXTSPLIT($C71, "-"), 3))</f>
        <v>DIP</v>
      </c>
      <c r="C71" s="74" t="s">
        <v>630</v>
      </c>
      <c r="D71" s="74" t="s">
        <v>373</v>
      </c>
      <c r="E71" s="74" t="str">
        <f t="shared" si="7"/>
        <v>t-dip-adm-lb-rule443</v>
      </c>
      <c r="F71" s="74" t="str">
        <f t="shared" si="8"/>
        <v>t-dip-adm-lb-rule</v>
      </c>
      <c r="G71" s="74" t="str">
        <f t="shared" si="5"/>
        <v>t-dip-adm-lb-fe</v>
      </c>
      <c r="H71" s="74" t="s">
        <v>57</v>
      </c>
      <c r="I71" s="74">
        <v>443</v>
      </c>
      <c r="J71" s="74" t="b">
        <v>0</v>
      </c>
      <c r="K71" s="74" t="str">
        <f t="shared" si="6"/>
        <v>t-dip-adm-lb-bp</v>
      </c>
      <c r="L71" s="74">
        <v>443</v>
      </c>
      <c r="M71" s="74" t="str">
        <f t="shared" si="9"/>
        <v>t-dip-adm-lb-pb443</v>
      </c>
      <c r="N71" s="74">
        <v>443</v>
      </c>
      <c r="O71" s="74">
        <v>4</v>
      </c>
      <c r="P71" s="74" t="s">
        <v>125</v>
      </c>
      <c r="Q71" s="74" t="b">
        <v>1</v>
      </c>
      <c r="R71" s="74" t="b">
        <v>0</v>
      </c>
    </row>
    <row r="72" spans="1:18" x14ac:dyDescent="0.3">
      <c r="A72" s="74" t="s">
        <v>185</v>
      </c>
      <c r="B72" s="74" t="str" cm="1">
        <f t="array" ref="B72">UPPER(INDEX(_xlfn.TEXTSPLIT($C72, "-"), 3))</f>
        <v>DIP</v>
      </c>
      <c r="C72" s="74" t="s">
        <v>630</v>
      </c>
      <c r="D72" s="74" t="s">
        <v>373</v>
      </c>
      <c r="E72" s="74" t="str">
        <f t="shared" si="7"/>
        <v>t-dip-adm-lb-rule8085</v>
      </c>
      <c r="F72" s="74" t="str">
        <f t="shared" si="8"/>
        <v>t-dip-adm-lb-rule</v>
      </c>
      <c r="G72" s="74" t="str">
        <f t="shared" si="5"/>
        <v>t-dip-adm-lb-fe</v>
      </c>
      <c r="H72" s="74" t="s">
        <v>57</v>
      </c>
      <c r="I72" s="74">
        <v>8085</v>
      </c>
      <c r="J72" s="74" t="b">
        <v>0</v>
      </c>
      <c r="K72" s="74" t="str">
        <f t="shared" si="6"/>
        <v>t-dip-adm-lb-bp</v>
      </c>
      <c r="L72" s="74">
        <v>8085</v>
      </c>
      <c r="M72" s="74" t="str">
        <f t="shared" si="9"/>
        <v>t-dip-adm-lb-pb8085</v>
      </c>
      <c r="N72" s="74">
        <v>8085</v>
      </c>
      <c r="O72" s="74">
        <v>4</v>
      </c>
      <c r="P72" s="74" t="s">
        <v>125</v>
      </c>
      <c r="Q72" s="74" t="b">
        <v>1</v>
      </c>
      <c r="R72" s="74" t="b">
        <v>0</v>
      </c>
    </row>
    <row r="73" spans="1:18" x14ac:dyDescent="0.3">
      <c r="A73" s="74" t="s">
        <v>185</v>
      </c>
      <c r="B73" s="74" t="str" cm="1">
        <f t="array" ref="B73">UPPER(INDEX(_xlfn.TEXTSPLIT($C73, "-"), 3))</f>
        <v>DIP</v>
      </c>
      <c r="C73" s="74" t="s">
        <v>630</v>
      </c>
      <c r="D73" s="74" t="s">
        <v>373</v>
      </c>
      <c r="E73" s="74" t="str">
        <f t="shared" si="7"/>
        <v>t-dip-adm-lb-rule8900</v>
      </c>
      <c r="F73" s="74" t="str">
        <f t="shared" si="8"/>
        <v>t-dip-adm-lb-rule</v>
      </c>
      <c r="G73" s="74" t="str">
        <f t="shared" si="5"/>
        <v>t-dip-adm-lb-fe</v>
      </c>
      <c r="H73" s="74" t="s">
        <v>57</v>
      </c>
      <c r="I73" s="74">
        <v>8900</v>
      </c>
      <c r="J73" s="74" t="b">
        <v>0</v>
      </c>
      <c r="K73" s="74" t="str">
        <f t="shared" si="6"/>
        <v>t-dip-adm-lb-bp</v>
      </c>
      <c r="L73" s="74">
        <v>8900</v>
      </c>
      <c r="M73" s="74" t="str">
        <f t="shared" si="9"/>
        <v>t-dip-adm-lb-pb8900</v>
      </c>
      <c r="N73" s="74">
        <v>8900</v>
      </c>
      <c r="O73" s="74">
        <v>4</v>
      </c>
      <c r="P73" s="74" t="s">
        <v>125</v>
      </c>
      <c r="Q73" s="74" t="b">
        <v>1</v>
      </c>
      <c r="R73" s="74" t="b">
        <v>0</v>
      </c>
    </row>
    <row r="74" spans="1:18" x14ac:dyDescent="0.3">
      <c r="A74" s="74" t="s">
        <v>185</v>
      </c>
      <c r="B74" s="74" t="str" cm="1">
        <f t="array" ref="B74">UPPER(INDEX(_xlfn.TEXTSPLIT($C74, "-"), 3))</f>
        <v>DIP</v>
      </c>
      <c r="C74" s="74" t="s">
        <v>630</v>
      </c>
      <c r="D74" s="74" t="s">
        <v>373</v>
      </c>
      <c r="E74" s="74" t="str">
        <f t="shared" si="7"/>
        <v>t-dip-adm-lb-rule8901</v>
      </c>
      <c r="F74" s="74" t="str">
        <f t="shared" si="8"/>
        <v>t-dip-adm-lb-rule</v>
      </c>
      <c r="G74" s="74" t="str">
        <f t="shared" si="5"/>
        <v>t-dip-adm-lb-fe</v>
      </c>
      <c r="H74" s="74" t="s">
        <v>57</v>
      </c>
      <c r="I74" s="74">
        <v>8901</v>
      </c>
      <c r="J74" s="74" t="b">
        <v>0</v>
      </c>
      <c r="K74" s="74" t="str">
        <f t="shared" si="6"/>
        <v>t-dip-adm-lb-bp</v>
      </c>
      <c r="L74" s="74">
        <v>8901</v>
      </c>
      <c r="M74" s="74" t="str">
        <f t="shared" si="9"/>
        <v>t-dip-adm-lb-pb8901</v>
      </c>
      <c r="N74" s="74">
        <v>8901</v>
      </c>
      <c r="O74" s="74">
        <v>4</v>
      </c>
      <c r="P74" s="74" t="s">
        <v>125</v>
      </c>
      <c r="Q74" s="74" t="b">
        <v>1</v>
      </c>
      <c r="R74" s="74" t="b">
        <v>0</v>
      </c>
    </row>
    <row r="75" spans="1:18" x14ac:dyDescent="0.3">
      <c r="A75" s="74" t="s">
        <v>185</v>
      </c>
      <c r="B75" s="74" t="str" cm="1">
        <f t="array" ref="B75">UPPER(INDEX(_xlfn.TEXTSPLIT($C75, "-"), 3))</f>
        <v>DIP</v>
      </c>
      <c r="C75" s="74" t="s">
        <v>630</v>
      </c>
      <c r="D75" s="74" t="s">
        <v>373</v>
      </c>
      <c r="E75" s="74" t="str">
        <f t="shared" si="7"/>
        <v>t-dip-adm-lb-rule9100</v>
      </c>
      <c r="F75" s="74" t="str">
        <f t="shared" si="8"/>
        <v>t-dip-adm-lb-rule</v>
      </c>
      <c r="G75" s="74" t="str">
        <f t="shared" si="5"/>
        <v>t-dip-adm-lb-fe</v>
      </c>
      <c r="H75" s="74" t="s">
        <v>57</v>
      </c>
      <c r="I75" s="74">
        <v>9100</v>
      </c>
      <c r="J75" s="74" t="b">
        <v>0</v>
      </c>
      <c r="K75" s="74" t="str">
        <f t="shared" si="6"/>
        <v>t-dip-adm-lb-bp</v>
      </c>
      <c r="L75" s="74">
        <v>9100</v>
      </c>
      <c r="M75" s="74" t="str">
        <f t="shared" si="9"/>
        <v>t-dip-adm-lb-pb9100</v>
      </c>
      <c r="N75" s="74">
        <v>9100</v>
      </c>
      <c r="O75" s="74">
        <v>4</v>
      </c>
      <c r="P75" s="74" t="s">
        <v>125</v>
      </c>
      <c r="Q75" s="74" t="b">
        <v>1</v>
      </c>
      <c r="R75" s="74" t="b">
        <v>0</v>
      </c>
    </row>
    <row r="76" spans="1:18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/>
      <c r="F76" s="74"/>
      <c r="G76" s="84" t="str">
        <f t="shared" si="5"/>
        <v>t-cs-chtweb-lb-fe</v>
      </c>
      <c r="H76" s="84" t="s">
        <v>57</v>
      </c>
      <c r="I76" s="84"/>
      <c r="J76" s="84" t="b">
        <v>0</v>
      </c>
      <c r="K76" s="84" t="str">
        <f t="shared" si="6"/>
        <v>t-cs-chtweb-lb-bp</v>
      </c>
      <c r="L76" s="84"/>
      <c r="M76" s="84"/>
      <c r="N76" s="84"/>
      <c r="O76" s="84">
        <v>4</v>
      </c>
      <c r="P76" s="84" t="s">
        <v>125</v>
      </c>
      <c r="Q76" s="84" t="b">
        <v>1</v>
      </c>
      <c r="R76" s="84" t="b">
        <v>0</v>
      </c>
    </row>
    <row r="77" spans="1:18" x14ac:dyDescent="0.3">
      <c r="A77" s="74" t="s">
        <v>185</v>
      </c>
      <c r="B77" s="74" t="str" cm="1">
        <f t="array" ref="B77">UPPER(INDEX(_xlfn.TEXTSPLIT($C77, "-"), 3))</f>
        <v>CS</v>
      </c>
      <c r="C77" s="74" t="s">
        <v>208</v>
      </c>
      <c r="D77" s="74" t="s">
        <v>384</v>
      </c>
      <c r="E77" s="74"/>
      <c r="F77" s="74"/>
      <c r="G77" s="74" t="str">
        <f t="shared" si="5"/>
        <v>t-cs-chtintweb-lb-fe</v>
      </c>
      <c r="H77" s="74" t="s">
        <v>57</v>
      </c>
      <c r="I77" s="74"/>
      <c r="J77" s="74" t="b">
        <v>0</v>
      </c>
      <c r="K77" s="74" t="str">
        <f t="shared" si="6"/>
        <v>t-cs-chtintweb-lb-bp</v>
      </c>
      <c r="L77" s="74"/>
      <c r="M77" s="74"/>
      <c r="N77" s="74"/>
      <c r="O77" s="74">
        <v>4</v>
      </c>
      <c r="P77" s="74" t="s">
        <v>125</v>
      </c>
      <c r="Q77" s="74" t="b">
        <v>1</v>
      </c>
      <c r="R77" s="74" t="b">
        <v>0</v>
      </c>
    </row>
    <row r="78" spans="1:18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/>
      <c r="F78" s="74"/>
      <c r="G78" s="84" t="str">
        <f t="shared" si="5"/>
        <v>t-cs-chtap-lb-fe</v>
      </c>
      <c r="H78" s="84" t="s">
        <v>57</v>
      </c>
      <c r="I78" s="84"/>
      <c r="J78" s="84" t="b">
        <v>0</v>
      </c>
      <c r="K78" s="84" t="str">
        <f t="shared" si="6"/>
        <v>t-cs-chtap-lb-bp</v>
      </c>
      <c r="L78" s="84"/>
      <c r="M78" s="84"/>
      <c r="N78" s="84"/>
      <c r="O78" s="84">
        <v>4</v>
      </c>
      <c r="P78" s="84" t="s">
        <v>125</v>
      </c>
      <c r="Q78" s="84" t="b">
        <v>1</v>
      </c>
      <c r="R78" s="84" t="b">
        <v>0</v>
      </c>
    </row>
    <row r="79" spans="1:18" x14ac:dyDescent="0.3">
      <c r="A79" s="74" t="s">
        <v>185</v>
      </c>
      <c r="B79" s="74" t="str" cm="1">
        <f t="array" ref="B79">UPPER(INDEX(_xlfn.TEXTSPLIT($C79, "-"), 3))</f>
        <v>COM</v>
      </c>
      <c r="C79" s="74" t="s">
        <v>394</v>
      </c>
      <c r="D79" s="74" t="s">
        <v>381</v>
      </c>
      <c r="E79" s="74" t="str">
        <f t="shared" si="7"/>
        <v>t-com-proxy-lb-rule443</v>
      </c>
      <c r="F79" s="74" t="str">
        <f t="shared" si="8"/>
        <v>t-com-proxy-lb-rule</v>
      </c>
      <c r="G79" s="74" t="str">
        <f t="shared" si="5"/>
        <v>t-com-proxy-lb-fe</v>
      </c>
      <c r="H79" s="74" t="s">
        <v>57</v>
      </c>
      <c r="I79" s="74">
        <v>443</v>
      </c>
      <c r="J79" s="74" t="b">
        <v>0</v>
      </c>
      <c r="K79" s="74" t="str">
        <f t="shared" si="6"/>
        <v>t-com-proxy-lb-bp</v>
      </c>
      <c r="L79" s="74">
        <v>443</v>
      </c>
      <c r="M79" s="74" t="str">
        <f t="shared" si="9"/>
        <v>t-com-proxy-lb-pb443</v>
      </c>
      <c r="N79" s="74">
        <v>443</v>
      </c>
      <c r="O79" s="74">
        <v>4</v>
      </c>
      <c r="P79" s="74" t="s">
        <v>125</v>
      </c>
      <c r="Q79" s="74" t="b">
        <v>1</v>
      </c>
      <c r="R79" s="74" t="b">
        <v>0</v>
      </c>
    </row>
    <row r="80" spans="1:18" x14ac:dyDescent="0.3">
      <c r="A80" s="74" t="s">
        <v>185</v>
      </c>
      <c r="B80" s="74" t="str" cm="1">
        <f t="array" ref="B80">UPPER(INDEX(_xlfn.TEXTSPLIT($C80, "-"), 3))</f>
        <v>COM</v>
      </c>
      <c r="C80" s="74" t="s">
        <v>204</v>
      </c>
      <c r="D80" s="74" t="s">
        <v>381</v>
      </c>
      <c r="E80" s="74" t="str">
        <f t="shared" si="7"/>
        <v>t-com-proxy-lb-rule8080</v>
      </c>
      <c r="F80" s="74" t="str">
        <f t="shared" si="8"/>
        <v>t-com-proxy-lb-rule</v>
      </c>
      <c r="G80" s="74" t="str">
        <f t="shared" si="5"/>
        <v>t-com-proxy-lb-fe</v>
      </c>
      <c r="H80" s="74" t="s">
        <v>57</v>
      </c>
      <c r="I80" s="74">
        <v>8080</v>
      </c>
      <c r="J80" s="74" t="b">
        <v>0</v>
      </c>
      <c r="K80" s="74" t="str">
        <f t="shared" si="6"/>
        <v>t-com-proxy-lb-bp</v>
      </c>
      <c r="L80" s="74">
        <v>8080</v>
      </c>
      <c r="M80" s="74" t="str">
        <f t="shared" si="9"/>
        <v>t-com-proxy-lb-pb8080</v>
      </c>
      <c r="N80" s="74">
        <v>8080</v>
      </c>
      <c r="O80" s="74">
        <v>4</v>
      </c>
      <c r="P80" s="74" t="s">
        <v>125</v>
      </c>
      <c r="Q80" s="74" t="b">
        <v>1</v>
      </c>
      <c r="R80" s="74" t="b">
        <v>0</v>
      </c>
    </row>
    <row r="81" spans="1:18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 t="shared" si="7"/>
        <v>t-com-auth-lb-rule8088</v>
      </c>
      <c r="F81" s="74" t="str">
        <f t="shared" si="8"/>
        <v>t-com-auth-lb-rule</v>
      </c>
      <c r="G81" s="84" t="str">
        <f t="shared" si="5"/>
        <v>t-com-auth-lb-fe</v>
      </c>
      <c r="H81" s="84" t="s">
        <v>57</v>
      </c>
      <c r="I81" s="84">
        <v>8088</v>
      </c>
      <c r="J81" s="84" t="b">
        <v>0</v>
      </c>
      <c r="K81" s="84" t="str">
        <f t="shared" si="6"/>
        <v>t-com-auth-lb-bp</v>
      </c>
      <c r="L81" s="84">
        <v>8088</v>
      </c>
      <c r="M81" s="84" t="str">
        <f t="shared" si="9"/>
        <v>t-com-auth-lb-pb8088</v>
      </c>
      <c r="N81" s="84">
        <v>8088</v>
      </c>
      <c r="O81" s="84">
        <v>4</v>
      </c>
      <c r="P81" s="84" t="s">
        <v>125</v>
      </c>
      <c r="Q81" s="84" t="b">
        <v>1</v>
      </c>
      <c r="R81" s="84" t="b">
        <v>0</v>
      </c>
    </row>
    <row r="82" spans="1:18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 t="shared" si="7"/>
        <v>t-com-auth-lb-rule9003</v>
      </c>
      <c r="F82" s="74" t="str">
        <f t="shared" si="8"/>
        <v>t-com-auth-lb-rule</v>
      </c>
      <c r="G82" s="84" t="str">
        <f t="shared" si="5"/>
        <v>t-com-auth-lb-fe</v>
      </c>
      <c r="H82" s="84" t="s">
        <v>57</v>
      </c>
      <c r="I82" s="84">
        <v>9003</v>
      </c>
      <c r="J82" s="84" t="b">
        <v>0</v>
      </c>
      <c r="K82" s="84" t="str">
        <f t="shared" si="6"/>
        <v>t-com-auth-lb-bp</v>
      </c>
      <c r="L82" s="84">
        <v>9003</v>
      </c>
      <c r="M82" s="84" t="str">
        <f t="shared" si="9"/>
        <v>t-com-auth-lb-pb9003</v>
      </c>
      <c r="N82" s="84">
        <v>9003</v>
      </c>
      <c r="O82" s="84">
        <v>4</v>
      </c>
      <c r="P82" s="84" t="s">
        <v>125</v>
      </c>
      <c r="Q82" s="84" t="b">
        <v>1</v>
      </c>
      <c r="R82" s="84" t="b">
        <v>0</v>
      </c>
    </row>
    <row r="83" spans="1:18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 t="shared" si="7"/>
        <v>t-com-auth-lb-rule9005</v>
      </c>
      <c r="F83" s="74" t="str">
        <f t="shared" si="8"/>
        <v>t-com-auth-lb-rule</v>
      </c>
      <c r="G83" s="84" t="str">
        <f t="shared" si="5"/>
        <v>t-com-auth-lb-fe</v>
      </c>
      <c r="H83" s="84" t="s">
        <v>57</v>
      </c>
      <c r="I83" s="84">
        <v>9005</v>
      </c>
      <c r="J83" s="84" t="b">
        <v>0</v>
      </c>
      <c r="K83" s="84" t="str">
        <f t="shared" si="6"/>
        <v>t-com-auth-lb-bp</v>
      </c>
      <c r="L83" s="84">
        <v>9005</v>
      </c>
      <c r="M83" s="84" t="str">
        <f t="shared" si="9"/>
        <v>t-com-auth-lb-pb9005</v>
      </c>
      <c r="N83" s="84">
        <v>9005</v>
      </c>
      <c r="O83" s="84">
        <v>4</v>
      </c>
      <c r="P83" s="84" t="s">
        <v>125</v>
      </c>
      <c r="Q83" s="84" t="b">
        <v>1</v>
      </c>
      <c r="R83" s="84" t="b">
        <v>0</v>
      </c>
    </row>
    <row r="84" spans="1:18" x14ac:dyDescent="0.3">
      <c r="A84" s="74" t="s">
        <v>185</v>
      </c>
      <c r="B84" s="74" t="str" cm="1">
        <f t="array" ref="B84">UPPER(INDEX(_xlfn.TEXTSPLIT($C84, "-"), 3))</f>
        <v>BDP</v>
      </c>
      <c r="C84" s="74" t="s">
        <v>392</v>
      </c>
      <c r="D84" s="74" t="s">
        <v>372</v>
      </c>
      <c r="E84" s="74" t="str">
        <f t="shared" si="7"/>
        <v>t-bdp-slap-lb-rule443</v>
      </c>
      <c r="F84" s="74" t="str">
        <f t="shared" si="8"/>
        <v>t-bdp-slap-lb-rule</v>
      </c>
      <c r="G84" s="74" t="str">
        <f t="shared" si="5"/>
        <v>t-bdp-slap-lb-fe</v>
      </c>
      <c r="H84" s="74" t="s">
        <v>57</v>
      </c>
      <c r="I84" s="74">
        <v>443</v>
      </c>
      <c r="J84" s="74" t="b">
        <v>0</v>
      </c>
      <c r="K84" s="74" t="str">
        <f t="shared" si="6"/>
        <v>t-bdp-slap-lb-bp</v>
      </c>
      <c r="L84" s="74">
        <v>443</v>
      </c>
      <c r="M84" s="74" t="str">
        <f t="shared" si="9"/>
        <v>t-bdp-slap-lb-pb443</v>
      </c>
      <c r="N84" s="74">
        <v>443</v>
      </c>
      <c r="O84" s="74">
        <v>4</v>
      </c>
      <c r="P84" s="74" t="s">
        <v>125</v>
      </c>
      <c r="Q84" s="74" t="b">
        <v>1</v>
      </c>
      <c r="R84" s="74" t="b">
        <v>0</v>
      </c>
    </row>
    <row r="85" spans="1:18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 t="shared" si="7"/>
        <v>t-bdp-cxmadm-lb-rule443</v>
      </c>
      <c r="F85" s="74" t="str">
        <f t="shared" si="8"/>
        <v>t-bdp-cxmadm-lb-rule</v>
      </c>
      <c r="G85" s="84" t="str">
        <f t="shared" si="5"/>
        <v>t-bdp-cxmadm-lb-fe</v>
      </c>
      <c r="H85" s="84" t="s">
        <v>57</v>
      </c>
      <c r="I85" s="84">
        <v>443</v>
      </c>
      <c r="J85" s="84" t="b">
        <v>0</v>
      </c>
      <c r="K85" s="84" t="str">
        <f t="shared" si="6"/>
        <v>t-bdp-cxmadm-lb-bp</v>
      </c>
      <c r="L85" s="84">
        <v>443</v>
      </c>
      <c r="M85" s="84" t="str">
        <f t="shared" si="9"/>
        <v>t-bdp-cxmadm-lb-pb443</v>
      </c>
      <c r="N85" s="84">
        <v>443</v>
      </c>
      <c r="O85" s="84">
        <v>4</v>
      </c>
      <c r="P85" s="84" t="s">
        <v>125</v>
      </c>
      <c r="Q85" s="84" t="b">
        <v>1</v>
      </c>
      <c r="R85" s="84" t="b">
        <v>0</v>
      </c>
    </row>
    <row r="86" spans="1:18" x14ac:dyDescent="0.3">
      <c r="A86" s="74" t="s">
        <v>185</v>
      </c>
      <c r="B86" s="74" t="str" cm="1">
        <f t="array" ref="B86">UPPER(INDEX(_xlfn.TEXTSPLIT($C86, "-"), 3))</f>
        <v>BDP</v>
      </c>
      <c r="C86" s="74" t="s">
        <v>207</v>
      </c>
      <c r="D86" s="74" t="s">
        <v>388</v>
      </c>
      <c r="E86" s="74" t="str">
        <f t="shared" si="7"/>
        <v>t-bdp-crkweb-lb-rule443</v>
      </c>
      <c r="F86" s="74" t="str">
        <f t="shared" si="8"/>
        <v>t-bdp-crkweb-lb-rule</v>
      </c>
      <c r="G86" s="74" t="str">
        <f t="shared" si="5"/>
        <v>t-bdp-crkweb-lb-fe</v>
      </c>
      <c r="H86" s="74" t="s">
        <v>57</v>
      </c>
      <c r="I86" s="74">
        <v>443</v>
      </c>
      <c r="J86" s="74" t="b">
        <v>0</v>
      </c>
      <c r="K86" s="74" t="str">
        <f t="shared" si="6"/>
        <v>t-bdp-crkweb-lb-bp</v>
      </c>
      <c r="L86" s="74">
        <v>443</v>
      </c>
      <c r="M86" s="74" t="str">
        <f t="shared" si="9"/>
        <v>t-bdp-crkweb-lb-pb443</v>
      </c>
      <c r="N86" s="74">
        <v>443</v>
      </c>
      <c r="O86" s="74">
        <v>4</v>
      </c>
      <c r="P86" s="74" t="s">
        <v>125</v>
      </c>
      <c r="Q86" s="74" t="b">
        <v>1</v>
      </c>
      <c r="R86" s="74" t="b">
        <v>0</v>
      </c>
    </row>
    <row r="87" spans="1:18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 t="shared" si="7"/>
        <v>t-bdp-crkml-lb-rule8082</v>
      </c>
      <c r="F87" s="74" t="str">
        <f t="shared" si="8"/>
        <v>t-bdp-crkml-lb-rule</v>
      </c>
      <c r="G87" s="84" t="str">
        <f t="shared" si="5"/>
        <v>t-bdp-crkml-lb-fe</v>
      </c>
      <c r="H87" s="84" t="s">
        <v>57</v>
      </c>
      <c r="I87" s="84">
        <v>8082</v>
      </c>
      <c r="J87" s="84" t="b">
        <v>0</v>
      </c>
      <c r="K87" s="84" t="str">
        <f t="shared" si="6"/>
        <v>t-bdp-crkml-lb-bp</v>
      </c>
      <c r="L87" s="84">
        <v>8082</v>
      </c>
      <c r="M87" s="84" t="str">
        <f t="shared" si="9"/>
        <v>t-bdp-crkml-lb-pb8082</v>
      </c>
      <c r="N87" s="84">
        <v>8082</v>
      </c>
      <c r="O87" s="84">
        <v>4</v>
      </c>
      <c r="P87" s="84" t="s">
        <v>125</v>
      </c>
      <c r="Q87" s="84" t="b">
        <v>1</v>
      </c>
      <c r="R87" s="84" t="b">
        <v>0</v>
      </c>
    </row>
    <row r="88" spans="1:18" x14ac:dyDescent="0.3">
      <c r="A88" s="74" t="s">
        <v>185</v>
      </c>
      <c r="B88" s="74" t="str" cm="1">
        <f t="array" ref="B88">UPPER(INDEX(_xlfn.TEXTSPLIT($C88, "-"), 3))</f>
        <v>BDP</v>
      </c>
      <c r="C88" s="74" t="s">
        <v>207</v>
      </c>
      <c r="D88" s="74" t="s">
        <v>389</v>
      </c>
      <c r="E88" s="74" t="str">
        <f t="shared" si="7"/>
        <v>t-bdp-crkap-lb-rule8085</v>
      </c>
      <c r="F88" s="74" t="str">
        <f t="shared" si="8"/>
        <v>t-bdp-crkap-lb-rule</v>
      </c>
      <c r="G88" s="74" t="str">
        <f t="shared" si="5"/>
        <v>t-bdp-crkap-lb-fe</v>
      </c>
      <c r="H88" s="74" t="s">
        <v>57</v>
      </c>
      <c r="I88" s="74">
        <v>8085</v>
      </c>
      <c r="J88" s="74" t="b">
        <v>0</v>
      </c>
      <c r="K88" s="74" t="str">
        <f t="shared" si="6"/>
        <v>t-bdp-crkap-lb-bp</v>
      </c>
      <c r="L88" s="74">
        <v>8085</v>
      </c>
      <c r="M88" s="74" t="str">
        <f t="shared" si="9"/>
        <v>t-bdp-crkap-lb-pb8085</v>
      </c>
      <c r="N88" s="74">
        <v>8085</v>
      </c>
      <c r="O88" s="74">
        <v>4</v>
      </c>
      <c r="P88" s="74" t="s">
        <v>125</v>
      </c>
      <c r="Q88" s="74" t="b">
        <v>1</v>
      </c>
      <c r="R88" s="74" t="b">
        <v>0</v>
      </c>
    </row>
  </sheetData>
  <autoFilter ref="A1:R88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2026-05-20T08:07:00Z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