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A5EF1A29-BB0D-499D-800A-188882CADB8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VM" sheetId="1" r:id="rId1"/>
    <sheet name="VM_Datadisk" sheetId="14" r:id="rId2"/>
    <sheet name="NSG_Rule" sheetId="3" state="hidden" r:id="rId3"/>
    <sheet name="NSG" sheetId="2" r:id="rId4"/>
    <sheet name="LB" sheetId="6" r:id="rId5"/>
    <sheet name="LB_Probe" sheetId="10" r:id="rId6"/>
    <sheet name="LB_Rule" sheetId="11" r:id="rId7"/>
  </sheets>
  <definedNames>
    <definedName name="_xlnm._FilterDatabase" localSheetId="4" hidden="1">LB!$B$1:$Q$42</definedName>
    <definedName name="_xlnm._FilterDatabase" localSheetId="5" hidden="1">LB_Probe!$B$1:$K$62</definedName>
    <definedName name="_xlnm._FilterDatabase" localSheetId="6" hidden="1">LB_Rule!$B$1:$S$62</definedName>
    <definedName name="_xlnm._FilterDatabase" localSheetId="3" hidden="1">NSG!$B$1:$M$9</definedName>
    <definedName name="_xlnm._FilterDatabase" localSheetId="1" hidden="1">VM_Datadisk!$B$1:$R$9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K10" i="2"/>
  <c r="O10" i="1"/>
  <c r="U10" i="1"/>
  <c r="C3" i="6" l="1" a="1"/>
  <c r="C3" i="6" s="1"/>
  <c r="C4" i="6" a="1"/>
  <c r="C4" i="6"/>
  <c r="C5" i="6" a="1"/>
  <c r="C5" i="6"/>
  <c r="C6" i="6" a="1"/>
  <c r="C6" i="6"/>
  <c r="C7" i="6" a="1"/>
  <c r="C7" i="6" s="1"/>
  <c r="C8" i="6" a="1"/>
  <c r="C8" i="6"/>
  <c r="C9" i="6" a="1"/>
  <c r="C9" i="6"/>
  <c r="C10" i="6" a="1"/>
  <c r="C10" i="6"/>
  <c r="C11" i="6" a="1"/>
  <c r="C11" i="6" s="1"/>
  <c r="C12" i="6" a="1"/>
  <c r="C12" i="6"/>
  <c r="C13" i="6" a="1"/>
  <c r="C13" i="6"/>
  <c r="C14" i="6" a="1"/>
  <c r="C14" i="6"/>
  <c r="C15" i="6" a="1"/>
  <c r="C15" i="6" s="1"/>
  <c r="C16" i="6" a="1"/>
  <c r="C16" i="6"/>
  <c r="C17" i="6" a="1"/>
  <c r="C17" i="6"/>
  <c r="C18" i="6" a="1"/>
  <c r="C18" i="6"/>
  <c r="C19" i="6" a="1"/>
  <c r="C19" i="6" s="1"/>
  <c r="C20" i="6" a="1"/>
  <c r="C20" i="6"/>
  <c r="C21" i="6" a="1"/>
  <c r="C21" i="6"/>
  <c r="C22" i="6" a="1"/>
  <c r="C22" i="6"/>
  <c r="C23" i="6" a="1"/>
  <c r="C23" i="6" s="1"/>
  <c r="C24" i="6" a="1"/>
  <c r="C24" i="6"/>
  <c r="C25" i="6" a="1"/>
  <c r="C25" i="6"/>
  <c r="C26" i="6" a="1"/>
  <c r="C26" i="6"/>
  <c r="C27" i="6" a="1"/>
  <c r="C27" i="6" s="1"/>
  <c r="C28" i="6" a="1"/>
  <c r="C28" i="6"/>
  <c r="C29" i="6" a="1"/>
  <c r="C29" i="6"/>
  <c r="C30" i="6" a="1"/>
  <c r="C30" i="6"/>
  <c r="C31" i="6" a="1"/>
  <c r="C31" i="6" s="1"/>
  <c r="C32" i="6" a="1"/>
  <c r="C32" i="6"/>
  <c r="C33" i="6" a="1"/>
  <c r="C33" i="6"/>
  <c r="C34" i="6" a="1"/>
  <c r="C34" i="6"/>
  <c r="C35" i="6" a="1"/>
  <c r="C35" i="6" s="1"/>
  <c r="C36" i="6" a="1"/>
  <c r="C36" i="6"/>
  <c r="C37" i="6" a="1"/>
  <c r="C37" i="6"/>
  <c r="C38" i="6" a="1"/>
  <c r="C38" i="6"/>
  <c r="C39" i="6" a="1"/>
  <c r="C39" i="6" s="1"/>
  <c r="C40" i="6" a="1"/>
  <c r="C40" i="6"/>
  <c r="C41" i="6" a="1"/>
  <c r="C41" i="6" s="1"/>
  <c r="C42" i="6" a="1"/>
  <c r="C42" i="6"/>
  <c r="C2" i="6" a="1"/>
  <c r="C2" i="6"/>
  <c r="C2" i="1" a="1"/>
  <c r="C2" i="1" s="1"/>
  <c r="O2" i="1"/>
  <c r="U2" i="1"/>
  <c r="C3" i="1" a="1"/>
  <c r="C3" i="1" s="1"/>
  <c r="O3" i="1"/>
  <c r="U3" i="1"/>
  <c r="C4" i="1" a="1"/>
  <c r="C4" i="1" s="1"/>
  <c r="O4" i="1"/>
  <c r="U4" i="1"/>
  <c r="C5" i="14" a="1"/>
  <c r="C5" i="14" s="1"/>
  <c r="C6" i="14" a="1"/>
  <c r="C6" i="14" s="1"/>
  <c r="C7" i="14" a="1"/>
  <c r="C7" i="14" s="1"/>
  <c r="C2" i="14" a="1"/>
  <c r="C2" i="14" s="1"/>
  <c r="C3" i="14" a="1"/>
  <c r="C3" i="14" s="1"/>
  <c r="C4" i="14" a="1"/>
  <c r="C4" i="14" s="1"/>
  <c r="C8" i="14" a="1"/>
  <c r="C8" i="14" s="1"/>
  <c r="C9" i="14" a="1"/>
  <c r="C9" i="14" s="1"/>
  <c r="C5" i="1" a="1"/>
  <c r="C5" i="1" s="1"/>
  <c r="C6" i="1" a="1"/>
  <c r="C6" i="1" s="1"/>
  <c r="C7" i="1" a="1"/>
  <c r="C7" i="1" s="1"/>
  <c r="C9" i="1" a="1"/>
  <c r="C9" i="1" s="1"/>
  <c r="C8" i="1" a="1"/>
  <c r="C8" i="1" s="1"/>
  <c r="K9" i="2"/>
  <c r="E9" i="2"/>
  <c r="C9" i="2" s="1" a="1"/>
  <c r="C9" i="2" s="1"/>
  <c r="U9" i="1"/>
  <c r="O9" i="1"/>
  <c r="K8" i="2"/>
  <c r="K7" i="2"/>
  <c r="E8" i="2"/>
  <c r="C8" i="2" s="1" a="1"/>
  <c r="C8" i="2" s="1"/>
  <c r="E7" i="2"/>
  <c r="C7" i="2" s="1" a="1"/>
  <c r="C7" i="2" s="1"/>
  <c r="O8" i="1"/>
  <c r="U8" i="1"/>
  <c r="O7" i="1"/>
  <c r="U7" i="1"/>
  <c r="C31" i="11" a="1"/>
  <c r="C31" i="11" s="1"/>
  <c r="C32" i="11" a="1"/>
  <c r="C32" i="11" s="1"/>
  <c r="C33" i="11" a="1"/>
  <c r="C33" i="11" s="1"/>
  <c r="C34" i="11" a="1"/>
  <c r="C34" i="11" s="1"/>
  <c r="C35" i="11" a="1"/>
  <c r="C35" i="11" s="1"/>
  <c r="C36" i="11" a="1"/>
  <c r="C36" i="11" s="1"/>
  <c r="C37" i="11" a="1"/>
  <c r="C37" i="11" s="1"/>
  <c r="C38" i="11" a="1"/>
  <c r="C38" i="11" s="1"/>
  <c r="C39" i="11" a="1"/>
  <c r="C39" i="11" s="1"/>
  <c r="C40" i="11" a="1"/>
  <c r="C40" i="11" s="1"/>
  <c r="C41" i="11" a="1"/>
  <c r="C41" i="11"/>
  <c r="C42" i="11" a="1"/>
  <c r="C42" i="11" s="1"/>
  <c r="C43" i="11" a="1"/>
  <c r="C43" i="11" s="1"/>
  <c r="C44" i="11" a="1"/>
  <c r="C44" i="11" s="1"/>
  <c r="C45" i="11" a="1"/>
  <c r="C45" i="11" s="1"/>
  <c r="C46" i="11" a="1"/>
  <c r="C46" i="11" s="1"/>
  <c r="C47" i="11" a="1"/>
  <c r="C47" i="11" s="1"/>
  <c r="C48" i="11" a="1"/>
  <c r="C48" i="11" s="1"/>
  <c r="C49" i="11" a="1"/>
  <c r="C49" i="11" s="1"/>
  <c r="C50" i="11" a="1"/>
  <c r="C50" i="11" s="1"/>
  <c r="C51" i="11" a="1"/>
  <c r="C51" i="11" s="1"/>
  <c r="C52" i="11" a="1"/>
  <c r="C52" i="11" s="1"/>
  <c r="C59" i="11" a="1"/>
  <c r="C59" i="11" s="1"/>
  <c r="C60" i="11" a="1"/>
  <c r="C60" i="11" s="1"/>
  <c r="C61" i="11" a="1"/>
  <c r="C61" i="11" s="1"/>
  <c r="C62" i="11" a="1"/>
  <c r="C62" i="11" s="1"/>
  <c r="C2" i="11" a="1"/>
  <c r="C2" i="11" s="1"/>
  <c r="C3" i="11" a="1"/>
  <c r="C3" i="11" s="1"/>
  <c r="C4" i="11" a="1"/>
  <c r="C4" i="11" s="1"/>
  <c r="C5" i="11" a="1"/>
  <c r="C5" i="11" s="1"/>
  <c r="C6" i="11" a="1"/>
  <c r="C6" i="11" s="1"/>
  <c r="C7" i="11" a="1"/>
  <c r="C7" i="11" s="1"/>
  <c r="C8" i="11" a="1"/>
  <c r="C8" i="11" s="1"/>
  <c r="C9" i="11" a="1"/>
  <c r="C9" i="11" s="1"/>
  <c r="C10" i="11" a="1"/>
  <c r="C10" i="11" s="1"/>
  <c r="C11" i="11" a="1"/>
  <c r="C11" i="11" s="1"/>
  <c r="C12" i="11" a="1"/>
  <c r="C12" i="11" s="1"/>
  <c r="C13" i="11" a="1"/>
  <c r="C13" i="11" s="1"/>
  <c r="C14" i="11" a="1"/>
  <c r="C14" i="11" s="1"/>
  <c r="C15" i="11" a="1"/>
  <c r="C15" i="11" s="1"/>
  <c r="C16" i="11" a="1"/>
  <c r="C16" i="11" s="1"/>
  <c r="C17" i="11" a="1"/>
  <c r="C17" i="11" s="1"/>
  <c r="C18" i="11" a="1"/>
  <c r="C18" i="11" s="1"/>
  <c r="C19" i="11" a="1"/>
  <c r="C19" i="11" s="1"/>
  <c r="C20" i="11" a="1"/>
  <c r="C20" i="11" s="1"/>
  <c r="C21" i="11" a="1"/>
  <c r="C21" i="11" s="1"/>
  <c r="C22" i="11" a="1"/>
  <c r="C22" i="11" s="1"/>
  <c r="C23" i="11" a="1"/>
  <c r="C23" i="11" s="1"/>
  <c r="C24" i="11" a="1"/>
  <c r="C24" i="11" s="1"/>
  <c r="C2" i="10" a="1"/>
  <c r="C2" i="10" s="1"/>
  <c r="C3" i="10" a="1"/>
  <c r="C3" i="10" s="1"/>
  <c r="C4" i="10" a="1"/>
  <c r="C4" i="10" s="1"/>
  <c r="C5" i="10" a="1"/>
  <c r="C5" i="10" s="1"/>
  <c r="C6" i="10" a="1"/>
  <c r="C6" i="10" s="1"/>
  <c r="C7" i="10" a="1"/>
  <c r="C7" i="10" s="1"/>
  <c r="C8" i="10" a="1"/>
  <c r="C8" i="10"/>
  <c r="C9" i="10" a="1"/>
  <c r="C9" i="10" s="1"/>
  <c r="C10" i="10" a="1"/>
  <c r="C10" i="10" s="1"/>
  <c r="C11" i="10" a="1"/>
  <c r="C11" i="10" s="1"/>
  <c r="C12" i="10" a="1"/>
  <c r="C12" i="10" s="1"/>
  <c r="C13" i="10" a="1"/>
  <c r="C13" i="10" s="1"/>
  <c r="C14" i="10" a="1"/>
  <c r="C14" i="10" s="1"/>
  <c r="C15" i="10" a="1"/>
  <c r="C15" i="10" s="1"/>
  <c r="C16" i="10" a="1"/>
  <c r="C16" i="10" s="1"/>
  <c r="C17" i="10" a="1"/>
  <c r="C17" i="10" s="1"/>
  <c r="C18" i="10" a="1"/>
  <c r="C18" i="10" s="1"/>
  <c r="C19" i="10" a="1"/>
  <c r="C19" i="10" s="1"/>
  <c r="C20" i="10" a="1"/>
  <c r="C20" i="10" s="1"/>
  <c r="C21" i="10" a="1"/>
  <c r="C21" i="10" s="1"/>
  <c r="C22" i="10" a="1"/>
  <c r="C22" i="10" s="1"/>
  <c r="C23" i="10" a="1"/>
  <c r="C23" i="10" s="1"/>
  <c r="C24" i="10" a="1"/>
  <c r="C24" i="10" s="1"/>
  <c r="C31" i="10" a="1"/>
  <c r="C31" i="10" s="1"/>
  <c r="C32" i="10" a="1"/>
  <c r="C32" i="10" s="1"/>
  <c r="C33" i="10" a="1"/>
  <c r="C33" i="10" s="1"/>
  <c r="C34" i="10" a="1"/>
  <c r="C34" i="10" s="1"/>
  <c r="C35" i="10" a="1"/>
  <c r="C35" i="10" s="1"/>
  <c r="C36" i="10" a="1"/>
  <c r="C36" i="10" s="1"/>
  <c r="C37" i="10" a="1"/>
  <c r="C37" i="10" s="1"/>
  <c r="C38" i="10" a="1"/>
  <c r="C38" i="10" s="1"/>
  <c r="C39" i="10" a="1"/>
  <c r="C39" i="10" s="1"/>
  <c r="C40" i="10" a="1"/>
  <c r="C40" i="10" s="1"/>
  <c r="C41" i="10" a="1"/>
  <c r="C41" i="10" s="1"/>
  <c r="C42" i="10" a="1"/>
  <c r="C42" i="10"/>
  <c r="C43" i="10" a="1"/>
  <c r="C43" i="10" s="1"/>
  <c r="C44" i="10" a="1"/>
  <c r="C44" i="10" s="1"/>
  <c r="C45" i="10" a="1"/>
  <c r="C45" i="10" s="1"/>
  <c r="C46" i="10" a="1"/>
  <c r="C46" i="10" s="1"/>
  <c r="C47" i="10" a="1"/>
  <c r="C47" i="10" s="1"/>
  <c r="C48" i="10" a="1"/>
  <c r="C48" i="10" s="1"/>
  <c r="C49" i="10" a="1"/>
  <c r="C49" i="10" s="1"/>
  <c r="C50" i="10" a="1"/>
  <c r="C50" i="10" s="1"/>
  <c r="C51" i="10" a="1"/>
  <c r="C51" i="10" s="1"/>
  <c r="C52" i="10" a="1"/>
  <c r="C52" i="10" s="1"/>
  <c r="C59" i="10" a="1"/>
  <c r="C59" i="10" s="1"/>
  <c r="C60" i="10" a="1"/>
  <c r="C60" i="10" s="1"/>
  <c r="C61" i="10" a="1"/>
  <c r="C61" i="10" s="1"/>
  <c r="C62" i="10" a="1"/>
  <c r="C62" i="10" s="1"/>
  <c r="M30" i="11"/>
  <c r="K30" i="11"/>
  <c r="G30" i="11"/>
  <c r="F30" i="11"/>
  <c r="C30" i="11" a="1"/>
  <c r="C30" i="11" s="1"/>
  <c r="M29" i="11"/>
  <c r="K29" i="11"/>
  <c r="G29" i="11"/>
  <c r="F29" i="11"/>
  <c r="C29" i="11" a="1"/>
  <c r="C29" i="11" s="1"/>
  <c r="M28" i="11"/>
  <c r="K28" i="11"/>
  <c r="G28" i="11"/>
  <c r="F28" i="11"/>
  <c r="C28" i="11" a="1"/>
  <c r="C28" i="11" s="1"/>
  <c r="M27" i="11"/>
  <c r="K27" i="11"/>
  <c r="G27" i="11"/>
  <c r="F27" i="11"/>
  <c r="C27" i="11" a="1"/>
  <c r="C27" i="11" s="1"/>
  <c r="F30" i="10"/>
  <c r="C30" i="10" a="1"/>
  <c r="C30" i="10" s="1"/>
  <c r="F29" i="10"/>
  <c r="C29" i="10" a="1"/>
  <c r="C29" i="10" s="1"/>
  <c r="F28" i="10"/>
  <c r="C28" i="10" a="1"/>
  <c r="C28" i="10" s="1"/>
  <c r="F27" i="10"/>
  <c r="C27" i="10" a="1"/>
  <c r="C27" i="10" s="1"/>
  <c r="K19" i="6"/>
  <c r="Q19" i="6"/>
  <c r="K20" i="6"/>
  <c r="Q20" i="6"/>
  <c r="M18" i="11" l="1"/>
  <c r="F18" i="11"/>
  <c r="M26" i="11"/>
  <c r="M31" i="11"/>
  <c r="M32" i="11"/>
  <c r="F26" i="11"/>
  <c r="F31" i="11"/>
  <c r="F32" i="11"/>
  <c r="F60" i="10"/>
  <c r="F51" i="10"/>
  <c r="F52" i="10"/>
  <c r="F40" i="10"/>
  <c r="F41" i="10"/>
  <c r="F42" i="10"/>
  <c r="F43" i="10"/>
  <c r="F38" i="10"/>
  <c r="F35" i="10"/>
  <c r="F33" i="10"/>
  <c r="C26" i="10" a="1"/>
  <c r="C26" i="10" s="1"/>
  <c r="F26" i="10"/>
  <c r="F24" i="10"/>
  <c r="F22" i="10"/>
  <c r="F20" i="10"/>
  <c r="F16" i="10"/>
  <c r="F6" i="10"/>
  <c r="F7" i="10"/>
  <c r="F12" i="10"/>
  <c r="E2" i="2" l="1"/>
  <c r="C2" i="2" s="1" a="1"/>
  <c r="C2" i="2" s="1"/>
  <c r="E3" i="2"/>
  <c r="C3" i="2" s="1" a="1"/>
  <c r="C3" i="2" s="1"/>
  <c r="E4" i="2"/>
  <c r="C4" i="2" s="1" a="1"/>
  <c r="C4" i="2" s="1"/>
  <c r="E5" i="2"/>
  <c r="C5" i="2" s="1" a="1"/>
  <c r="C5" i="2" s="1"/>
  <c r="E6" i="2"/>
  <c r="C6" i="2" s="1" a="1"/>
  <c r="C6" i="2" s="1"/>
  <c r="K2" i="2"/>
  <c r="K3" i="2"/>
  <c r="K4" i="2"/>
  <c r="K5" i="2"/>
  <c r="K6" i="2"/>
  <c r="O5" i="1"/>
  <c r="O6" i="1"/>
  <c r="U5" i="1" l="1"/>
  <c r="U6" i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9" i="11"/>
  <c r="F20" i="11"/>
  <c r="F21" i="11"/>
  <c r="F22" i="11"/>
  <c r="F23" i="11"/>
  <c r="F24" i="11"/>
  <c r="F25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9" i="11"/>
  <c r="M20" i="11"/>
  <c r="M21" i="11"/>
  <c r="M22" i="11"/>
  <c r="M23" i="11"/>
  <c r="M24" i="11"/>
  <c r="M25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2" i="11"/>
  <c r="G53" i="11"/>
  <c r="G54" i="11"/>
  <c r="G55" i="11"/>
  <c r="G56" i="11"/>
  <c r="G57" i="11"/>
  <c r="G58" i="11"/>
  <c r="G59" i="11"/>
  <c r="G60" i="11"/>
  <c r="G61" i="11"/>
  <c r="G62" i="11"/>
  <c r="K53" i="11"/>
  <c r="K54" i="11"/>
  <c r="K55" i="11"/>
  <c r="K56" i="11"/>
  <c r="K57" i="11"/>
  <c r="K58" i="11"/>
  <c r="K59" i="11"/>
  <c r="K60" i="11"/>
  <c r="K61" i="11"/>
  <c r="K62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G2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F18" i="10"/>
  <c r="F19" i="10"/>
  <c r="F21" i="10"/>
  <c r="F23" i="10"/>
  <c r="F32" i="10"/>
  <c r="F3" i="10"/>
  <c r="F44" i="10"/>
  <c r="F5" i="10"/>
  <c r="F9" i="10"/>
  <c r="F10" i="10"/>
  <c r="F36" i="10"/>
  <c r="F56" i="10"/>
  <c r="F49" i="10"/>
  <c r="F39" i="10"/>
  <c r="F37" i="10"/>
  <c r="F34" i="10"/>
  <c r="F13" i="10"/>
  <c r="F14" i="10"/>
  <c r="F15" i="10"/>
  <c r="F17" i="10"/>
  <c r="F25" i="10"/>
  <c r="F31" i="10"/>
  <c r="F8" i="10"/>
  <c r="F47" i="10"/>
  <c r="F46" i="10"/>
  <c r="F45" i="10"/>
  <c r="F53" i="10"/>
  <c r="F54" i="10"/>
  <c r="F62" i="10"/>
  <c r="F59" i="10"/>
  <c r="F57" i="10"/>
  <c r="F58" i="10"/>
  <c r="F11" i="10"/>
  <c r="F2" i="10"/>
  <c r="F4" i="10"/>
  <c r="F55" i="10"/>
  <c r="F48" i="10"/>
  <c r="F50" i="10"/>
  <c r="F61" i="10"/>
  <c r="K2" i="11" l="1"/>
  <c r="K3" i="11"/>
  <c r="K4" i="11"/>
  <c r="K5" i="11"/>
  <c r="K6" i="11"/>
  <c r="G3" i="11"/>
  <c r="G4" i="11"/>
  <c r="G5" i="11"/>
  <c r="C26" i="11" a="1"/>
  <c r="C26" i="11" s="1"/>
  <c r="C25" i="11" a="1"/>
  <c r="C25" i="11" s="1"/>
  <c r="C25" i="10" a="1"/>
  <c r="C25" i="10" s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3" i="6"/>
  <c r="Q2" i="6"/>
  <c r="K26" i="6"/>
  <c r="K17" i="6"/>
  <c r="K16" i="6"/>
  <c r="K15" i="6"/>
  <c r="K14" i="6"/>
  <c r="K13" i="6"/>
  <c r="K25" i="6"/>
  <c r="K24" i="6"/>
  <c r="K23" i="6"/>
  <c r="K22" i="6"/>
  <c r="K21" i="6"/>
  <c r="K42" i="6"/>
  <c r="K18" i="6"/>
  <c r="K12" i="6"/>
  <c r="K11" i="6"/>
  <c r="K8" i="6"/>
  <c r="K7" i="6"/>
  <c r="K6" i="6"/>
  <c r="K5" i="6"/>
  <c r="K4" i="6"/>
  <c r="K40" i="6"/>
  <c r="K3" i="6"/>
  <c r="K39" i="6"/>
  <c r="K2" i="6"/>
  <c r="K29" i="6"/>
  <c r="K28" i="6"/>
  <c r="K27" i="6"/>
  <c r="K41" i="6"/>
  <c r="K10" i="6"/>
  <c r="K9" i="6"/>
  <c r="K34" i="6"/>
  <c r="K33" i="6"/>
  <c r="K32" i="6"/>
  <c r="K31" i="6"/>
  <c r="K30" i="6"/>
  <c r="K37" i="6"/>
  <c r="K36" i="6"/>
  <c r="K35" i="6"/>
  <c r="K3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Q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<sst xmlns="http://schemas.openxmlformats.org/spreadsheetml/2006/main" count="1878" uniqueCount="335">
  <si>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</si>
  <si>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</si>
  <si>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</si>
  <si>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</si>
  <si>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</si>
  <si>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</si>
  <si>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</si>
  <si>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</si>
  <si>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</si>
  <si>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</si>
  <si>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</si>
  <si>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</si>
  <si>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</si>
  <si>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</si>
  <si>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</si>
  <si>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</si>
  <si>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</si>
  <si>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</si>
  <si>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</si>
  <si>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</si>
  <si>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</si>
  <si>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</si>
  <si>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</si>
  <si>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</si>
  <si>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</si>
  <si>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</si>
  <si>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</si>
  <si>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</si>
  <si>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</si>
  <si>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</si>
  <si>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</si>
  <si>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</si>
  <si>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</si>
  <si>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</si>
  <si>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</si>
  <si>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</si>
  <si>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</si>
  <si>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</si>
  <si>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</si>
  <si>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</si>
  <si>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</si>
  <si>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</si>
  <si>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</si>
  <si>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</si>
  <si>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</si>
  <si>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</si>
  <si>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</si>
  <si>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</si>
  <si>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</si>
  <si>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</si>
  <si>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</si>
  <si>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</si>
  <si>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</si>
  <si>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</si>
  <si>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</si>
  <si>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</si>
  <si>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</si>
  <si>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</si>
  <si>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</si>
  <si>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</si>
  <si>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</si>
  <si>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</si>
  <si>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</si>
  <si>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</si>
  <si>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</si>
  <si>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</si>
  <si>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</si>
  <si>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</si>
  <si>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</si>
  <si>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</si>
  <si>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</si>
  <si>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</si>
  <si>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</si>
  <si>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</si>
  <si>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</si>
  <si>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</si>
  <si>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</si>
  <si>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</si>
  <si>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</si>
  <si>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VnetRG</t>
    <phoneticPr fontId="1" type="noConversion"/>
  </si>
  <si>
    <t>OsType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</si>
  <si>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</si>
  <si>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</si>
  <si>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</si>
  <si>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</si>
  <si>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</si>
  <si>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</si>
  <si>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</si>
  <si>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</si>
  <si>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</si>
  <si>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</si>
  <si>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</si>
  <si>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</si>
  <si>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</si>
  <si>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</si>
  <si>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</si>
  <si>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</si>
  <si>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</si>
  <si>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</si>
  <si>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</si>
  <si>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</si>
  <si>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</si>
  <si>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</si>
  <si>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</si>
  <si>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</si>
  <si>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</si>
  <si>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</si>
  <si>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</si>
  <si>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</si>
  <si>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</si>
  <si>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</si>
  <si>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</si>
  <si>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</si>
  <si>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</si>
  <si>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</si>
  <si>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</si>
  <si>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</si>
  <si>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</si>
  <si>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</si>
  <si>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</si>
  <si>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Gksthschlrh!2#4</t>
    <phoneticPr fontId="1" type="noConversion"/>
  </si>
  <si>
    <t>StandardSSD_LRS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</si>
  <si>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</si>
  <si>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</si>
  <si>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</si>
  <si>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</si>
  <si>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</si>
  <si>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</si>
  <si>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</si>
  <si>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</si>
  <si>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</si>
  <si>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</si>
  <si>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</si>
  <si>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</si>
  <si>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</si>
  <si>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</si>
  <si>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</si>
  <si>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hazr-l-comm-vnet</t>
  </si>
  <si>
    <t>hazr-l-comm-vnet</t>
    <phoneticPr fontId="1" type="noConversion"/>
  </si>
  <si>
    <t>Gksthschlrh!2#4</t>
  </si>
  <si>
    <t>-</t>
    <phoneticPr fontId="1" type="noConversion"/>
  </si>
  <si>
    <t>O</t>
    <phoneticPr fontId="1" type="noConversion"/>
  </si>
  <si>
    <t>NicRG</t>
    <phoneticPr fontId="1" type="noConversion"/>
  </si>
  <si>
    <t>hazr-l-mon-whtap02</t>
    <phoneticPr fontId="1" type="noConversion"/>
  </si>
  <si>
    <t>hazr-l-mon-whtap01</t>
    <phoneticPr fontId="1" type="noConversion"/>
  </si>
  <si>
    <t>hazr-l-comm-rg</t>
    <phoneticPr fontId="1" type="noConversion"/>
  </si>
  <si>
    <t>hazr-l-comm-double-des</t>
    <phoneticPr fontId="1" type="noConversion"/>
  </si>
  <si>
    <t>hazr-l-mon-whtap03</t>
    <phoneticPr fontId="1" type="noConversion"/>
  </si>
  <si>
    <t>PBPort</t>
    <phoneticPr fontId="1" type="noConversion"/>
  </si>
  <si>
    <t>PBProtocol</t>
    <phoneticPr fontId="1" type="noConversion"/>
  </si>
  <si>
    <t>hazr-p-dch-rg</t>
  </si>
  <si>
    <t>hazr-p-dch-ext-vnet</t>
  </si>
  <si>
    <t>hazr-p-dch-int-vnet</t>
  </si>
  <si>
    <t>hazr-p-dch-rg</t>
    <phoneticPr fontId="1" type="noConversion"/>
  </si>
  <si>
    <t>p-dis-ap-sbn</t>
    <phoneticPr fontId="1" type="noConversion"/>
  </si>
  <si>
    <t>p-dis-web-sbn</t>
    <phoneticPr fontId="1" type="noConversion"/>
  </si>
  <si>
    <t>hazr-l-com-build01</t>
    <phoneticPr fontId="1" type="noConversion"/>
  </si>
  <si>
    <t>hazr-l-com-repoweb01</t>
    <phoneticPr fontId="1" type="noConversion"/>
  </si>
  <si>
    <t>hazr-l-mon-rg</t>
  </si>
  <si>
    <t>l-mon-ap-sbn</t>
  </si>
  <si>
    <t>10.155.161.68</t>
  </si>
  <si>
    <t>10.155.161.69</t>
  </si>
  <si>
    <t>10.155.161.70</t>
  </si>
  <si>
    <t>D2s_v5</t>
  </si>
  <si>
    <t>D8s_v5</t>
  </si>
  <si>
    <t>Linux</t>
  </si>
  <si>
    <t>PremiumSSD_LRS</t>
    <phoneticPr fontId="1" type="noConversion"/>
  </si>
  <si>
    <t>l-mon-whtap01-disk01</t>
    <phoneticPr fontId="1" type="noConversion"/>
  </si>
  <si>
    <t>l-mon-whtap01-disk02</t>
    <phoneticPr fontId="1" type="noConversion"/>
  </si>
  <si>
    <t>l-mon-whtap02-disk01</t>
    <phoneticPr fontId="1" type="noConversion"/>
  </si>
  <si>
    <t>l-mon-whtap02-disk02</t>
    <phoneticPr fontId="1" type="noConversion"/>
  </si>
  <si>
    <t>l-mon-whtap03-disk01</t>
    <phoneticPr fontId="1" type="noConversion"/>
  </si>
  <si>
    <t>l-com-build01-disk01</t>
    <phoneticPr fontId="1" type="noConversion"/>
  </si>
  <si>
    <t>l-com-build01-disk02</t>
    <phoneticPr fontId="1" type="noConversion"/>
  </si>
  <si>
    <t>l-com-repoweb01-disk01</t>
    <phoneticPr fontId="1" type="noConversion"/>
  </si>
  <si>
    <t>l-com-repoweb01-disk02</t>
    <phoneticPr fontId="1" type="noConversion"/>
  </si>
  <si>
    <t>RPD</t>
    <phoneticPr fontId="1" type="noConversion"/>
  </si>
  <si>
    <t>ETC</t>
    <phoneticPr fontId="1" type="noConversion"/>
  </si>
  <si>
    <t>hazr-p-dis-ap-lb</t>
  </si>
  <si>
    <t>hazr-p-dis-adm-lb</t>
  </si>
  <si>
    <t>hazr-p-dis-bbiweb-lb</t>
  </si>
  <si>
    <t>hazr-p-dis-bbicltap-lb</t>
  </si>
  <si>
    <t>hazr-p-dis-bbimsgap-lb</t>
  </si>
  <si>
    <t>hazr-p-dis-drvmsgap-lb</t>
  </si>
  <si>
    <t>hazr-p-dis-web-lb</t>
  </si>
  <si>
    <t>hazr-p-dis-cmsadm-lb</t>
  </si>
  <si>
    <t>hazr-p-dis-cmsap-lb</t>
  </si>
  <si>
    <t>hazr-p-dis-cmsweb-lb</t>
  </si>
  <si>
    <t>hazr-p-dis-cmbsap-lb</t>
  </si>
  <si>
    <t>hazr-p-dtg-ingap-lb</t>
  </si>
  <si>
    <t>hazr-p-dtg-ap-lb</t>
  </si>
  <si>
    <t>hazr-p-dtg-extgeoap-lb</t>
  </si>
  <si>
    <t>hazr-p-dtg-geoap-lb</t>
  </si>
  <si>
    <t>hazr-p-dtg-admweb-lb</t>
  </si>
  <si>
    <t>hazr-p-dtg-admap-lb</t>
  </si>
  <si>
    <t>hazr-p-dtg-web-lb</t>
  </si>
  <si>
    <t>hazr-p-dtg-cdmlap-lb</t>
  </si>
  <si>
    <t>hazr-p-dtg-cdstap-lb</t>
  </si>
  <si>
    <t>hazr-p-dtg-cdsvadm-lb</t>
  </si>
  <si>
    <t>hazr-p-dtg-diosap-lb</t>
  </si>
  <si>
    <t>hazr-p-dtg-diosweb-lb</t>
  </si>
  <si>
    <t>hazr-p-dtg-dprweb-lb</t>
  </si>
  <si>
    <t>hazr-p-dtg-dprap-lb</t>
  </si>
  <si>
    <t>hazr-p-bdp-cxmadm-lb</t>
  </si>
  <si>
    <t>hazr-p-bdp-slap-lb</t>
  </si>
  <si>
    <t>hazr-p-if-auth-lb</t>
  </si>
  <si>
    <t>hazr-p-cs-chtap-lb</t>
  </si>
  <si>
    <t>hazr-p-cs-chtweb-lb</t>
  </si>
  <si>
    <t>hazr-p-cs-chtintweb-lb</t>
  </si>
  <si>
    <t>hazr-p-doip-web-lb</t>
  </si>
  <si>
    <t>hazr-p-doip-ap-lb</t>
  </si>
  <si>
    <t>hazr-p-doip-adm-lb</t>
  </si>
  <si>
    <t>hazr-p-bdp-crkweb-lb</t>
  </si>
  <si>
    <t>hazr-p-bdp-crkap-lb</t>
  </si>
  <si>
    <t>hazr-p-bdp-crkml-lb</t>
  </si>
  <si>
    <t>hazr-p-dis-ap-lb</t>
    <phoneticPr fontId="1" type="noConversion"/>
  </si>
  <si>
    <t>10.158.144.10</t>
    <phoneticPr fontId="1" type="noConversion"/>
  </si>
  <si>
    <t>hazr-p-dis-rg</t>
    <phoneticPr fontId="1" type="noConversion"/>
  </si>
  <si>
    <t>hazr-p-dtg-rg</t>
    <phoneticPr fontId="1" type="noConversion"/>
  </si>
  <si>
    <t>hazr-p-bdp-rg</t>
    <phoneticPr fontId="1" type="noConversion"/>
  </si>
  <si>
    <t>hazr-p-if-rg</t>
    <phoneticPr fontId="1" type="noConversion"/>
  </si>
  <si>
    <t>hazr-p-cs-rg</t>
    <phoneticPr fontId="1" type="noConversion"/>
  </si>
  <si>
    <t>hazr-p-doip-rg</t>
    <phoneticPr fontId="1" type="noConversion"/>
  </si>
  <si>
    <t>10.158.144.20</t>
    <phoneticPr fontId="1" type="noConversion"/>
  </si>
  <si>
    <t>10.158.128.10</t>
    <phoneticPr fontId="1" type="noConversion"/>
  </si>
  <si>
    <t>10.158.144.30</t>
    <phoneticPr fontId="1" type="noConversion"/>
  </si>
  <si>
    <t>10.158.144.40</t>
    <phoneticPr fontId="1" type="noConversion"/>
  </si>
  <si>
    <t>10.158.144.80</t>
    <phoneticPr fontId="1" type="noConversion"/>
  </si>
  <si>
    <t>10.158.144.90</t>
    <phoneticPr fontId="1" type="noConversion"/>
  </si>
  <si>
    <t>10.158.128.30</t>
    <phoneticPr fontId="1" type="noConversion"/>
  </si>
  <si>
    <t>10.158.144.100</t>
    <phoneticPr fontId="1" type="noConversion"/>
  </si>
  <si>
    <t>10.158.144.110</t>
    <phoneticPr fontId="1" type="noConversion"/>
  </si>
  <si>
    <t>10.158.128.40</t>
    <phoneticPr fontId="1" type="noConversion"/>
  </si>
  <si>
    <t>10.158.144.120</t>
    <phoneticPr fontId="1" type="noConversion"/>
  </si>
  <si>
    <t>10.158.153.10</t>
    <phoneticPr fontId="1" type="noConversion"/>
  </si>
  <si>
    <t>10.158.153.20</t>
    <phoneticPr fontId="1" type="noConversion"/>
  </si>
  <si>
    <t>10.158.153.30</t>
    <phoneticPr fontId="1" type="noConversion"/>
  </si>
  <si>
    <t>10.158.153.40</t>
    <phoneticPr fontId="1" type="noConversion"/>
  </si>
  <si>
    <t>10.158.131.10</t>
    <phoneticPr fontId="1" type="noConversion"/>
  </si>
  <si>
    <t>10.158.153.50</t>
    <phoneticPr fontId="1" type="noConversion"/>
  </si>
  <si>
    <t>10.158.153.60</t>
    <phoneticPr fontId="1" type="noConversion"/>
  </si>
  <si>
    <t>10.158.131.20</t>
    <phoneticPr fontId="1" type="noConversion"/>
  </si>
  <si>
    <t>10.158.153.110</t>
    <phoneticPr fontId="1" type="noConversion"/>
  </si>
  <si>
    <t>10.158.153.120</t>
    <phoneticPr fontId="1" type="noConversion"/>
  </si>
  <si>
    <t>10.158.153.130</t>
    <phoneticPr fontId="1" type="noConversion"/>
  </si>
  <si>
    <t>10.158.153.140</t>
    <phoneticPr fontId="1" type="noConversion"/>
  </si>
  <si>
    <t>10.158.153.150</t>
    <phoneticPr fontId="1" type="noConversion"/>
  </si>
  <si>
    <t>10.158.131.30</t>
    <phoneticPr fontId="1" type="noConversion"/>
  </si>
  <si>
    <t>10.158.153.160</t>
    <phoneticPr fontId="1" type="noConversion"/>
  </si>
  <si>
    <t>10.158.156.30</t>
    <phoneticPr fontId="1" type="noConversion"/>
  </si>
  <si>
    <t>10.158.156.40</t>
    <phoneticPr fontId="1" type="noConversion"/>
  </si>
  <si>
    <t>10.158.165.60</t>
    <phoneticPr fontId="1" type="noConversion"/>
  </si>
  <si>
    <t>10.158.168.10</t>
    <phoneticPr fontId="1" type="noConversion"/>
  </si>
  <si>
    <t>10.158.136.10</t>
    <phoneticPr fontId="1" type="noConversion"/>
  </si>
  <si>
    <t>10.158.168.20</t>
    <phoneticPr fontId="1" type="noConversion"/>
  </si>
  <si>
    <t>10.158.150.10</t>
    <phoneticPr fontId="1" type="noConversion"/>
  </si>
  <si>
    <t>10.158.150.20</t>
    <phoneticPr fontId="1" type="noConversion"/>
  </si>
  <si>
    <t>10.158.150.30</t>
    <phoneticPr fontId="1" type="noConversion"/>
  </si>
  <si>
    <t>10.158.132.10</t>
    <phoneticPr fontId="1" type="noConversion"/>
  </si>
  <si>
    <t>10.158.156.50</t>
    <phoneticPr fontId="1" type="noConversion"/>
  </si>
  <si>
    <t>10.158.156.60</t>
    <phoneticPr fontId="1" type="noConversion"/>
  </si>
  <si>
    <t>p-dtg-ap-sbn</t>
    <phoneticPr fontId="1" type="noConversion"/>
  </si>
  <si>
    <t>p-dtg-web-sbn</t>
    <phoneticPr fontId="1" type="noConversion"/>
  </si>
  <si>
    <t>p-bdp-ap-sbn</t>
    <phoneticPr fontId="1" type="noConversion"/>
  </si>
  <si>
    <t>p-if-ap-sbn</t>
    <phoneticPr fontId="1" type="noConversion"/>
  </si>
  <si>
    <t>p-cs-ap-sbn</t>
    <phoneticPr fontId="1" type="noConversion"/>
  </si>
  <si>
    <t>p-cs-web-sbn</t>
    <phoneticPr fontId="1" type="noConversion"/>
  </si>
  <si>
    <t>p-doip-ap-sbn</t>
    <phoneticPr fontId="1" type="noConversion"/>
  </si>
  <si>
    <t>p-bdp-web-sbn</t>
    <phoneticPr fontId="1" type="noConversion"/>
  </si>
  <si>
    <t>hazr-p-dis-adm-lb</t>
    <phoneticPr fontId="1" type="noConversion"/>
  </si>
  <si>
    <t>hazr-p-dis-bbiweb-lb</t>
    <phoneticPr fontId="1" type="noConversion"/>
  </si>
  <si>
    <t>hazr-p-dis-bbimsgap-lb</t>
    <phoneticPr fontId="1" type="noConversion"/>
  </si>
  <si>
    <t>hazr-p-dis-drvmsgap-lb</t>
    <phoneticPr fontId="1" type="noConversion"/>
  </si>
  <si>
    <t>hazr-p-dis-cmsweb-lb</t>
    <phoneticPr fontId="1" type="noConversion"/>
  </si>
  <si>
    <t>hazr-p-dtg-ingap-lb</t>
    <phoneticPr fontId="1" type="noConversion"/>
  </si>
  <si>
    <t>hazr-p-dtg-extgeoap-lb</t>
    <phoneticPr fontId="1" type="noConversion"/>
  </si>
  <si>
    <t>hazr-p-dtg-admap-lb</t>
    <phoneticPr fontId="1" type="noConversion"/>
  </si>
  <si>
    <t>hazr-p-dtg-cdmlap-lb</t>
    <phoneticPr fontId="1" type="noConversion"/>
  </si>
  <si>
    <t>hazr-p-dtg-cdsvadm-lb</t>
    <phoneticPr fontId="1" type="noConversion"/>
  </si>
  <si>
    <t>hazr-p-dtg-diosweb-lb</t>
    <phoneticPr fontId="1" type="noConversion"/>
  </si>
  <si>
    <t>hazr-p-dtg-dprap-lb</t>
    <phoneticPr fontId="1" type="noConversion"/>
  </si>
  <si>
    <t>hazr-p-bdp-slap-lb</t>
    <phoneticPr fontId="1" type="noConversion"/>
  </si>
  <si>
    <t>hazr-p-dis-cmsadm-lb</t>
    <phoneticPr fontId="1" type="noConversion"/>
  </si>
  <si>
    <t>?</t>
    <phoneticPr fontId="1" type="noConversion"/>
  </si>
  <si>
    <t>확인필요</t>
    <phoneticPr fontId="1" type="noConversion"/>
  </si>
  <si>
    <t>hazr-p-cs-chtweb-lb</t>
    <phoneticPr fontId="1" type="noConversion"/>
  </si>
  <si>
    <t>hazr-p-doip-web-lb</t>
    <phoneticPr fontId="1" type="noConversion"/>
  </si>
  <si>
    <t>hazr-p-doip-adm-lb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</si>
  <si>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</si>
  <si>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/subscriptions/b73b1d70-b43f-41b5-bb3f-34b9236d2ed9/resourceGroups/hazr-l-mgmt-rg/providers/Microsoft.Compute/galleries/hazrlmgmtgal/images/RHEL_9.6_nginx_Base_Image/versions/0.0.9</t>
  </si>
  <si>
    <t>l-if-ap-sbn</t>
    <phoneticPr fontId="1" type="noConversion"/>
  </si>
  <si>
    <t>l-mon-ap-sbn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</si>
  <si>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</si>
  <si>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/subscriptions/b73b1d70-b43f-41b5-bb3f-34b9236d2ed9/resourceGroups/hazr-l-mgmt-rg/providers/Microsoft.Compute/galleries/hazrlmgmtgal/images/Windows_Server_2025_Base_Image/versions/0.0.1</t>
    <phoneticPr fontId="1" type="noConversion"/>
  </si>
  <si>
    <t>10.155.161.132</t>
    <phoneticPr fontId="1" type="noConversion"/>
  </si>
  <si>
    <t>10.155.161.133</t>
    <phoneticPr fontId="1" type="noConversion"/>
  </si>
  <si>
    <t>D4s_v5</t>
    <phoneticPr fontId="1" type="noConversion"/>
  </si>
  <si>
    <t>/subscriptions/b73b1d70-b43f-41b5-bb3f-34b9236d2ed9/resourceGroups/hazr-l-mgmt-rg/providers/Microsoft.Compute/galleries/hazrlmgmtgal/images/RHEL_9.6_Base_Image/versions/0.1.1</t>
    <phoneticPr fontId="1" type="noConversion"/>
  </si>
  <si>
    <t>hazr-p-dtg-mq-lb01</t>
    <phoneticPr fontId="1" type="noConversion"/>
  </si>
  <si>
    <t>hazr-p-dtg-mq-lb02</t>
  </si>
  <si>
    <t>hazr-p-dtg-mq-lb03</t>
  </si>
  <si>
    <t>10.158.131.40</t>
    <phoneticPr fontId="1" type="noConversion"/>
  </si>
  <si>
    <t>10.158.131.50</t>
    <phoneticPr fontId="1" type="noConversion"/>
  </si>
  <si>
    <t>hazr-p-dtg-mq-lb03</t>
    <phoneticPr fontId="1" type="noConversion"/>
  </si>
  <si>
    <t>hazr-p-dtg-mq-lb02</t>
    <phoneticPr fontId="1" type="noConversion"/>
  </si>
  <si>
    <t>1,2,3</t>
    <phoneticPr fontId="1" type="noConversion"/>
  </si>
  <si>
    <t>ZoneRedundant</t>
    <phoneticPr fontId="1" type="noConversion"/>
  </si>
  <si>
    <t>hazr-p-dis-drvcltap-lb</t>
    <phoneticPr fontId="1" type="noConversion"/>
  </si>
  <si>
    <t>hazr-l-sec-rg</t>
    <phoneticPr fontId="1" type="noConversion"/>
  </si>
  <si>
    <t>hazr-l-sec-virsol01</t>
    <phoneticPr fontId="1" type="noConversion"/>
  </si>
  <si>
    <t>hazr-l-sec-wbdsol01</t>
    <phoneticPr fontId="1" type="noConversion"/>
  </si>
  <si>
    <t>10.155.194.11</t>
    <phoneticPr fontId="1" type="noConversion"/>
  </si>
  <si>
    <t>E8-4ds_v5</t>
    <phoneticPr fontId="1" type="noConversion"/>
  </si>
  <si>
    <t>Windows</t>
    <phoneticPr fontId="1" type="noConversion"/>
  </si>
  <si>
    <t>hazr-l-sec-vnet</t>
    <phoneticPr fontId="1" type="noConversion"/>
  </si>
  <si>
    <t>l-sec-ap-sbn</t>
    <phoneticPr fontId="1" type="noConversion"/>
  </si>
  <si>
    <t>hazr-l-sec-des</t>
    <phoneticPr fontId="1" type="noConversion"/>
  </si>
  <si>
    <t>l-sec-virsol01-disk01</t>
    <phoneticPr fontId="1" type="noConversion"/>
  </si>
  <si>
    <t>l-sec-virsol01-disk02</t>
    <phoneticPr fontId="1" type="noConversion"/>
  </si>
  <si>
    <t>l-sec-wbdsol01-disk01</t>
    <phoneticPr fontId="1" type="noConversion"/>
  </si>
  <si>
    <t>l-sec-wbdsol01-disk02</t>
    <phoneticPr fontId="1" type="noConversion"/>
  </si>
  <si>
    <t>LAND</t>
    <phoneticPr fontId="1" type="noConversion"/>
  </si>
  <si>
    <t>hazr-l-com-scmsol01</t>
    <phoneticPr fontId="1" type="noConversion"/>
  </si>
  <si>
    <t>10.155.161.134</t>
    <phoneticPr fontId="1" type="noConversion"/>
  </si>
  <si>
    <t>l-com-scmsol01-disk01</t>
    <phoneticPr fontId="1" type="noConversion"/>
  </si>
  <si>
    <t>l-com-scmsol01-disk02</t>
    <phoneticPr fontId="1" type="noConversion"/>
  </si>
  <si>
    <t>10.155.194.21</t>
    <phoneticPr fontId="1" type="noConversion"/>
  </si>
  <si>
    <t>COM</t>
    <phoneticPr fontId="1" type="noConversion"/>
  </si>
  <si>
    <t>hazr-l-if-hipsproxy01</t>
    <phoneticPr fontId="1" type="noConversion"/>
  </si>
  <si>
    <t>10.155.161.135</t>
    <phoneticPr fontId="1" type="noConversion"/>
  </si>
  <si>
    <t>D2s_v5</t>
    <phoneticPr fontId="1" type="noConversion"/>
  </si>
  <si>
    <t>/subscriptions/b73b1d70-b43f-41b5-bb3f-34b9236d2ed9/resourceGroups/hazr-l-mgmt-rg/providers/Microsoft.Compute/galleries/hazrlmgmtgal/images/RHEL_9.8_Base_Image/versions/0.0.1</t>
    <phoneticPr fontId="1" type="noConversion"/>
  </si>
  <si>
    <t>COM</t>
    <phoneticPr fontId="1" type="noConversion"/>
  </si>
  <si>
    <t>l-if-hipsproxy01-disk01</t>
    <phoneticPr fontId="1" type="noConversion"/>
  </si>
  <si>
    <t>l-if-hipsproxy01-disk02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</si>
</sst>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8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8" borderId="1" xfId="0" applyFont="1" applyFill="1" applyBorder="1">
      <alignment vertical="center"/>
    </xf>
    <xf numFmtId="49" fontId="3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0" borderId="15" xfId="0" applyNumberFormat="1" applyFont="1" applyBorder="1" applyAlignment="1">
      <alignment horizontal="center" vertical="center"/>
    </xf>
    <xf numFmtId="0" fontId="3" fillId="0" borderId="22" xfId="0" applyNumberFormat="1" applyFont="1" applyBorder="1" applyAlignment="1">
      <alignment horizontal="center" vertical="center"/>
    </xf>
  </cellXfs>
  <cellStyles count="1">
    <cellStyle name="표준" xfId="0" builtinId="0"/>
  </cellStyles>
  <dxfs count="33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10" totalsRowShown="0" headerRowDxfId="32" dataDxfId="31">
  <autoFilter ref="B1:AF10" xr:uid="{00000000-0009-0000-0100-000001000000}"/>
  <tableColumns count="31">
    <tableColumn id="1" xr3:uid="{00000000-0010-0000-0000-000001000000}" name="Stage" dataDxfId="30"/>
    <tableColumn id="2" xr3:uid="{DD2076C4-D866-4329-BEA8-1D816DAF3627}" name="Role" dataDxfId="29">
      <calculatedColumnFormula array="1">UPPER(INDEX(_xlfn.TEXTSPLIT($F2, "-"), 3))</calculatedColumnFormula>
    </tableColumn>
    <tableColumn id="3" xr3:uid="{00000000-0010-0000-0000-000003000000}" name="RGname" dataDxfId="28"/>
    <tableColumn id="4" xr3:uid="{00000000-0010-0000-0000-000004000000}" name="Location" dataDxfId="27"/>
    <tableColumn id="5" xr3:uid="{00000000-0010-0000-0000-000005000000}" name="Name" dataDxfId="26"/>
    <tableColumn id="6" xr3:uid="{00000000-0010-0000-0000-000006000000}" name="PrivateIP" dataDxfId="25"/>
    <tableColumn id="22" xr3:uid="{00000000-0010-0000-0000-000016000000}" name="VmSize" dataDxfId="24"/>
    <tableColumn id="23" xr3:uid="{00000000-0010-0000-0000-000017000000}" name="CPU" dataDxfId="23"/>
    <tableColumn id="34" xr3:uid="{00000000-0010-0000-0000-000022000000}" name="RAM" dataDxfId="22"/>
    <tableColumn id="7" xr3:uid="{00000000-0010-0000-0000-000007000000}" name="AdminUsername" dataDxfId="21"/>
    <tableColumn id="8" xr3:uid="{00000000-0010-0000-0000-000008000000}" name="AdminPassword" dataDxfId="20"/>
    <tableColumn id="9" xr3:uid="{00000000-0010-0000-0000-000009000000}" name="OsType" dataDxfId="19"/>
    <tableColumn id="10" xr3:uid="{5C5FDBAD-A0A4-4C75-968A-8587646674EE}" name="ImageResourceId" dataDxfId="18"/>
    <tableColumn id="12" xr3:uid="{00000000-0010-0000-0000-00000C000000}" name="OsDiskName" dataDxfId="17">
      <calculatedColumnFormula>SUBSTITUTE(F2,"hazr-","")&amp;"-osdisk"</calculatedColumnFormula>
    </tableColumn>
    <tableColumn id="13" xr3:uid="{00000000-0010-0000-0000-00000D000000}" name="OsDiskSize" dataDxfId="16"/>
    <tableColumn id="14" xr3:uid="{00000000-0010-0000-0000-00000E000000}" name="OsDiskStorageType" dataDxfId="15"/>
    <tableColumn id="24" xr3:uid="{00000000-0010-0000-0000-000018000000}" name="DataDiskName" dataDxfId="14"/>
    <tableColumn id="25" xr3:uid="{00000000-0010-0000-0000-000019000000}" name="DataDiskSize" dataDxfId="13"/>
    <tableColumn id="26" xr3:uid="{00000000-0010-0000-0000-00001A000000}" name="DataDiskStorageType" dataDxfId="12"/>
    <tableColumn id="15" xr3:uid="{00000000-0010-0000-0000-00000F000000}" name="NicName" dataDxfId="11">
      <calculatedColumnFormula>SUBSTITUTE(F2,"hazr-","")&amp;"-nic"</calculatedColumnFormula>
    </tableColumn>
    <tableColumn id="27" xr3:uid="{6FD9A0A6-7008-49AB-B2C9-4BEDF1811434}" name="EnableAcceleratedNetworking" dataDxfId="10"/>
    <tableColumn id="17" xr3:uid="{00000000-0010-0000-0000-000011000000}" name="IsStatic" dataDxfId="9"/>
    <tableColumn id="11" xr3:uid="{65903CF2-1AF4-4B86-A9E4-474DE495E3CB}" name="VnetRG" dataDxfId="8"/>
    <tableColumn id="18" xr3:uid="{00000000-0010-0000-0000-000012000000}" name="VnetName" dataDxfId="7"/>
    <tableColumn id="19" xr3:uid="{00000000-0010-0000-0000-000013000000}" name="SubnetName" dataDxfId="6"/>
    <tableColumn id="28" xr3:uid="{73185387-6B41-497F-9EB6-5675CC43B3E3}" name="UseOsDiskDoubleEncryption " dataDxfId="5"/>
    <tableColumn id="21" xr3:uid="{804782E7-599A-496A-B10D-EFCB52F3E7DB}" name="DESRG" dataDxfId="4"/>
    <tableColumn id="16" xr3:uid="{1ED2A695-2028-4644-8B0B-7B32A8F548C4}" name="DESName" dataDxfId="3"/>
    <tableColumn id="36" xr3:uid="{9EB3DACA-84E4-4D05-8E76-433A4A9E33E7}" name="Zones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F10"/>
  <sheetViews>
    <sheetView zoomScaleNormal="100" zoomScaleSheetLayoutView="100" workbookViewId="0">
      <pane xSplit="6" ySplit="1" topLeftCell="G2" activePane="bottomRight" state="frozen"/>
      <selection pane="topRight"/>
      <selection pane="bottomLeft"/>
      <selection pane="bottomRight" activeCell="F10" sqref="F10"/>
    </sheetView>
  </sheetViews>
  <sheetFormatPr defaultRowHeight="16.5" x14ac:dyDescent="0.3"/>
  <cols>
    <col min="1" max="1" width="1.25" customWidth="1"/>
    <col min="2" max="2" width="13.875" bestFit="1" customWidth="1"/>
    <col min="3" max="3" width="11" customWidth="1"/>
    <col min="4" max="4" width="13.5" bestFit="1" customWidth="1"/>
    <col min="5" max="5" width="12.25" bestFit="1" customWidth="1"/>
    <col min="6" max="6" width="19.875" style="82" bestFit="1" customWidth="1"/>
    <col min="7" max="7" width="14" bestFit="1" customWidth="1"/>
    <col min="8" max="8" width="11.125" style="70" bestFit="1" customWidth="1"/>
    <col min="9" max="9" width="6.75" style="70" bestFit="1" customWidth="1"/>
    <col min="10" max="10" width="7.25" style="70" bestFit="1" customWidth="1"/>
    <col min="11" max="11" width="16.875" bestFit="1" customWidth="1"/>
    <col min="12" max="12" width="15.875" customWidth="1"/>
    <col min="13" max="13" width="16.25" style="82" bestFit="1" customWidth="1"/>
    <col min="14" max="14" width="167" style="1" bestFit="1" customWidth="1"/>
    <col min="15" max="15" width="21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9.375" style="70" bestFit="1" customWidth="1"/>
    <col min="26" max="26" width="15.5" style="70" bestFit="1" customWidth="1"/>
    <col min="27" max="27" width="29.75" bestFit="1" customWidth="1"/>
    <col min="28" max="28" width="13.5" bestFit="1" customWidth="1"/>
    <col min="29" max="29" width="21.125" bestFit="1" customWidth="1"/>
    <col min="30" max="30" width="10.125" bestFit="1" customWidth="1"/>
    <col min="31" max="31" width="15" customWidth="1"/>
    <col min="32" max="32" width="17" customWidth="1"/>
  </cols>
  <sheetData>
    <row r="1" spans="1:32" x14ac:dyDescent="0.3">
      <c r="A1" s="47"/>
      <c r="B1" s="82" t="s">
        <v>0</v>
      </c>
      <c r="C1" s="82" t="s">
        <v>1</v>
      </c>
      <c r="D1" s="86" t="s">
        <v>2</v>
      </c>
      <c r="E1" s="86" t="s">
        <v>3</v>
      </c>
      <c r="F1" s="86" t="s">
        <v>4</v>
      </c>
      <c r="G1" s="86" t="s">
        <v>5</v>
      </c>
      <c r="H1" s="86" t="s">
        <v>6</v>
      </c>
      <c r="I1" s="82" t="s">
        <v>7</v>
      </c>
      <c r="J1" s="82" t="s">
        <v>8</v>
      </c>
      <c r="K1" s="86" t="s">
        <v>9</v>
      </c>
      <c r="L1" s="87" t="s">
        <v>10</v>
      </c>
      <c r="M1" s="88" t="s">
        <v>80</v>
      </c>
      <c r="N1" s="86" t="s">
        <v>28</v>
      </c>
      <c r="O1" s="86" t="s">
        <v>11</v>
      </c>
      <c r="P1" s="86" t="s">
        <v>12</v>
      </c>
      <c r="Q1" s="86" t="s">
        <v>13</v>
      </c>
      <c r="R1" s="82" t="s">
        <v>14</v>
      </c>
      <c r="S1" s="82" t="s">
        <v>15</v>
      </c>
      <c r="T1" s="82" t="s">
        <v>16</v>
      </c>
      <c r="U1" s="86" t="s">
        <v>17</v>
      </c>
      <c r="V1" s="86" t="s">
        <v>135</v>
      </c>
      <c r="W1" s="86" t="s">
        <v>18</v>
      </c>
      <c r="X1" s="86" t="s">
        <v>79</v>
      </c>
      <c r="Y1" s="86" t="s">
        <v>19</v>
      </c>
      <c r="Z1" s="86" t="s">
        <v>20</v>
      </c>
      <c r="AA1" s="86" t="s">
        <v>136</v>
      </c>
      <c r="AB1" s="86" t="s">
        <v>134</v>
      </c>
      <c r="AC1" s="86" t="s">
        <v>119</v>
      </c>
      <c r="AD1" s="86" t="s">
        <v>25</v>
      </c>
      <c r="AE1" s="82" t="s">
        <v>21</v>
      </c>
      <c r="AF1" s="82" t="s">
        <v>22</v>
      </c>
    </row>
    <row r="2" spans="1:32" x14ac:dyDescent="0.3">
      <c r="A2" s="84"/>
      <c r="B2" s="69" t="s">
        <v>321</v>
      </c>
      <c r="C2" s="88" t="str" cm="1">
        <f t="array" ref="C2">UPPER(INDEX(_xlfn.TEXTSPLIT($F2, "-"), 3))</f>
        <v>MON</v>
      </c>
      <c r="D2" s="75" t="s">
        <v>158</v>
      </c>
      <c r="E2" s="69" t="s">
        <v>24</v>
      </c>
      <c r="F2" s="69" t="s">
        <v>144</v>
      </c>
      <c r="G2" s="75" t="s">
        <v>160</v>
      </c>
      <c r="H2" s="75" t="s">
        <v>164</v>
      </c>
      <c r="I2" s="75">
        <v>8</v>
      </c>
      <c r="J2" s="75">
        <v>32</v>
      </c>
      <c r="K2" s="69" t="s">
        <v>122</v>
      </c>
      <c r="L2" s="69" t="s">
        <v>139</v>
      </c>
      <c r="M2" s="75" t="s">
        <v>165</v>
      </c>
      <c r="N2" s="91" t="s">
        <v>288</v>
      </c>
      <c r="O2" s="69" t="str">
        <f t="shared" ref="O2:O4" si="0">SUBSTITUTE(F2,"hazr-","")&amp;"-osdisk"</f>
        <v>l-mon-whtap01-osdisk</v>
      </c>
      <c r="P2" s="90">
        <v>64</v>
      </c>
      <c r="Q2" s="69" t="s">
        <v>121</v>
      </c>
      <c r="R2" s="69"/>
      <c r="S2" s="69"/>
      <c r="T2" s="69"/>
      <c r="U2" s="69" t="str">
        <f t="shared" ref="U2:U4" si="1">SUBSTITUTE(F2,"hazr-","")&amp;"-nic"</f>
        <v>l-mon-whtap01-nic</v>
      </c>
      <c r="V2" s="69" t="b">
        <v>1</v>
      </c>
      <c r="W2" s="69" t="b">
        <v>1</v>
      </c>
      <c r="X2" s="69" t="s">
        <v>145</v>
      </c>
      <c r="Y2" s="69" t="s">
        <v>137</v>
      </c>
      <c r="Z2" s="69" t="s">
        <v>159</v>
      </c>
      <c r="AA2" s="69" t="b">
        <v>1</v>
      </c>
      <c r="AB2" s="69" t="s">
        <v>145</v>
      </c>
      <c r="AC2" s="69" t="s">
        <v>146</v>
      </c>
      <c r="AD2" s="75">
        <v>1</v>
      </c>
      <c r="AE2" s="69"/>
      <c r="AF2" s="69"/>
    </row>
    <row r="3" spans="1:32" x14ac:dyDescent="0.3">
      <c r="A3" s="84"/>
      <c r="B3" s="69" t="s">
        <v>321</v>
      </c>
      <c r="C3" s="88" t="str" cm="1">
        <f t="array" ref="C3">UPPER(INDEX(_xlfn.TEXTSPLIT($F3, "-"), 3))</f>
        <v>MON</v>
      </c>
      <c r="D3" s="75" t="s">
        <v>158</v>
      </c>
      <c r="E3" s="69" t="s">
        <v>24</v>
      </c>
      <c r="F3" s="69" t="s">
        <v>143</v>
      </c>
      <c r="G3" s="75" t="s">
        <v>161</v>
      </c>
      <c r="H3" s="75" t="s">
        <v>164</v>
      </c>
      <c r="I3" s="75">
        <v>8</v>
      </c>
      <c r="J3" s="75">
        <v>32</v>
      </c>
      <c r="K3" s="69" t="s">
        <v>122</v>
      </c>
      <c r="L3" s="69" t="s">
        <v>139</v>
      </c>
      <c r="M3" s="75" t="s">
        <v>165</v>
      </c>
      <c r="N3" s="91" t="s">
        <v>288</v>
      </c>
      <c r="O3" s="69" t="str">
        <f t="shared" si="0"/>
        <v>l-mon-whtap02-osdisk</v>
      </c>
      <c r="P3" s="90">
        <v>64</v>
      </c>
      <c r="Q3" s="69" t="s">
        <v>121</v>
      </c>
      <c r="R3" s="69"/>
      <c r="S3" s="69"/>
      <c r="T3" s="69"/>
      <c r="U3" s="69" t="str">
        <f t="shared" si="1"/>
        <v>l-mon-whtap02-nic</v>
      </c>
      <c r="V3" s="69" t="b">
        <v>1</v>
      </c>
      <c r="W3" s="69" t="b">
        <v>1</v>
      </c>
      <c r="X3" s="69" t="s">
        <v>145</v>
      </c>
      <c r="Y3" s="69" t="s">
        <v>137</v>
      </c>
      <c r="Z3" s="69" t="s">
        <v>159</v>
      </c>
      <c r="AA3" s="69" t="b">
        <v>1</v>
      </c>
      <c r="AB3" s="69" t="s">
        <v>145</v>
      </c>
      <c r="AC3" s="69" t="s">
        <v>146</v>
      </c>
      <c r="AD3" s="75">
        <v>2</v>
      </c>
      <c r="AE3" s="69"/>
      <c r="AF3" s="69"/>
    </row>
    <row r="4" spans="1:32" x14ac:dyDescent="0.3">
      <c r="A4" s="84"/>
      <c r="B4" s="69" t="s">
        <v>321</v>
      </c>
      <c r="C4" s="88" t="str" cm="1">
        <f t="array" ref="C4">UPPER(INDEX(_xlfn.TEXTSPLIT($F4, "-"), 3))</f>
        <v>MON</v>
      </c>
      <c r="D4" s="75" t="s">
        <v>158</v>
      </c>
      <c r="E4" s="69" t="s">
        <v>24</v>
      </c>
      <c r="F4" s="69" t="s">
        <v>147</v>
      </c>
      <c r="G4" s="75" t="s">
        <v>162</v>
      </c>
      <c r="H4" s="75" t="s">
        <v>163</v>
      </c>
      <c r="I4" s="75">
        <v>2</v>
      </c>
      <c r="J4" s="75">
        <v>4</v>
      </c>
      <c r="K4" s="69" t="s">
        <v>122</v>
      </c>
      <c r="L4" s="69" t="s">
        <v>139</v>
      </c>
      <c r="M4" s="75" t="s">
        <v>165</v>
      </c>
      <c r="N4" s="91" t="s">
        <v>288</v>
      </c>
      <c r="O4" s="69" t="str">
        <f t="shared" si="0"/>
        <v>l-mon-whtap03-osdisk</v>
      </c>
      <c r="P4" s="90">
        <v>64</v>
      </c>
      <c r="Q4" s="69" t="s">
        <v>121</v>
      </c>
      <c r="R4" s="69"/>
      <c r="S4" s="69"/>
      <c r="T4" s="69"/>
      <c r="U4" s="69" t="str">
        <f t="shared" si="1"/>
        <v>l-mon-whtap03-nic</v>
      </c>
      <c r="V4" s="69" t="b">
        <v>1</v>
      </c>
      <c r="W4" s="69" t="b">
        <v>1</v>
      </c>
      <c r="X4" s="69" t="s">
        <v>145</v>
      </c>
      <c r="Y4" s="69" t="s">
        <v>137</v>
      </c>
      <c r="Z4" s="69" t="s">
        <v>159</v>
      </c>
      <c r="AA4" s="69" t="b">
        <v>1</v>
      </c>
      <c r="AB4" s="69" t="s">
        <v>145</v>
      </c>
      <c r="AC4" s="69" t="s">
        <v>146</v>
      </c>
      <c r="AD4" s="75">
        <v>3</v>
      </c>
      <c r="AE4" s="69"/>
      <c r="AF4" s="69"/>
    </row>
    <row r="5" spans="1:32" x14ac:dyDescent="0.3">
      <c r="A5" s="84"/>
      <c r="B5" s="69" t="s">
        <v>321</v>
      </c>
      <c r="C5" s="88" t="str" cm="1">
        <f t="array" ref="C5">UPPER(INDEX(_xlfn.TEXTSPLIT($F5, "-"), 3))</f>
        <v>COM</v>
      </c>
      <c r="D5" s="75" t="s">
        <v>145</v>
      </c>
      <c r="E5" s="69" t="s">
        <v>24</v>
      </c>
      <c r="F5" s="69" t="s">
        <v>156</v>
      </c>
      <c r="G5" s="75" t="s">
        <v>294</v>
      </c>
      <c r="H5" s="75" t="s">
        <v>164</v>
      </c>
      <c r="I5" s="75">
        <v>8</v>
      </c>
      <c r="J5" s="75">
        <v>32</v>
      </c>
      <c r="K5" s="69" t="s">
        <v>122</v>
      </c>
      <c r="L5" s="69" t="s">
        <v>139</v>
      </c>
      <c r="M5" s="75" t="s">
        <v>165</v>
      </c>
      <c r="N5" s="91" t="s">
        <v>288</v>
      </c>
      <c r="O5" s="69" t="str">
        <f t="shared" ref="O5:O6" si="2">SUBSTITUTE(F5,"hazr-","")&amp;"-osdisk"</f>
        <v>l-com-build01-osdisk</v>
      </c>
      <c r="P5" s="90">
        <v>64</v>
      </c>
      <c r="Q5" s="69" t="s">
        <v>121</v>
      </c>
      <c r="R5" s="69"/>
      <c r="S5" s="69"/>
      <c r="T5" s="69"/>
      <c r="U5" s="69" t="str">
        <f t="shared" ref="U5:U6" si="3">SUBSTITUTE(F5,"hazr-","")&amp;"-nic"</f>
        <v>l-com-build01-nic</v>
      </c>
      <c r="V5" s="69" t="b">
        <v>1</v>
      </c>
      <c r="W5" s="69" t="b">
        <v>1</v>
      </c>
      <c r="X5" s="69" t="s">
        <v>145</v>
      </c>
      <c r="Y5" s="69" t="s">
        <v>138</v>
      </c>
      <c r="Z5" s="69" t="s">
        <v>290</v>
      </c>
      <c r="AA5" s="69" t="b">
        <v>1</v>
      </c>
      <c r="AB5" s="69" t="s">
        <v>145</v>
      </c>
      <c r="AC5" s="69" t="s">
        <v>146</v>
      </c>
      <c r="AD5" s="75">
        <v>1</v>
      </c>
      <c r="AE5" s="69"/>
      <c r="AF5" s="69"/>
    </row>
    <row r="6" spans="1:32" x14ac:dyDescent="0.3">
      <c r="A6" s="84"/>
      <c r="B6" s="69" t="s">
        <v>321</v>
      </c>
      <c r="C6" s="88" t="str" cm="1">
        <f t="array" ref="C6">UPPER(INDEX(_xlfn.TEXTSPLIT($F6, "-"), 3))</f>
        <v>COM</v>
      </c>
      <c r="D6" s="75" t="s">
        <v>145</v>
      </c>
      <c r="E6" s="69" t="s">
        <v>24</v>
      </c>
      <c r="F6" s="69" t="s">
        <v>157</v>
      </c>
      <c r="G6" s="75" t="s">
        <v>295</v>
      </c>
      <c r="H6" s="75" t="s">
        <v>163</v>
      </c>
      <c r="I6" s="75">
        <v>2</v>
      </c>
      <c r="J6" s="75">
        <v>8</v>
      </c>
      <c r="K6" s="69" t="s">
        <v>122</v>
      </c>
      <c r="L6" s="69" t="s">
        <v>139</v>
      </c>
      <c r="M6" s="75" t="s">
        <v>165</v>
      </c>
      <c r="N6" s="91" t="s">
        <v>289</v>
      </c>
      <c r="O6" s="69" t="str">
        <f t="shared" si="2"/>
        <v>l-com-repoweb01-osdisk</v>
      </c>
      <c r="P6" s="90">
        <v>64</v>
      </c>
      <c r="Q6" s="69" t="s">
        <v>121</v>
      </c>
      <c r="R6" s="69"/>
      <c r="S6" s="69"/>
      <c r="T6" s="69"/>
      <c r="U6" s="69" t="str">
        <f t="shared" si="3"/>
        <v>l-com-repoweb01-nic</v>
      </c>
      <c r="V6" s="69" t="b">
        <v>1</v>
      </c>
      <c r="W6" s="69" t="b">
        <v>1</v>
      </c>
      <c r="X6" s="69" t="s">
        <v>145</v>
      </c>
      <c r="Y6" s="69" t="s">
        <v>138</v>
      </c>
      <c r="Z6" s="69" t="s">
        <v>290</v>
      </c>
      <c r="AA6" s="69" t="b">
        <v>1</v>
      </c>
      <c r="AB6" s="69" t="s">
        <v>145</v>
      </c>
      <c r="AC6" s="69" t="s">
        <v>146</v>
      </c>
      <c r="AD6" s="75">
        <v>1</v>
      </c>
      <c r="AE6" s="69"/>
      <c r="AF6" s="69"/>
    </row>
    <row r="7" spans="1:32" x14ac:dyDescent="0.3">
      <c r="A7" s="84"/>
      <c r="B7" s="88" t="s">
        <v>321</v>
      </c>
      <c r="C7" s="88" t="str" cm="1">
        <f t="array" ref="C7">UPPER(INDEX(_xlfn.TEXTSPLIT($F7, "-"), 3))</f>
        <v>SEC</v>
      </c>
      <c r="D7" s="88" t="s">
        <v>308</v>
      </c>
      <c r="E7" s="88" t="s">
        <v>24</v>
      </c>
      <c r="F7" s="88" t="s">
        <v>309</v>
      </c>
      <c r="G7" s="88" t="s">
        <v>311</v>
      </c>
      <c r="H7" s="88" t="s">
        <v>312</v>
      </c>
      <c r="I7" s="88">
        <v>4</v>
      </c>
      <c r="J7" s="88">
        <v>64</v>
      </c>
      <c r="K7" s="88" t="s">
        <v>122</v>
      </c>
      <c r="L7" s="96" t="s">
        <v>120</v>
      </c>
      <c r="M7" s="88" t="s">
        <v>292</v>
      </c>
      <c r="N7" s="97" t="s">
        <v>288</v>
      </c>
      <c r="O7" s="98" t="str">
        <f>SUBSTITUTE(F7,"hazr-","")&amp;"-osdisk"</f>
        <v>l-sec-virsol01-osdisk</v>
      </c>
      <c r="P7" s="99">
        <v>64</v>
      </c>
      <c r="Q7" s="100" t="s">
        <v>121</v>
      </c>
      <c r="R7" s="88"/>
      <c r="S7" s="88"/>
      <c r="T7" s="88"/>
      <c r="U7" s="88" t="str">
        <f>SUBSTITUTE(F7,"hazr-","")&amp;"-nic"</f>
        <v>l-sec-virsol01-nic</v>
      </c>
      <c r="V7" s="88" t="b">
        <v>1</v>
      </c>
      <c r="W7" s="88" t="b">
        <v>1</v>
      </c>
      <c r="X7" s="88" t="s">
        <v>308</v>
      </c>
      <c r="Y7" s="69" t="s">
        <v>314</v>
      </c>
      <c r="Z7" s="69" t="s">
        <v>315</v>
      </c>
      <c r="AA7" s="88" t="b">
        <v>1</v>
      </c>
      <c r="AB7" s="88" t="s">
        <v>308</v>
      </c>
      <c r="AC7" s="88" t="s">
        <v>316</v>
      </c>
      <c r="AD7" s="99">
        <v>1</v>
      </c>
      <c r="AE7" s="88"/>
      <c r="AF7" s="88"/>
    </row>
    <row r="8" spans="1:32" x14ac:dyDescent="0.3">
      <c r="A8" s="84"/>
      <c r="B8" s="88" t="s">
        <v>321</v>
      </c>
      <c r="C8" s="88" t="str" cm="1">
        <f t="array" ref="C8">UPPER(INDEX(_xlfn.TEXTSPLIT($F8, "-"), 3))</f>
        <v>SEC</v>
      </c>
      <c r="D8" s="88" t="s">
        <v>308</v>
      </c>
      <c r="E8" s="88" t="s">
        <v>24</v>
      </c>
      <c r="F8" s="88" t="s">
        <v>310</v>
      </c>
      <c r="G8" s="88" t="s">
        <v>326</v>
      </c>
      <c r="H8" s="88" t="s">
        <v>296</v>
      </c>
      <c r="I8" s="88">
        <v>4</v>
      </c>
      <c r="J8" s="88">
        <v>16</v>
      </c>
      <c r="K8" s="88" t="s">
        <v>122</v>
      </c>
      <c r="L8" s="96" t="s">
        <v>120</v>
      </c>
      <c r="M8" s="88" t="s">
        <v>313</v>
      </c>
      <c r="N8" s="91" t="s">
        <v>293</v>
      </c>
      <c r="O8" s="98" t="str">
        <f>SUBSTITUTE(F8,"hazr-","")&amp;"-osdisk"</f>
        <v>l-sec-wbdsol01-osdisk</v>
      </c>
      <c r="P8" s="99">
        <v>64</v>
      </c>
      <c r="Q8" s="100" t="s">
        <v>121</v>
      </c>
      <c r="R8" s="88"/>
      <c r="S8" s="88"/>
      <c r="T8" s="88"/>
      <c r="U8" s="88" t="str">
        <f>SUBSTITUTE(F8,"hazr-","")&amp;"-nic"</f>
        <v>l-sec-wbdsol01-nic</v>
      </c>
      <c r="V8" s="88" t="b">
        <v>1</v>
      </c>
      <c r="W8" s="88" t="b">
        <v>1</v>
      </c>
      <c r="X8" s="88" t="s">
        <v>308</v>
      </c>
      <c r="Y8" s="69" t="s">
        <v>314</v>
      </c>
      <c r="Z8" s="69" t="s">
        <v>315</v>
      </c>
      <c r="AA8" s="88" t="b">
        <v>1</v>
      </c>
      <c r="AB8" s="88" t="s">
        <v>308</v>
      </c>
      <c r="AC8" s="88" t="s">
        <v>316</v>
      </c>
      <c r="AD8" s="99">
        <v>1</v>
      </c>
      <c r="AE8" s="88"/>
      <c r="AF8" s="88"/>
    </row>
    <row r="9" spans="1:32" x14ac:dyDescent="0.3">
      <c r="A9" s="84"/>
      <c r="B9" s="88" t="s">
        <v>321</v>
      </c>
      <c r="C9" s="88" t="str" cm="1">
        <f t="array" ref="C9">UPPER(INDEX(_xlfn.TEXTSPLIT($F9, "-"), 3))</f>
        <v>COM</v>
      </c>
      <c r="D9" s="88" t="s">
        <v>145</v>
      </c>
      <c r="E9" s="88" t="s">
        <v>24</v>
      </c>
      <c r="F9" s="88" t="s">
        <v>322</v>
      </c>
      <c r="G9" s="88" t="s">
        <v>323</v>
      </c>
      <c r="H9" s="88" t="s">
        <v>296</v>
      </c>
      <c r="I9" s="88">
        <v>4</v>
      </c>
      <c r="J9" s="88">
        <v>16</v>
      </c>
      <c r="K9" s="88" t="s">
        <v>122</v>
      </c>
      <c r="L9" s="96" t="s">
        <v>120</v>
      </c>
      <c r="M9" s="96" t="s">
        <v>292</v>
      </c>
      <c r="N9" s="97" t="s">
        <v>297</v>
      </c>
      <c r="O9" s="98" t="str">
        <f>SUBSTITUTE(F9,"hazr-","")&amp;"-osdisk"</f>
        <v>l-com-scmsol01-osdisk</v>
      </c>
      <c r="P9" s="99">
        <v>64</v>
      </c>
      <c r="Q9" s="100" t="s">
        <v>121</v>
      </c>
      <c r="R9" s="88"/>
      <c r="S9" s="88"/>
      <c r="T9" s="88"/>
      <c r="U9" s="88" t="str">
        <f>SUBSTITUTE(F9,"hazr-","")&amp;"-nic"</f>
        <v>l-com-scmsol01-nic</v>
      </c>
      <c r="V9" s="88" t="b">
        <v>1</v>
      </c>
      <c r="W9" s="88" t="b">
        <v>1</v>
      </c>
      <c r="X9" s="88" t="s">
        <v>145</v>
      </c>
      <c r="Y9" s="88" t="s">
        <v>138</v>
      </c>
      <c r="Z9" s="88" t="s">
        <v>290</v>
      </c>
      <c r="AA9" s="88" t="b">
        <v>1</v>
      </c>
      <c r="AB9" s="88" t="s">
        <v>145</v>
      </c>
      <c r="AC9" s="88" t="s">
        <v>146</v>
      </c>
      <c r="AD9" s="99">
        <v>1</v>
      </c>
      <c r="AE9" s="88"/>
      <c r="AF9" s="88"/>
    </row>
    <row r="10" spans="1:32" x14ac:dyDescent="0.3">
      <c r="B10" s="88" t="s">
        <v>321</v>
      </c>
      <c r="C10" s="106" t="s">
        <v>327</v>
      </c>
      <c r="D10" s="106" t="s">
        <v>145</v>
      </c>
      <c r="E10" s="88" t="s">
        <v>24</v>
      </c>
      <c r="F10" s="88" t="s">
        <v>328</v>
      </c>
      <c r="G10" s="88" t="s">
        <v>329</v>
      </c>
      <c r="H10" s="88" t="s">
        <v>330</v>
      </c>
      <c r="I10" s="88">
        <v>2</v>
      </c>
      <c r="J10" s="88">
        <v>8</v>
      </c>
      <c r="K10" s="88" t="s">
        <v>122</v>
      </c>
      <c r="L10" s="96" t="s">
        <v>120</v>
      </c>
      <c r="M10" s="88" t="s">
        <v>292</v>
      </c>
      <c r="N10" s="97" t="s">
        <v>331</v>
      </c>
      <c r="O10" s="107" t="str">
        <f>SUBSTITUTE(F10,"hazr-","")&amp;"-osdisk"</f>
        <v>l-if-hipsproxy01-osdisk</v>
      </c>
      <c r="P10" s="99">
        <v>64</v>
      </c>
      <c r="Q10" s="100" t="s">
        <v>121</v>
      </c>
      <c r="R10" s="106"/>
      <c r="S10" s="88"/>
      <c r="T10" s="106"/>
      <c r="U10" s="106" t="str">
        <f>SUBSTITUTE(F10,"hazr-","")&amp;"-nic"</f>
        <v>l-if-hipsproxy01-nic</v>
      </c>
      <c r="V10" s="88" t="b">
        <v>1</v>
      </c>
      <c r="W10" s="88" t="b">
        <v>1</v>
      </c>
      <c r="X10" s="88" t="s">
        <v>145</v>
      </c>
      <c r="Y10" s="69" t="s">
        <v>138</v>
      </c>
      <c r="Z10" s="69" t="s">
        <v>290</v>
      </c>
      <c r="AA10" s="88" t="b">
        <v>1</v>
      </c>
      <c r="AB10" s="88" t="s">
        <v>145</v>
      </c>
      <c r="AC10" s="88" t="s">
        <v>146</v>
      </c>
      <c r="AD10" s="99">
        <v>1</v>
      </c>
      <c r="AE10" s="88"/>
      <c r="AF10" s="88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theme="4"/>
  </sheetPr>
  <dimension ref="A1:R10"/>
  <sheetViews>
    <sheetView workbookViewId="0">
      <pane xSplit="6" ySplit="1" topLeftCell="K2" activePane="bottomRight" state="frozen"/>
      <selection pane="topRight" activeCell="G1" sqref="G1"/>
      <selection pane="bottomLeft" activeCell="A2" sqref="A2"/>
      <selection pane="bottomRight" activeCell="A10" sqref="A10"/>
    </sheetView>
  </sheetViews>
  <sheetFormatPr defaultRowHeight="16.5" x14ac:dyDescent="0.3"/>
  <cols>
    <col min="1" max="1" width="1.25" style="70" customWidth="1"/>
    <col min="2" max="2" width="6.75" style="70" bestFit="1" customWidth="1"/>
    <col min="3" max="3" width="9.375" style="70" bestFit="1" customWidth="1"/>
    <col min="4" max="4" width="17.625" style="70" bestFit="1" customWidth="1"/>
    <col min="5" max="5" width="17.625" style="70" customWidth="1"/>
    <col min="6" max="6" width="19.875" style="70" bestFit="1" customWidth="1"/>
    <col min="7" max="7" width="21.5" style="70" bestFit="1" customWidth="1"/>
    <col min="8" max="8" width="26" style="70" bestFit="1" customWidth="1"/>
    <col min="9" max="9" width="12.5" style="70" bestFit="1" customWidth="1"/>
    <col min="10" max="10" width="21.5" style="70" bestFit="1" customWidth="1"/>
    <col min="11" max="11" width="15" style="70" bestFit="1" customWidth="1"/>
    <col min="12" max="14" width="14.125" style="70" customWidth="1"/>
    <col min="15" max="15" width="15.625" style="70" bestFit="1" customWidth="1"/>
    <col min="16" max="16" width="21.125" style="70" bestFit="1" customWidth="1"/>
    <col min="17" max="17" width="14.125" style="70" customWidth="1"/>
    <col min="18" max="18" width="33.75" bestFit="1" customWidth="1"/>
  </cols>
  <sheetData>
    <row r="1" spans="1:18" x14ac:dyDescent="0.3">
      <c r="A1" s="89"/>
      <c r="B1" s="71" t="s">
        <v>0</v>
      </c>
      <c r="C1" s="71" t="s">
        <v>1</v>
      </c>
      <c r="D1" s="67" t="s">
        <v>2</v>
      </c>
      <c r="E1" s="67" t="s">
        <v>3</v>
      </c>
      <c r="F1" s="67" t="s">
        <v>123</v>
      </c>
      <c r="G1" s="67" t="s">
        <v>125</v>
      </c>
      <c r="H1" s="67" t="s">
        <v>127</v>
      </c>
      <c r="I1" s="67" t="s">
        <v>128</v>
      </c>
      <c r="J1" s="67" t="s">
        <v>126</v>
      </c>
      <c r="K1" s="67" t="s">
        <v>129</v>
      </c>
      <c r="L1" s="67" t="s">
        <v>130</v>
      </c>
      <c r="M1" s="67" t="s">
        <v>124</v>
      </c>
      <c r="N1" s="67" t="s">
        <v>132</v>
      </c>
      <c r="O1" s="67" t="s">
        <v>134</v>
      </c>
      <c r="P1" s="67" t="s">
        <v>119</v>
      </c>
      <c r="Q1" s="67" t="s">
        <v>131</v>
      </c>
      <c r="R1" s="71" t="s">
        <v>78</v>
      </c>
    </row>
    <row r="2" spans="1:18" x14ac:dyDescent="0.3">
      <c r="A2" s="92"/>
      <c r="B2" s="68" t="s">
        <v>321</v>
      </c>
      <c r="C2" s="68" t="str" cm="1">
        <f t="array" ref="C2">UPPER(INDEX(_xlfn.TEXTSPLIT($D2, "-"), 3))</f>
        <v>MON</v>
      </c>
      <c r="D2" s="73" t="s">
        <v>158</v>
      </c>
      <c r="E2" s="80" t="s">
        <v>24</v>
      </c>
      <c r="F2" s="68" t="s">
        <v>144</v>
      </c>
      <c r="G2" s="68" t="s">
        <v>167</v>
      </c>
      <c r="H2" s="68" t="s">
        <v>121</v>
      </c>
      <c r="I2" s="68">
        <v>1024</v>
      </c>
      <c r="J2" s="68" t="s">
        <v>168</v>
      </c>
      <c r="K2" s="68" t="s">
        <v>121</v>
      </c>
      <c r="L2" s="68">
        <v>128</v>
      </c>
      <c r="M2" s="73">
        <v>1</v>
      </c>
      <c r="N2" s="68" t="s">
        <v>133</v>
      </c>
      <c r="O2" s="68" t="s">
        <v>145</v>
      </c>
      <c r="P2" s="68" t="s">
        <v>146</v>
      </c>
      <c r="Q2" s="68" t="b">
        <v>1</v>
      </c>
      <c r="R2" s="68"/>
    </row>
    <row r="3" spans="1:18" x14ac:dyDescent="0.3">
      <c r="A3" s="92"/>
      <c r="B3" s="69" t="s">
        <v>321</v>
      </c>
      <c r="C3" s="69" t="str" cm="1">
        <f t="array" ref="C3">UPPER(INDEX(_xlfn.TEXTSPLIT($D3, "-"), 3))</f>
        <v>MON</v>
      </c>
      <c r="D3" s="75" t="s">
        <v>158</v>
      </c>
      <c r="E3" s="81" t="s">
        <v>24</v>
      </c>
      <c r="F3" s="69" t="s">
        <v>143</v>
      </c>
      <c r="G3" s="69" t="s">
        <v>169</v>
      </c>
      <c r="H3" s="69" t="s">
        <v>121</v>
      </c>
      <c r="I3" s="69">
        <v>1024</v>
      </c>
      <c r="J3" s="69" t="s">
        <v>170</v>
      </c>
      <c r="K3" s="69" t="s">
        <v>121</v>
      </c>
      <c r="L3" s="69">
        <v>128</v>
      </c>
      <c r="M3" s="75">
        <v>2</v>
      </c>
      <c r="N3" s="69" t="s">
        <v>133</v>
      </c>
      <c r="O3" s="69" t="s">
        <v>145</v>
      </c>
      <c r="P3" s="69" t="s">
        <v>146</v>
      </c>
      <c r="Q3" s="69" t="b">
        <v>1</v>
      </c>
      <c r="R3" s="69"/>
    </row>
    <row r="4" spans="1:18" x14ac:dyDescent="0.3">
      <c r="A4" s="92"/>
      <c r="B4" s="68" t="s">
        <v>321</v>
      </c>
      <c r="C4" s="68" t="str" cm="1">
        <f t="array" ref="C4">UPPER(INDEX(_xlfn.TEXTSPLIT($D4, "-"), 3))</f>
        <v>MON</v>
      </c>
      <c r="D4" s="73" t="s">
        <v>158</v>
      </c>
      <c r="E4" s="80" t="s">
        <v>24</v>
      </c>
      <c r="F4" s="68" t="s">
        <v>147</v>
      </c>
      <c r="G4" s="68" t="s">
        <v>171</v>
      </c>
      <c r="H4" s="68" t="s">
        <v>121</v>
      </c>
      <c r="I4" s="68">
        <v>128</v>
      </c>
      <c r="J4" s="68" t="s">
        <v>140</v>
      </c>
      <c r="K4" s="68" t="s">
        <v>140</v>
      </c>
      <c r="L4" s="68" t="s">
        <v>140</v>
      </c>
      <c r="M4" s="73" t="s">
        <v>140</v>
      </c>
      <c r="N4" s="68" t="s">
        <v>133</v>
      </c>
      <c r="O4" s="68" t="s">
        <v>145</v>
      </c>
      <c r="P4" s="68" t="s">
        <v>146</v>
      </c>
      <c r="Q4" s="68" t="b">
        <v>1</v>
      </c>
      <c r="R4" s="68"/>
    </row>
    <row r="5" spans="1:18" x14ac:dyDescent="0.3">
      <c r="A5" s="92"/>
      <c r="B5" s="69" t="s">
        <v>321</v>
      </c>
      <c r="C5" s="69" t="str" cm="1">
        <f t="array" ref="C5">UPPER(INDEX(_xlfn.TEXTSPLIT($F5, "-"), 3))</f>
        <v>COM</v>
      </c>
      <c r="D5" s="75" t="s">
        <v>145</v>
      </c>
      <c r="E5" s="81" t="s">
        <v>24</v>
      </c>
      <c r="F5" s="69" t="s">
        <v>156</v>
      </c>
      <c r="G5" s="69" t="s">
        <v>172</v>
      </c>
      <c r="H5" s="69" t="s">
        <v>166</v>
      </c>
      <c r="I5" s="69">
        <v>128</v>
      </c>
      <c r="J5" s="69" t="s">
        <v>173</v>
      </c>
      <c r="K5" s="69" t="s">
        <v>121</v>
      </c>
      <c r="L5" s="69">
        <v>128</v>
      </c>
      <c r="M5" s="75">
        <v>1</v>
      </c>
      <c r="N5" s="69" t="s">
        <v>133</v>
      </c>
      <c r="O5" s="69" t="s">
        <v>145</v>
      </c>
      <c r="P5" s="69" t="s">
        <v>146</v>
      </c>
      <c r="Q5" s="69" t="b">
        <v>1</v>
      </c>
      <c r="R5" s="69"/>
    </row>
    <row r="6" spans="1:18" x14ac:dyDescent="0.3">
      <c r="A6" s="92"/>
      <c r="B6" s="68" t="s">
        <v>321</v>
      </c>
      <c r="C6" s="103" t="str" cm="1">
        <f t="array" ref="C6">UPPER(INDEX(_xlfn.TEXTSPLIT($F6, "-"), 3))</f>
        <v>COM</v>
      </c>
      <c r="D6" s="73" t="s">
        <v>145</v>
      </c>
      <c r="E6" s="80" t="s">
        <v>24</v>
      </c>
      <c r="F6" s="68" t="s">
        <v>157</v>
      </c>
      <c r="G6" s="68" t="s">
        <v>174</v>
      </c>
      <c r="H6" s="68" t="s">
        <v>121</v>
      </c>
      <c r="I6" s="68">
        <v>128</v>
      </c>
      <c r="J6" s="68" t="s">
        <v>175</v>
      </c>
      <c r="K6" s="68" t="s">
        <v>121</v>
      </c>
      <c r="L6" s="68">
        <v>128</v>
      </c>
      <c r="M6" s="73">
        <v>1</v>
      </c>
      <c r="N6" s="68" t="s">
        <v>133</v>
      </c>
      <c r="O6" s="68" t="s">
        <v>145</v>
      </c>
      <c r="P6" s="68" t="s">
        <v>146</v>
      </c>
      <c r="Q6" s="68" t="b">
        <v>1</v>
      </c>
      <c r="R6" s="68"/>
    </row>
    <row r="7" spans="1:18" x14ac:dyDescent="0.3">
      <c r="A7" s="92"/>
      <c r="B7" s="69" t="s">
        <v>321</v>
      </c>
      <c r="C7" s="69" t="str" cm="1">
        <f t="array" ref="C7">UPPER(INDEX(_xlfn.TEXTSPLIT($F7, "-"), 3))</f>
        <v>SEC</v>
      </c>
      <c r="D7" s="75" t="s">
        <v>308</v>
      </c>
      <c r="E7" s="81" t="s">
        <v>24</v>
      </c>
      <c r="F7" s="101" t="s">
        <v>309</v>
      </c>
      <c r="G7" s="69" t="s">
        <v>317</v>
      </c>
      <c r="H7" s="69" t="s">
        <v>121</v>
      </c>
      <c r="I7" s="69">
        <v>128</v>
      </c>
      <c r="J7" s="69" t="s">
        <v>318</v>
      </c>
      <c r="K7" s="69" t="s">
        <v>121</v>
      </c>
      <c r="L7" s="69">
        <v>256</v>
      </c>
      <c r="M7" s="75">
        <v>1</v>
      </c>
      <c r="N7" s="69" t="s">
        <v>133</v>
      </c>
      <c r="O7" s="69" t="s">
        <v>308</v>
      </c>
      <c r="P7" s="69" t="s">
        <v>316</v>
      </c>
      <c r="Q7" s="69" t="b">
        <v>1</v>
      </c>
      <c r="R7" s="69"/>
    </row>
    <row r="8" spans="1:18" x14ac:dyDescent="0.3">
      <c r="A8" s="92"/>
      <c r="B8" s="103" t="s">
        <v>321</v>
      </c>
      <c r="C8" s="103" t="str" cm="1">
        <f t="array" ref="C8">UPPER(INDEX(_xlfn.TEXTSPLIT($F8, "-"), 3))</f>
        <v>SEC</v>
      </c>
      <c r="D8" s="104" t="s">
        <v>308</v>
      </c>
      <c r="E8" s="105" t="s">
        <v>24</v>
      </c>
      <c r="F8" s="103" t="s">
        <v>310</v>
      </c>
      <c r="G8" s="103" t="s">
        <v>319</v>
      </c>
      <c r="H8" s="103" t="s">
        <v>121</v>
      </c>
      <c r="I8" s="103">
        <v>128</v>
      </c>
      <c r="J8" s="103" t="s">
        <v>320</v>
      </c>
      <c r="K8" s="103" t="s">
        <v>121</v>
      </c>
      <c r="L8" s="103">
        <v>256</v>
      </c>
      <c r="M8" s="104">
        <v>1</v>
      </c>
      <c r="N8" s="103" t="s">
        <v>133</v>
      </c>
      <c r="O8" s="103" t="s">
        <v>308</v>
      </c>
      <c r="P8" s="103" t="s">
        <v>316</v>
      </c>
      <c r="Q8" s="103" t="b">
        <v>1</v>
      </c>
      <c r="R8" s="103"/>
    </row>
    <row r="9" spans="1:18" x14ac:dyDescent="0.3">
      <c r="A9" s="92"/>
      <c r="B9" s="69" t="s">
        <v>321</v>
      </c>
      <c r="C9" s="69" t="str" cm="1">
        <f t="array" ref="C9">UPPER(INDEX(_xlfn.TEXTSPLIT($F9, "-"), 3))</f>
        <v>COM</v>
      </c>
      <c r="D9" s="75" t="s">
        <v>145</v>
      </c>
      <c r="E9" s="69" t="s">
        <v>24</v>
      </c>
      <c r="F9" s="69" t="s">
        <v>322</v>
      </c>
      <c r="G9" s="75" t="s">
        <v>324</v>
      </c>
      <c r="H9" s="69" t="s">
        <v>121</v>
      </c>
      <c r="I9" s="69">
        <v>1024</v>
      </c>
      <c r="J9" s="75" t="s">
        <v>325</v>
      </c>
      <c r="K9" s="69" t="s">
        <v>121</v>
      </c>
      <c r="L9" s="69">
        <v>128</v>
      </c>
      <c r="M9" s="75">
        <v>1</v>
      </c>
      <c r="N9" s="69" t="s">
        <v>133</v>
      </c>
      <c r="O9" s="69" t="s">
        <v>145</v>
      </c>
      <c r="P9" s="75" t="s">
        <v>146</v>
      </c>
      <c r="Q9" s="69" t="b">
        <v>1</v>
      </c>
      <c r="R9" s="69"/>
    </row>
    <row r="10" spans="1:18" x14ac:dyDescent="0.3">
      <c r="B10" s="103" t="s">
        <v>321</v>
      </c>
      <c r="C10" s="103" t="s">
        <v>332</v>
      </c>
      <c r="D10" s="104" t="s">
        <v>145</v>
      </c>
      <c r="E10" s="105" t="s">
        <v>24</v>
      </c>
      <c r="F10" s="103" t="s">
        <v>328</v>
      </c>
      <c r="G10" s="103" t="s">
        <v>333</v>
      </c>
      <c r="H10" s="103" t="s">
        <v>121</v>
      </c>
      <c r="I10" s="103">
        <v>128</v>
      </c>
      <c r="J10" s="103" t="s">
        <v>334</v>
      </c>
      <c r="K10" s="103" t="s">
        <v>121</v>
      </c>
      <c r="L10" s="103">
        <v>128</v>
      </c>
      <c r="M10" s="104">
        <v>1</v>
      </c>
      <c r="N10" s="103" t="s">
        <v>133</v>
      </c>
      <c r="O10" s="103" t="s">
        <v>145</v>
      </c>
      <c r="P10" s="103" t="s">
        <v>146</v>
      </c>
      <c r="Q10" s="103" t="b">
        <v>1</v>
      </c>
      <c r="R10" s="103"/>
    </row>
  </sheetData>
  <autoFilter ref="B1:R9" xr:uid="{52F281E7-0665-4BB7-80DB-4208A01A998B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84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84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84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84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84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84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84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84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86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86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86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86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0" t="s">
        <v>23</v>
      </c>
      <c r="B15" s="50" t="s">
        <v>29</v>
      </c>
      <c r="C15" s="50" t="s">
        <v>86</v>
      </c>
      <c r="D15" s="50"/>
      <c r="E15" s="50"/>
      <c r="F15" s="50" t="s">
        <v>42</v>
      </c>
      <c r="G15" s="50"/>
      <c r="H15" s="51"/>
      <c r="I15" s="52"/>
      <c r="J15" s="52"/>
      <c r="K15" s="52"/>
      <c r="L15" s="52"/>
      <c r="M15" s="51"/>
    </row>
    <row r="16" spans="1:16" x14ac:dyDescent="0.3">
      <c r="A16" s="50" t="s">
        <v>23</v>
      </c>
      <c r="B16" s="50" t="s">
        <v>29</v>
      </c>
      <c r="C16" s="50" t="s">
        <v>86</v>
      </c>
      <c r="D16" s="50"/>
      <c r="E16" s="50"/>
      <c r="F16" s="50" t="s">
        <v>42</v>
      </c>
      <c r="G16" s="50"/>
      <c r="H16" s="50"/>
      <c r="I16" s="53"/>
      <c r="J16" s="53"/>
      <c r="K16" s="53"/>
      <c r="L16" s="53"/>
      <c r="M16" s="50"/>
    </row>
    <row r="17" spans="1:13" x14ac:dyDescent="0.3">
      <c r="A17" s="50" t="s">
        <v>23</v>
      </c>
      <c r="B17" s="50" t="s">
        <v>29</v>
      </c>
      <c r="C17" s="50" t="s">
        <v>85</v>
      </c>
      <c r="D17" s="50"/>
      <c r="E17" s="50"/>
      <c r="F17" s="50" t="s">
        <v>42</v>
      </c>
      <c r="G17" s="50"/>
      <c r="H17" s="50"/>
      <c r="I17" s="53"/>
      <c r="J17" s="53"/>
      <c r="K17" s="53"/>
      <c r="L17" s="53"/>
      <c r="M17" s="50"/>
    </row>
    <row r="18" spans="1:13" x14ac:dyDescent="0.3">
      <c r="A18" s="54" t="s">
        <v>23</v>
      </c>
      <c r="B18" s="54" t="s">
        <v>29</v>
      </c>
      <c r="C18" s="50" t="s">
        <v>85</v>
      </c>
      <c r="D18" s="55">
        <v>4096</v>
      </c>
      <c r="E18" s="55" t="s">
        <v>72</v>
      </c>
      <c r="F18" s="54" t="s">
        <v>42</v>
      </c>
      <c r="G18" s="55" t="s">
        <v>43</v>
      </c>
      <c r="H18" s="56" t="s">
        <v>59</v>
      </c>
      <c r="I18" s="57" t="s">
        <v>58</v>
      </c>
      <c r="J18" s="57" t="s">
        <v>58</v>
      </c>
      <c r="K18" s="57" t="s">
        <v>68</v>
      </c>
      <c r="L18" s="57" t="s">
        <v>58</v>
      </c>
      <c r="M18" s="55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87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87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87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87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58" t="s">
        <v>23</v>
      </c>
      <c r="B24" s="50" t="s">
        <v>30</v>
      </c>
      <c r="C24" s="50" t="s">
        <v>87</v>
      </c>
      <c r="D24" s="50"/>
      <c r="E24" s="50"/>
      <c r="F24" s="50" t="s">
        <v>42</v>
      </c>
      <c r="G24" s="50"/>
      <c r="H24" s="51"/>
      <c r="I24" s="52"/>
      <c r="J24" s="52"/>
      <c r="K24" s="52"/>
      <c r="L24" s="52"/>
      <c r="M24" s="59"/>
    </row>
    <row r="25" spans="1:13" x14ac:dyDescent="0.3">
      <c r="A25" s="58" t="s">
        <v>23</v>
      </c>
      <c r="B25" s="50" t="s">
        <v>30</v>
      </c>
      <c r="C25" s="50" t="s">
        <v>87</v>
      </c>
      <c r="D25" s="50"/>
      <c r="E25" s="50"/>
      <c r="F25" s="50" t="s">
        <v>42</v>
      </c>
      <c r="G25" s="50"/>
      <c r="H25" s="50"/>
      <c r="I25" s="53"/>
      <c r="J25" s="53"/>
      <c r="K25" s="53"/>
      <c r="L25" s="53"/>
      <c r="M25" s="60"/>
    </row>
    <row r="26" spans="1:13" x14ac:dyDescent="0.3">
      <c r="A26" s="58" t="s">
        <v>23</v>
      </c>
      <c r="B26" s="50" t="s">
        <v>30</v>
      </c>
      <c r="C26" s="50" t="s">
        <v>87</v>
      </c>
      <c r="D26" s="50"/>
      <c r="E26" s="50"/>
      <c r="F26" s="50" t="s">
        <v>42</v>
      </c>
      <c r="G26" s="50"/>
      <c r="H26" s="50"/>
      <c r="I26" s="53"/>
      <c r="J26" s="53"/>
      <c r="K26" s="53"/>
      <c r="L26" s="53"/>
      <c r="M26" s="60"/>
    </row>
    <row r="27" spans="1:13" ht="17.25" thickBot="1" x14ac:dyDescent="0.35">
      <c r="A27" s="61" t="s">
        <v>23</v>
      </c>
      <c r="B27" s="62" t="s">
        <v>30</v>
      </c>
      <c r="C27" s="62" t="s">
        <v>87</v>
      </c>
      <c r="D27" s="63">
        <v>4096</v>
      </c>
      <c r="E27" s="63" t="s">
        <v>72</v>
      </c>
      <c r="F27" s="62" t="s">
        <v>42</v>
      </c>
      <c r="G27" s="63" t="s">
        <v>43</v>
      </c>
      <c r="H27" s="64" t="s">
        <v>59</v>
      </c>
      <c r="I27" s="65" t="s">
        <v>58</v>
      </c>
      <c r="J27" s="65" t="s">
        <v>58</v>
      </c>
      <c r="K27" s="65" t="s">
        <v>68</v>
      </c>
      <c r="L27" s="65" t="s">
        <v>58</v>
      </c>
      <c r="M27" s="66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88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88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88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88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88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88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88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88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theme="4"/>
  </sheetPr>
  <dimension ref="A1:M10"/>
  <sheetViews>
    <sheetView tabSelected="1" workbookViewId="0">
      <selection activeCell="H1" sqref="H1"/>
    </sheetView>
  </sheetViews>
  <sheetFormatPr defaultRowHeight="16.5" x14ac:dyDescent="0.3"/>
  <cols>
    <col min="1" max="1" width="1.5" customWidth="1"/>
    <col min="2" max="3" width="9" style="70"/>
    <col min="4" max="4" width="17.25" style="70" bestFit="1" customWidth="1"/>
    <col min="5" max="5" width="20.5" style="70" customWidth="1"/>
    <col min="6" max="6" width="13.5" style="70" bestFit="1" customWidth="1"/>
    <col min="7" max="7" width="16.875" style="70" bestFit="1" customWidth="1"/>
    <col min="8" max="8" width="18.5" style="70" bestFit="1" customWidth="1"/>
    <col min="9" max="10" width="18.5" style="70" customWidth="1"/>
    <col min="11" max="11" width="18" style="70" customWidth="1"/>
    <col min="12" max="12" width="9" style="70"/>
  </cols>
  <sheetData>
    <row r="1" spans="1:13" x14ac:dyDescent="0.3">
      <c r="B1" s="83" t="s">
        <v>0</v>
      </c>
      <c r="C1" s="83" t="s">
        <v>1</v>
      </c>
      <c r="D1" s="67" t="s">
        <v>33</v>
      </c>
      <c r="E1" s="67" t="s">
        <v>34</v>
      </c>
      <c r="F1" s="67" t="s">
        <v>81</v>
      </c>
      <c r="G1" s="67" t="s">
        <v>82</v>
      </c>
      <c r="H1" s="67" t="s">
        <v>83</v>
      </c>
      <c r="I1" s="67" t="s">
        <v>123</v>
      </c>
      <c r="J1" s="67" t="s">
        <v>142</v>
      </c>
      <c r="K1" s="67" t="s">
        <v>31</v>
      </c>
      <c r="L1" s="67" t="s">
        <v>36</v>
      </c>
      <c r="M1" s="67" t="s">
        <v>177</v>
      </c>
    </row>
    <row r="2" spans="1:13" x14ac:dyDescent="0.3">
      <c r="A2" s="84"/>
      <c r="B2" s="68" t="s">
        <v>321</v>
      </c>
      <c r="C2" s="73" t="str" cm="1">
        <f t="array" ref="C2">UPPER(INDEX(_xlfn.TEXTSPLIT($E2, "-"), 2))</f>
        <v>MON</v>
      </c>
      <c r="D2" s="73" t="s">
        <v>153</v>
      </c>
      <c r="E2" s="73" t="str">
        <f t="shared" ref="E2:E6" si="0">SUBSTITUTE(I2,"hazr-","")&amp;"-nsg"</f>
        <v>l-mon-whtap01-nsg</v>
      </c>
      <c r="F2" s="68" t="s">
        <v>153</v>
      </c>
      <c r="G2" s="73" t="s">
        <v>152</v>
      </c>
      <c r="H2" s="68" t="s">
        <v>291</v>
      </c>
      <c r="I2" s="68" t="s">
        <v>144</v>
      </c>
      <c r="J2" s="73" t="s">
        <v>158</v>
      </c>
      <c r="K2" s="68" t="str">
        <f t="shared" ref="K2:K4" si="1">SUBSTITUTE(I2,"hazr-","")&amp;"-nic"</f>
        <v>l-mon-whtap01-nic</v>
      </c>
      <c r="L2" s="74" t="s">
        <v>141</v>
      </c>
      <c r="M2" s="68"/>
    </row>
    <row r="3" spans="1:13" x14ac:dyDescent="0.3">
      <c r="A3" s="84"/>
      <c r="B3" s="69" t="s">
        <v>321</v>
      </c>
      <c r="C3" s="75" t="str" cm="1">
        <f t="array" ref="C3">UPPER(INDEX(_xlfn.TEXTSPLIT($E3, "-"), 2))</f>
        <v>MON</v>
      </c>
      <c r="D3" s="75" t="s">
        <v>153</v>
      </c>
      <c r="E3" s="75" t="str">
        <f t="shared" si="0"/>
        <v>l-mon-whtap02-nsg</v>
      </c>
      <c r="F3" s="69" t="s">
        <v>153</v>
      </c>
      <c r="G3" s="75" t="s">
        <v>152</v>
      </c>
      <c r="H3" s="69" t="s">
        <v>291</v>
      </c>
      <c r="I3" s="69" t="s">
        <v>143</v>
      </c>
      <c r="J3" s="75" t="s">
        <v>158</v>
      </c>
      <c r="K3" s="69" t="str">
        <f t="shared" si="1"/>
        <v>l-mon-whtap02-nic</v>
      </c>
      <c r="L3" s="76" t="s">
        <v>141</v>
      </c>
      <c r="M3" s="69"/>
    </row>
    <row r="4" spans="1:13" x14ac:dyDescent="0.3">
      <c r="A4" s="84"/>
      <c r="B4" s="68" t="s">
        <v>321</v>
      </c>
      <c r="C4" s="73" t="str" cm="1">
        <f t="array" ref="C4">UPPER(INDEX(_xlfn.TEXTSPLIT($E4, "-"), 2))</f>
        <v>MON</v>
      </c>
      <c r="D4" s="73" t="s">
        <v>153</v>
      </c>
      <c r="E4" s="73" t="str">
        <f t="shared" si="0"/>
        <v>l-mon-whtap03-nsg</v>
      </c>
      <c r="F4" s="68" t="s">
        <v>153</v>
      </c>
      <c r="G4" s="73" t="s">
        <v>152</v>
      </c>
      <c r="H4" s="68" t="s">
        <v>291</v>
      </c>
      <c r="I4" s="68" t="s">
        <v>147</v>
      </c>
      <c r="J4" s="73" t="s">
        <v>158</v>
      </c>
      <c r="K4" s="68" t="str">
        <f t="shared" si="1"/>
        <v>l-mon-whtap03-nic</v>
      </c>
      <c r="L4" s="74" t="s">
        <v>141</v>
      </c>
      <c r="M4" s="68"/>
    </row>
    <row r="5" spans="1:13" x14ac:dyDescent="0.3">
      <c r="A5" s="84"/>
      <c r="B5" s="75" t="s">
        <v>321</v>
      </c>
      <c r="C5" s="75" t="str" cm="1">
        <f t="array" ref="C5">UPPER(INDEX(_xlfn.TEXTSPLIT($E5, "-"), 2))</f>
        <v>COM</v>
      </c>
      <c r="D5" s="75" t="s">
        <v>145</v>
      </c>
      <c r="E5" s="75" t="str">
        <f t="shared" si="0"/>
        <v>l-com-build01-nsg</v>
      </c>
      <c r="F5" s="69" t="s">
        <v>145</v>
      </c>
      <c r="G5" s="75" t="s">
        <v>138</v>
      </c>
      <c r="H5" s="69" t="s">
        <v>290</v>
      </c>
      <c r="I5" s="69" t="s">
        <v>156</v>
      </c>
      <c r="J5" s="69" t="s">
        <v>145</v>
      </c>
      <c r="K5" s="69" t="str">
        <f t="shared" ref="K5:K6" si="2">SUBSTITUTE(I5,"hazr-","")&amp;"-nic"</f>
        <v>l-com-build01-nic</v>
      </c>
      <c r="L5" s="76" t="s">
        <v>141</v>
      </c>
      <c r="M5" s="69"/>
    </row>
    <row r="6" spans="1:13" x14ac:dyDescent="0.3">
      <c r="A6" s="84"/>
      <c r="B6" s="73" t="s">
        <v>321</v>
      </c>
      <c r="C6" s="73" t="str" cm="1">
        <f t="array" ref="C6">UPPER(INDEX(_xlfn.TEXTSPLIT($E6, "-"), 2))</f>
        <v>COM</v>
      </c>
      <c r="D6" s="73" t="s">
        <v>145</v>
      </c>
      <c r="E6" s="73" t="str">
        <f t="shared" si="0"/>
        <v>l-com-repoweb01-nsg</v>
      </c>
      <c r="F6" s="68" t="s">
        <v>145</v>
      </c>
      <c r="G6" s="73" t="s">
        <v>138</v>
      </c>
      <c r="H6" s="68" t="s">
        <v>290</v>
      </c>
      <c r="I6" s="68" t="s">
        <v>157</v>
      </c>
      <c r="J6" s="68" t="s">
        <v>145</v>
      </c>
      <c r="K6" s="68" t="str">
        <f t="shared" si="2"/>
        <v>l-com-repoweb01-nic</v>
      </c>
      <c r="L6" s="74" t="s">
        <v>141</v>
      </c>
      <c r="M6" s="68"/>
    </row>
    <row r="7" spans="1:13" x14ac:dyDescent="0.3">
      <c r="A7" s="84"/>
      <c r="B7" s="75" t="s">
        <v>321</v>
      </c>
      <c r="C7" s="75" t="str" cm="1">
        <f t="array" ref="C7">UPPER(INDEX(_xlfn.TEXTSPLIT($E7, "-"), 2))</f>
        <v>SEC</v>
      </c>
      <c r="D7" s="75" t="s">
        <v>308</v>
      </c>
      <c r="E7" s="75" t="str">
        <f t="shared" ref="E7:E8" si="3">SUBSTITUTE(I7,"hazr-","")&amp;"-nsg"</f>
        <v>l-sec-virsol01-nsg</v>
      </c>
      <c r="F7" s="69" t="s">
        <v>308</v>
      </c>
      <c r="G7" s="69" t="s">
        <v>314</v>
      </c>
      <c r="H7" s="69" t="s">
        <v>315</v>
      </c>
      <c r="I7" s="101" t="s">
        <v>309</v>
      </c>
      <c r="J7" s="69" t="s">
        <v>308</v>
      </c>
      <c r="K7" s="69" t="str">
        <f t="shared" ref="K7:K8" si="4">SUBSTITUTE(I7,"hazr-","")&amp;"-nic"</f>
        <v>l-sec-virsol01-nic</v>
      </c>
      <c r="L7" s="76" t="s">
        <v>141</v>
      </c>
      <c r="M7" s="69"/>
    </row>
    <row r="8" spans="1:13" x14ac:dyDescent="0.3">
      <c r="A8" s="84"/>
      <c r="B8" s="73" t="s">
        <v>321</v>
      </c>
      <c r="C8" s="73" t="str" cm="1">
        <f t="array" ref="C8">UPPER(INDEX(_xlfn.TEXTSPLIT($E8, "-"), 2))</f>
        <v>SEC</v>
      </c>
      <c r="D8" s="73" t="s">
        <v>308</v>
      </c>
      <c r="E8" s="73" t="str">
        <f t="shared" si="3"/>
        <v>l-sec-wbdsol01-nsg</v>
      </c>
      <c r="F8" s="68" t="s">
        <v>308</v>
      </c>
      <c r="G8" s="68" t="s">
        <v>314</v>
      </c>
      <c r="H8" s="68" t="s">
        <v>315</v>
      </c>
      <c r="I8" s="102" t="s">
        <v>310</v>
      </c>
      <c r="J8" s="68" t="s">
        <v>308</v>
      </c>
      <c r="K8" s="68" t="str">
        <f t="shared" si="4"/>
        <v>l-sec-wbdsol01-nic</v>
      </c>
      <c r="L8" s="74" t="s">
        <v>141</v>
      </c>
      <c r="M8" s="68"/>
    </row>
    <row r="9" spans="1:13" x14ac:dyDescent="0.3">
      <c r="B9" s="75" t="s">
        <v>321</v>
      </c>
      <c r="C9" s="75" t="str" cm="1">
        <f t="array" ref="C9">UPPER(INDEX(_xlfn.TEXTSPLIT($E9, "-"), 2))</f>
        <v>COM</v>
      </c>
      <c r="D9" s="75" t="s">
        <v>145</v>
      </c>
      <c r="E9" s="75" t="str">
        <f t="shared" ref="E9:E10" si="5">SUBSTITUTE(I9,"hazr-","")&amp;"-nsg"</f>
        <v>l-com-scmsol01-nsg</v>
      </c>
      <c r="F9" s="69" t="s">
        <v>145</v>
      </c>
      <c r="G9" s="69" t="s">
        <v>138</v>
      </c>
      <c r="H9" s="69" t="s">
        <v>290</v>
      </c>
      <c r="I9" s="101" t="s">
        <v>322</v>
      </c>
      <c r="J9" s="69" t="s">
        <v>145</v>
      </c>
      <c r="K9" s="69" t="str">
        <f t="shared" ref="K9:K10" si="6">SUBSTITUTE(I9,"hazr-","")&amp;"-nic"</f>
        <v>l-com-scmsol01-nic</v>
      </c>
      <c r="L9" s="76" t="s">
        <v>141</v>
      </c>
      <c r="M9" s="69"/>
    </row>
    <row r="10" spans="1:13" x14ac:dyDescent="0.3">
      <c r="B10" s="73" t="s">
        <v>321</v>
      </c>
      <c r="C10" s="73" t="s">
        <v>332</v>
      </c>
      <c r="D10" s="73" t="s">
        <v>145</v>
      </c>
      <c r="E10" s="73" t="str">
        <f t="shared" si="5"/>
        <v>l-if-hipsproxy01-nsg</v>
      </c>
      <c r="F10" s="68" t="s">
        <v>145</v>
      </c>
      <c r="G10" s="68" t="s">
        <v>138</v>
      </c>
      <c r="H10" s="68" t="s">
        <v>290</v>
      </c>
      <c r="I10" s="102" t="s">
        <v>328</v>
      </c>
      <c r="J10" s="68" t="s">
        <v>145</v>
      </c>
      <c r="K10" s="68" t="str">
        <f t="shared" si="6"/>
        <v>l-if-hipsproxy01-nic</v>
      </c>
      <c r="L10" s="74" t="s">
        <v>141</v>
      </c>
      <c r="M10" s="68"/>
    </row>
  </sheetData>
  <autoFilter ref="B1:M9" xr:uid="{BAB1F184-7BFC-47CB-AC71-63C76B7E3D12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sheetPr>
    <tabColor rgb="FFFFFF00"/>
  </sheetPr>
  <dimension ref="A1:Q43"/>
  <sheetViews>
    <sheetView workbookViewId="0">
      <pane xSplit="6" ySplit="1" topLeftCell="G29" activePane="bottomRight" state="frozen"/>
      <selection activeCell="C3" sqref="C3"/>
      <selection pane="topRight" activeCell="C3" sqref="C3"/>
      <selection pane="bottomLeft" activeCell="C3" sqref="C3"/>
      <selection pane="bottomRight" activeCell="G57" sqref="G57"/>
    </sheetView>
  </sheetViews>
  <sheetFormatPr defaultRowHeight="16.5" x14ac:dyDescent="0.3"/>
  <cols>
    <col min="1" max="1" width="2.25" customWidth="1"/>
    <col min="2" max="2" width="5.75" bestFit="1" customWidth="1"/>
    <col min="3" max="3" width="14" bestFit="1" customWidth="1"/>
    <col min="4" max="4" width="12.875" bestFit="1" customWidth="1"/>
    <col min="5" max="5" width="22.875" bestFit="1" customWidth="1"/>
    <col min="6" max="6" width="20.125" bestFit="1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75" bestFit="1" customWidth="1"/>
    <col min="20" max="21" width="15" bestFit="1" customWidth="1"/>
    <col min="27" max="27" width="19.125" customWidth="1"/>
  </cols>
  <sheetData>
    <row r="1" spans="1:17" x14ac:dyDescent="0.3">
      <c r="B1" s="71" t="s">
        <v>0</v>
      </c>
      <c r="C1" s="71" t="s">
        <v>1</v>
      </c>
      <c r="D1" s="67" t="s">
        <v>90</v>
      </c>
      <c r="E1" s="67" t="s">
        <v>3</v>
      </c>
      <c r="F1" s="67" t="s">
        <v>89</v>
      </c>
      <c r="G1" s="67" t="s">
        <v>91</v>
      </c>
      <c r="H1" s="67" t="s">
        <v>115</v>
      </c>
      <c r="I1" s="67" t="s">
        <v>114</v>
      </c>
      <c r="J1" s="67" t="s">
        <v>93</v>
      </c>
      <c r="K1" s="67" t="s">
        <v>94</v>
      </c>
      <c r="L1" s="67" t="s">
        <v>118</v>
      </c>
      <c r="M1" s="72" t="s">
        <v>95</v>
      </c>
      <c r="N1" s="72" t="s">
        <v>96</v>
      </c>
      <c r="O1" s="72" t="s">
        <v>97</v>
      </c>
      <c r="P1" s="72" t="s">
        <v>99</v>
      </c>
      <c r="Q1" s="67" t="s">
        <v>100</v>
      </c>
    </row>
    <row r="2" spans="1:17" x14ac:dyDescent="0.3">
      <c r="A2" s="84"/>
      <c r="B2" s="77" t="s">
        <v>23</v>
      </c>
      <c r="C2" s="77" t="str" cm="1">
        <f t="array" ref="C2">UPPER(INDEX(_xlfn.TEXTSPLIT($F2, "-"), 3))</f>
        <v>DIS</v>
      </c>
      <c r="D2" s="77" t="s">
        <v>217</v>
      </c>
      <c r="E2" s="77" t="s">
        <v>24</v>
      </c>
      <c r="F2" s="77" t="s">
        <v>178</v>
      </c>
      <c r="G2" s="77" t="s">
        <v>101</v>
      </c>
      <c r="H2" s="77" t="s">
        <v>306</v>
      </c>
      <c r="I2" s="77" t="s">
        <v>305</v>
      </c>
      <c r="J2" s="77" t="s">
        <v>92</v>
      </c>
      <c r="K2" s="77" t="str">
        <f t="shared" ref="K2:K31" si="0">SUBSTITUTE(F2, "hazr-", "")&amp;"-fe"</f>
        <v>p-dis-ap-lb-fe</v>
      </c>
      <c r="L2" s="77" t="s">
        <v>150</v>
      </c>
      <c r="M2" s="77" t="s">
        <v>152</v>
      </c>
      <c r="N2" s="77" t="s">
        <v>154</v>
      </c>
      <c r="O2" s="77" t="s">
        <v>98</v>
      </c>
      <c r="P2" s="77" t="s">
        <v>216</v>
      </c>
      <c r="Q2" s="78" t="str">
        <f>SUBSTITUTE(F2, "hazr-", "")&amp;"-bp"</f>
        <v>p-dis-ap-lb-bp</v>
      </c>
    </row>
    <row r="3" spans="1:17" x14ac:dyDescent="0.3">
      <c r="A3" s="84"/>
      <c r="B3" s="69" t="s">
        <v>176</v>
      </c>
      <c r="C3" s="69" t="str" cm="1">
        <f t="array" ref="C3">UPPER(INDEX(_xlfn.TEXTSPLIT($F3, "-"), 3))</f>
        <v>DIS</v>
      </c>
      <c r="D3" s="69" t="s">
        <v>217</v>
      </c>
      <c r="E3" s="69" t="s">
        <v>24</v>
      </c>
      <c r="F3" s="69" t="s">
        <v>179</v>
      </c>
      <c r="G3" s="69" t="s">
        <v>101</v>
      </c>
      <c r="H3" s="69" t="s">
        <v>306</v>
      </c>
      <c r="I3" s="69" t="s">
        <v>305</v>
      </c>
      <c r="J3" s="69" t="s">
        <v>92</v>
      </c>
      <c r="K3" s="69" t="str">
        <f t="shared" si="0"/>
        <v>p-dis-adm-lb-fe</v>
      </c>
      <c r="L3" s="69" t="s">
        <v>150</v>
      </c>
      <c r="M3" s="69" t="s">
        <v>152</v>
      </c>
      <c r="N3" s="69" t="s">
        <v>154</v>
      </c>
      <c r="O3" s="69" t="s">
        <v>98</v>
      </c>
      <c r="P3" s="69" t="s">
        <v>223</v>
      </c>
      <c r="Q3" s="79" t="str">
        <f>SUBSTITUTE(F3, "hazr-", "")&amp;"-bp"</f>
        <v>p-dis-adm-lb-bp</v>
      </c>
    </row>
    <row r="4" spans="1:17" x14ac:dyDescent="0.3">
      <c r="A4" s="84"/>
      <c r="B4" s="77" t="s">
        <v>23</v>
      </c>
      <c r="C4" s="77" t="str" cm="1">
        <f t="array" ref="C4">UPPER(INDEX(_xlfn.TEXTSPLIT($F4, "-"), 3))</f>
        <v>DIS</v>
      </c>
      <c r="D4" s="77" t="s">
        <v>217</v>
      </c>
      <c r="E4" s="77" t="s">
        <v>24</v>
      </c>
      <c r="F4" s="77" t="s">
        <v>180</v>
      </c>
      <c r="G4" s="77" t="s">
        <v>101</v>
      </c>
      <c r="H4" s="77" t="s">
        <v>306</v>
      </c>
      <c r="I4" s="77" t="s">
        <v>305</v>
      </c>
      <c r="J4" s="77" t="s">
        <v>92</v>
      </c>
      <c r="K4" s="77" t="str">
        <f t="shared" si="0"/>
        <v>p-dis-bbiweb-lb-fe</v>
      </c>
      <c r="L4" s="77" t="s">
        <v>150</v>
      </c>
      <c r="M4" s="77" t="s">
        <v>151</v>
      </c>
      <c r="N4" s="77" t="s">
        <v>155</v>
      </c>
      <c r="O4" s="77" t="s">
        <v>98</v>
      </c>
      <c r="P4" s="77" t="s">
        <v>224</v>
      </c>
      <c r="Q4" s="78" t="str">
        <f t="shared" ref="Q4:Q42" si="1">SUBSTITUTE(F4, "hazr-", "")&amp;"-bp"</f>
        <v>p-dis-bbiweb-lb-bp</v>
      </c>
    </row>
    <row r="5" spans="1:17" x14ac:dyDescent="0.3">
      <c r="A5" s="84"/>
      <c r="B5" s="69" t="s">
        <v>176</v>
      </c>
      <c r="C5" s="69" t="str" cm="1">
        <f t="array" ref="C5">UPPER(INDEX(_xlfn.TEXTSPLIT($F5, "-"), 3))</f>
        <v>DIS</v>
      </c>
      <c r="D5" s="69" t="s">
        <v>217</v>
      </c>
      <c r="E5" s="69" t="s">
        <v>24</v>
      </c>
      <c r="F5" s="69" t="s">
        <v>181</v>
      </c>
      <c r="G5" s="69" t="s">
        <v>101</v>
      </c>
      <c r="H5" s="69" t="s">
        <v>306</v>
      </c>
      <c r="I5" s="69" t="s">
        <v>305</v>
      </c>
      <c r="J5" s="69" t="s">
        <v>92</v>
      </c>
      <c r="K5" s="69" t="str">
        <f t="shared" si="0"/>
        <v>p-dis-bbicltap-lb-fe</v>
      </c>
      <c r="L5" s="69" t="s">
        <v>150</v>
      </c>
      <c r="M5" s="69" t="s">
        <v>152</v>
      </c>
      <c r="N5" s="69" t="s">
        <v>154</v>
      </c>
      <c r="O5" s="69" t="s">
        <v>98</v>
      </c>
      <c r="P5" s="69" t="s">
        <v>225</v>
      </c>
      <c r="Q5" s="79" t="str">
        <f t="shared" si="1"/>
        <v>p-dis-bbicltap-lb-bp</v>
      </c>
    </row>
    <row r="6" spans="1:17" x14ac:dyDescent="0.3">
      <c r="A6" s="84"/>
      <c r="B6" s="77" t="s">
        <v>23</v>
      </c>
      <c r="C6" s="77" t="str" cm="1">
        <f t="array" ref="C6">UPPER(INDEX(_xlfn.TEXTSPLIT($F6, "-"), 3))</f>
        <v>DIS</v>
      </c>
      <c r="D6" s="77" t="s">
        <v>217</v>
      </c>
      <c r="E6" s="77" t="s">
        <v>24</v>
      </c>
      <c r="F6" s="77" t="s">
        <v>182</v>
      </c>
      <c r="G6" s="77" t="s">
        <v>101</v>
      </c>
      <c r="H6" s="77" t="s">
        <v>306</v>
      </c>
      <c r="I6" s="77" t="s">
        <v>305</v>
      </c>
      <c r="J6" s="77" t="s">
        <v>92</v>
      </c>
      <c r="K6" s="77" t="str">
        <f t="shared" si="0"/>
        <v>p-dis-bbimsgap-lb-fe</v>
      </c>
      <c r="L6" s="77" t="s">
        <v>150</v>
      </c>
      <c r="M6" s="77" t="s">
        <v>152</v>
      </c>
      <c r="N6" s="77" t="s">
        <v>154</v>
      </c>
      <c r="O6" s="77" t="s">
        <v>98</v>
      </c>
      <c r="P6" s="77" t="s">
        <v>226</v>
      </c>
      <c r="Q6" s="78" t="str">
        <f t="shared" si="1"/>
        <v>p-dis-bbimsgap-lb-bp</v>
      </c>
    </row>
    <row r="7" spans="1:17" x14ac:dyDescent="0.3">
      <c r="A7" s="84"/>
      <c r="B7" s="77" t="s">
        <v>23</v>
      </c>
      <c r="C7" s="77" t="str" cm="1">
        <f t="array" ref="C7">UPPER(INDEX(_xlfn.TEXTSPLIT($F7, "-"), 3))</f>
        <v>DIS</v>
      </c>
      <c r="D7" s="77" t="s">
        <v>217</v>
      </c>
      <c r="E7" s="77" t="s">
        <v>24</v>
      </c>
      <c r="F7" s="77" t="s">
        <v>307</v>
      </c>
      <c r="G7" s="77" t="s">
        <v>101</v>
      </c>
      <c r="H7" s="77" t="s">
        <v>306</v>
      </c>
      <c r="I7" s="77" t="s">
        <v>305</v>
      </c>
      <c r="J7" s="77" t="s">
        <v>92</v>
      </c>
      <c r="K7" s="77" t="str">
        <f t="shared" si="0"/>
        <v>p-dis-drvcltap-lb-fe</v>
      </c>
      <c r="L7" s="77" t="s">
        <v>150</v>
      </c>
      <c r="M7" s="77" t="s">
        <v>152</v>
      </c>
      <c r="N7" s="77" t="s">
        <v>154</v>
      </c>
      <c r="O7" s="77" t="s">
        <v>98</v>
      </c>
      <c r="P7" s="77" t="s">
        <v>227</v>
      </c>
      <c r="Q7" s="78" t="str">
        <f t="shared" si="1"/>
        <v>p-dis-drvcltap-lb-bp</v>
      </c>
    </row>
    <row r="8" spans="1:17" x14ac:dyDescent="0.3">
      <c r="A8" s="84"/>
      <c r="B8" s="77" t="s">
        <v>23</v>
      </c>
      <c r="C8" s="77" t="str" cm="1">
        <f t="array" ref="C8">UPPER(INDEX(_xlfn.TEXTSPLIT($F8, "-"), 3))</f>
        <v>DIS</v>
      </c>
      <c r="D8" s="77" t="s">
        <v>217</v>
      </c>
      <c r="E8" s="77" t="s">
        <v>24</v>
      </c>
      <c r="F8" s="77" t="s">
        <v>183</v>
      </c>
      <c r="G8" s="77" t="s">
        <v>101</v>
      </c>
      <c r="H8" s="77" t="s">
        <v>306</v>
      </c>
      <c r="I8" s="77" t="s">
        <v>305</v>
      </c>
      <c r="J8" s="77" t="s">
        <v>92</v>
      </c>
      <c r="K8" s="77" t="str">
        <f t="shared" si="0"/>
        <v>p-dis-drvmsgap-lb-fe</v>
      </c>
      <c r="L8" s="77" t="s">
        <v>150</v>
      </c>
      <c r="M8" s="77" t="s">
        <v>152</v>
      </c>
      <c r="N8" s="77" t="s">
        <v>154</v>
      </c>
      <c r="O8" s="77" t="s">
        <v>98</v>
      </c>
      <c r="P8" s="77" t="s">
        <v>228</v>
      </c>
      <c r="Q8" s="78" t="str">
        <f t="shared" si="1"/>
        <v>p-dis-drvmsgap-lb-bp</v>
      </c>
    </row>
    <row r="9" spans="1:17" x14ac:dyDescent="0.3">
      <c r="A9" s="84"/>
      <c r="B9" s="69" t="s">
        <v>176</v>
      </c>
      <c r="C9" s="69" t="str" cm="1">
        <f t="array" ref="C9">UPPER(INDEX(_xlfn.TEXTSPLIT($F9, "-"), 3))</f>
        <v>DIS</v>
      </c>
      <c r="D9" s="69" t="s">
        <v>217</v>
      </c>
      <c r="E9" s="69" t="s">
        <v>24</v>
      </c>
      <c r="F9" s="69" t="s">
        <v>184</v>
      </c>
      <c r="G9" s="69" t="s">
        <v>101</v>
      </c>
      <c r="H9" s="69" t="s">
        <v>306</v>
      </c>
      <c r="I9" s="69" t="s">
        <v>305</v>
      </c>
      <c r="J9" s="69" t="s">
        <v>92</v>
      </c>
      <c r="K9" s="69" t="str">
        <f t="shared" si="0"/>
        <v>p-dis-web-lb-fe</v>
      </c>
      <c r="L9" s="69" t="s">
        <v>150</v>
      </c>
      <c r="M9" s="69" t="s">
        <v>151</v>
      </c>
      <c r="N9" s="69" t="s">
        <v>155</v>
      </c>
      <c r="O9" s="69" t="s">
        <v>98</v>
      </c>
      <c r="P9" s="69" t="s">
        <v>229</v>
      </c>
      <c r="Q9" s="79" t="str">
        <f t="shared" si="1"/>
        <v>p-dis-web-lb-bp</v>
      </c>
    </row>
    <row r="10" spans="1:17" x14ac:dyDescent="0.3">
      <c r="A10" s="84"/>
      <c r="B10" s="77" t="s">
        <v>23</v>
      </c>
      <c r="C10" s="77" t="str" cm="1">
        <f t="array" ref="C10">UPPER(INDEX(_xlfn.TEXTSPLIT($F10, "-"), 3))</f>
        <v>DIS</v>
      </c>
      <c r="D10" s="77" t="s">
        <v>217</v>
      </c>
      <c r="E10" s="77" t="s">
        <v>24</v>
      </c>
      <c r="F10" s="77" t="s">
        <v>185</v>
      </c>
      <c r="G10" s="77" t="s">
        <v>101</v>
      </c>
      <c r="H10" s="77" t="s">
        <v>306</v>
      </c>
      <c r="I10" s="77" t="s">
        <v>305</v>
      </c>
      <c r="J10" s="77" t="s">
        <v>92</v>
      </c>
      <c r="K10" s="77" t="str">
        <f t="shared" si="0"/>
        <v>p-dis-cmsadm-lb-fe</v>
      </c>
      <c r="L10" s="77" t="s">
        <v>150</v>
      </c>
      <c r="M10" s="77" t="s">
        <v>152</v>
      </c>
      <c r="N10" s="77" t="s">
        <v>154</v>
      </c>
      <c r="O10" s="77" t="s">
        <v>98</v>
      </c>
      <c r="P10" s="77" t="s">
        <v>230</v>
      </c>
      <c r="Q10" s="78" t="str">
        <f t="shared" si="1"/>
        <v>p-dis-cmsadm-lb-bp</v>
      </c>
    </row>
    <row r="11" spans="1:17" x14ac:dyDescent="0.3">
      <c r="A11" s="84"/>
      <c r="B11" s="69" t="s">
        <v>176</v>
      </c>
      <c r="C11" s="69" t="str" cm="1">
        <f t="array" ref="C11">UPPER(INDEX(_xlfn.TEXTSPLIT($F11, "-"), 3))</f>
        <v>DIS</v>
      </c>
      <c r="D11" s="69" t="s">
        <v>217</v>
      </c>
      <c r="E11" s="69" t="s">
        <v>24</v>
      </c>
      <c r="F11" s="69" t="s">
        <v>186</v>
      </c>
      <c r="G11" s="69" t="s">
        <v>101</v>
      </c>
      <c r="H11" s="69" t="s">
        <v>306</v>
      </c>
      <c r="I11" s="69" t="s">
        <v>305</v>
      </c>
      <c r="J11" s="69" t="s">
        <v>92</v>
      </c>
      <c r="K11" s="69" t="str">
        <f t="shared" si="0"/>
        <v>p-dis-cmsap-lb-fe</v>
      </c>
      <c r="L11" s="69" t="s">
        <v>150</v>
      </c>
      <c r="M11" s="69" t="s">
        <v>152</v>
      </c>
      <c r="N11" s="69" t="s">
        <v>154</v>
      </c>
      <c r="O11" s="69" t="s">
        <v>98</v>
      </c>
      <c r="P11" s="69" t="s">
        <v>231</v>
      </c>
      <c r="Q11" s="79" t="str">
        <f t="shared" si="1"/>
        <v>p-dis-cmsap-lb-bp</v>
      </c>
    </row>
    <row r="12" spans="1:17" x14ac:dyDescent="0.3">
      <c r="A12" s="84"/>
      <c r="B12" s="77" t="s">
        <v>23</v>
      </c>
      <c r="C12" s="77" t="str" cm="1">
        <f t="array" ref="C12">UPPER(INDEX(_xlfn.TEXTSPLIT($F12, "-"), 3))</f>
        <v>DIS</v>
      </c>
      <c r="D12" s="77" t="s">
        <v>217</v>
      </c>
      <c r="E12" s="77" t="s">
        <v>24</v>
      </c>
      <c r="F12" s="77" t="s">
        <v>187</v>
      </c>
      <c r="G12" s="77" t="s">
        <v>101</v>
      </c>
      <c r="H12" s="77" t="s">
        <v>306</v>
      </c>
      <c r="I12" s="77" t="s">
        <v>305</v>
      </c>
      <c r="J12" s="77" t="s">
        <v>92</v>
      </c>
      <c r="K12" s="77" t="str">
        <f t="shared" si="0"/>
        <v>p-dis-cmsweb-lb-fe</v>
      </c>
      <c r="L12" s="77" t="s">
        <v>150</v>
      </c>
      <c r="M12" s="77" t="s">
        <v>151</v>
      </c>
      <c r="N12" s="77" t="s">
        <v>155</v>
      </c>
      <c r="O12" s="77" t="s">
        <v>98</v>
      </c>
      <c r="P12" s="77" t="s">
        <v>232</v>
      </c>
      <c r="Q12" s="78" t="str">
        <f t="shared" si="1"/>
        <v>p-dis-cmsweb-lb-bp</v>
      </c>
    </row>
    <row r="13" spans="1:17" x14ac:dyDescent="0.3">
      <c r="A13" s="84"/>
      <c r="B13" s="69" t="s">
        <v>176</v>
      </c>
      <c r="C13" s="69" t="str" cm="1">
        <f t="array" ref="C13">UPPER(INDEX(_xlfn.TEXTSPLIT($F13, "-"), 3))</f>
        <v>DIS</v>
      </c>
      <c r="D13" s="69" t="s">
        <v>217</v>
      </c>
      <c r="E13" s="69" t="s">
        <v>24</v>
      </c>
      <c r="F13" s="69" t="s">
        <v>188</v>
      </c>
      <c r="G13" s="69" t="s">
        <v>101</v>
      </c>
      <c r="H13" s="69" t="s">
        <v>306</v>
      </c>
      <c r="I13" s="69" t="s">
        <v>305</v>
      </c>
      <c r="J13" s="69" t="s">
        <v>92</v>
      </c>
      <c r="K13" s="69" t="str">
        <f t="shared" si="0"/>
        <v>p-dis-cmbsap-lb-fe</v>
      </c>
      <c r="L13" s="69" t="s">
        <v>150</v>
      </c>
      <c r="M13" s="69" t="s">
        <v>152</v>
      </c>
      <c r="N13" s="69" t="s">
        <v>154</v>
      </c>
      <c r="O13" s="69" t="s">
        <v>98</v>
      </c>
      <c r="P13" s="69" t="s">
        <v>233</v>
      </c>
      <c r="Q13" s="79" t="str">
        <f t="shared" si="1"/>
        <v>p-dis-cmbsap-lb-bp</v>
      </c>
    </row>
    <row r="14" spans="1:17" x14ac:dyDescent="0.3">
      <c r="A14" s="84"/>
      <c r="B14" s="77" t="s">
        <v>23</v>
      </c>
      <c r="C14" s="77" t="str" cm="1">
        <f t="array" ref="C14">UPPER(INDEX(_xlfn.TEXTSPLIT($F14, "-"), 3))</f>
        <v>DTG</v>
      </c>
      <c r="D14" s="77" t="s">
        <v>218</v>
      </c>
      <c r="E14" s="77" t="s">
        <v>24</v>
      </c>
      <c r="F14" s="77" t="s">
        <v>189</v>
      </c>
      <c r="G14" s="77" t="s">
        <v>101</v>
      </c>
      <c r="H14" s="77" t="s">
        <v>306</v>
      </c>
      <c r="I14" s="77" t="s">
        <v>305</v>
      </c>
      <c r="J14" s="77" t="s">
        <v>92</v>
      </c>
      <c r="K14" s="77" t="str">
        <f t="shared" si="0"/>
        <v>p-dtg-ingap-lb-fe</v>
      </c>
      <c r="L14" s="77" t="s">
        <v>150</v>
      </c>
      <c r="M14" s="77" t="s">
        <v>152</v>
      </c>
      <c r="N14" s="77" t="s">
        <v>261</v>
      </c>
      <c r="O14" s="77" t="s">
        <v>98</v>
      </c>
      <c r="P14" s="77" t="s">
        <v>234</v>
      </c>
      <c r="Q14" s="78" t="str">
        <f t="shared" si="1"/>
        <v>p-dtg-ingap-lb-bp</v>
      </c>
    </row>
    <row r="15" spans="1:17" x14ac:dyDescent="0.3">
      <c r="A15" s="84"/>
      <c r="B15" s="69" t="s">
        <v>176</v>
      </c>
      <c r="C15" s="69" t="str" cm="1">
        <f t="array" ref="C15">UPPER(INDEX(_xlfn.TEXTSPLIT($F15, "-"), 3))</f>
        <v>DTG</v>
      </c>
      <c r="D15" s="69" t="s">
        <v>218</v>
      </c>
      <c r="E15" s="69" t="s">
        <v>24</v>
      </c>
      <c r="F15" s="69" t="s">
        <v>190</v>
      </c>
      <c r="G15" s="69" t="s">
        <v>101</v>
      </c>
      <c r="H15" s="69" t="s">
        <v>306</v>
      </c>
      <c r="I15" s="69" t="s">
        <v>305</v>
      </c>
      <c r="J15" s="69" t="s">
        <v>92</v>
      </c>
      <c r="K15" s="69" t="str">
        <f t="shared" si="0"/>
        <v>p-dtg-ap-lb-fe</v>
      </c>
      <c r="L15" s="69" t="s">
        <v>150</v>
      </c>
      <c r="M15" s="69" t="s">
        <v>152</v>
      </c>
      <c r="N15" s="69" t="s">
        <v>261</v>
      </c>
      <c r="O15" s="69" t="s">
        <v>98</v>
      </c>
      <c r="P15" s="69" t="s">
        <v>235</v>
      </c>
      <c r="Q15" s="79" t="str">
        <f t="shared" si="1"/>
        <v>p-dtg-ap-lb-bp</v>
      </c>
    </row>
    <row r="16" spans="1:17" x14ac:dyDescent="0.3">
      <c r="A16" s="84"/>
      <c r="B16" s="77" t="s">
        <v>23</v>
      </c>
      <c r="C16" s="77" t="str" cm="1">
        <f t="array" ref="C16">UPPER(INDEX(_xlfn.TEXTSPLIT($F16, "-"), 3))</f>
        <v>DTG</v>
      </c>
      <c r="D16" s="77" t="s">
        <v>218</v>
      </c>
      <c r="E16" s="77" t="s">
        <v>24</v>
      </c>
      <c r="F16" s="77" t="s">
        <v>191</v>
      </c>
      <c r="G16" s="77" t="s">
        <v>101</v>
      </c>
      <c r="H16" s="77" t="s">
        <v>306</v>
      </c>
      <c r="I16" s="77" t="s">
        <v>305</v>
      </c>
      <c r="J16" s="77" t="s">
        <v>92</v>
      </c>
      <c r="K16" s="77" t="str">
        <f t="shared" si="0"/>
        <v>p-dtg-extgeoap-lb-fe</v>
      </c>
      <c r="L16" s="77" t="s">
        <v>150</v>
      </c>
      <c r="M16" s="77" t="s">
        <v>152</v>
      </c>
      <c r="N16" s="77" t="s">
        <v>261</v>
      </c>
      <c r="O16" s="77" t="s">
        <v>98</v>
      </c>
      <c r="P16" s="77" t="s">
        <v>236</v>
      </c>
      <c r="Q16" s="78" t="str">
        <f t="shared" si="1"/>
        <v>p-dtg-extgeoap-lb-bp</v>
      </c>
    </row>
    <row r="17" spans="1:17" x14ac:dyDescent="0.3">
      <c r="A17" s="84"/>
      <c r="B17" s="69" t="s">
        <v>176</v>
      </c>
      <c r="C17" s="69" t="str" cm="1">
        <f t="array" ref="C17">UPPER(INDEX(_xlfn.TEXTSPLIT($F17, "-"), 3))</f>
        <v>DTG</v>
      </c>
      <c r="D17" s="69" t="s">
        <v>218</v>
      </c>
      <c r="E17" s="69" t="s">
        <v>24</v>
      </c>
      <c r="F17" s="69" t="s">
        <v>192</v>
      </c>
      <c r="G17" s="69" t="s">
        <v>101</v>
      </c>
      <c r="H17" s="69" t="s">
        <v>306</v>
      </c>
      <c r="I17" s="69" t="s">
        <v>305</v>
      </c>
      <c r="J17" s="69" t="s">
        <v>92</v>
      </c>
      <c r="K17" s="69" t="str">
        <f t="shared" si="0"/>
        <v>p-dtg-geoap-lb-fe</v>
      </c>
      <c r="L17" s="69" t="s">
        <v>150</v>
      </c>
      <c r="M17" s="69" t="s">
        <v>152</v>
      </c>
      <c r="N17" s="69" t="s">
        <v>261</v>
      </c>
      <c r="O17" s="69" t="s">
        <v>98</v>
      </c>
      <c r="P17" s="69" t="s">
        <v>237</v>
      </c>
      <c r="Q17" s="79" t="str">
        <f t="shared" si="1"/>
        <v>p-dtg-geoap-lb-bp</v>
      </c>
    </row>
    <row r="18" spans="1:17" x14ac:dyDescent="0.3">
      <c r="A18" s="84"/>
      <c r="B18" s="77" t="s">
        <v>23</v>
      </c>
      <c r="C18" s="77" t="str" cm="1">
        <f t="array" ref="C18">UPPER(INDEX(_xlfn.TEXTSPLIT($F18, "-"), 3))</f>
        <v>DTG</v>
      </c>
      <c r="D18" s="77" t="s">
        <v>218</v>
      </c>
      <c r="E18" s="77" t="s">
        <v>24</v>
      </c>
      <c r="F18" s="77" t="s">
        <v>298</v>
      </c>
      <c r="G18" s="77" t="s">
        <v>101</v>
      </c>
      <c r="H18" s="77" t="s">
        <v>306</v>
      </c>
      <c r="I18" s="77" t="s">
        <v>305</v>
      </c>
      <c r="J18" s="77" t="s">
        <v>92</v>
      </c>
      <c r="K18" s="77" t="str">
        <f t="shared" si="0"/>
        <v>p-dtg-mq-lb01-fe</v>
      </c>
      <c r="L18" s="77" t="s">
        <v>150</v>
      </c>
      <c r="M18" s="77" t="s">
        <v>151</v>
      </c>
      <c r="N18" s="77" t="s">
        <v>262</v>
      </c>
      <c r="O18" s="77" t="s">
        <v>98</v>
      </c>
      <c r="P18" s="77" t="s">
        <v>238</v>
      </c>
      <c r="Q18" s="78" t="str">
        <f t="shared" si="1"/>
        <v>p-dtg-mq-lb01-bp</v>
      </c>
    </row>
    <row r="19" spans="1:17" x14ac:dyDescent="0.3">
      <c r="A19" s="84"/>
      <c r="B19" s="69" t="s">
        <v>23</v>
      </c>
      <c r="C19" s="69" t="str" cm="1">
        <f t="array" ref="C19">UPPER(INDEX(_xlfn.TEXTSPLIT($F19, "-"), 3))</f>
        <v>DTG</v>
      </c>
      <c r="D19" s="69" t="s">
        <v>218</v>
      </c>
      <c r="E19" s="69" t="s">
        <v>24</v>
      </c>
      <c r="F19" s="69" t="s">
        <v>299</v>
      </c>
      <c r="G19" s="69" t="s">
        <v>101</v>
      </c>
      <c r="H19" s="69" t="s">
        <v>306</v>
      </c>
      <c r="I19" s="69" t="s">
        <v>305</v>
      </c>
      <c r="J19" s="69" t="s">
        <v>92</v>
      </c>
      <c r="K19" s="69" t="str">
        <f t="shared" ref="K19:K20" si="2">SUBSTITUTE(F19, "hazr-", "")&amp;"-fe"</f>
        <v>p-dtg-mq-lb02-fe</v>
      </c>
      <c r="L19" s="69" t="s">
        <v>150</v>
      </c>
      <c r="M19" s="69" t="s">
        <v>151</v>
      </c>
      <c r="N19" s="69" t="s">
        <v>262</v>
      </c>
      <c r="O19" s="69" t="s">
        <v>98</v>
      </c>
      <c r="P19" s="69" t="s">
        <v>301</v>
      </c>
      <c r="Q19" s="79" t="str">
        <f t="shared" ref="Q19:Q20" si="3">SUBSTITUTE(F19, "hazr-", "")&amp;"-bp"</f>
        <v>p-dtg-mq-lb02-bp</v>
      </c>
    </row>
    <row r="20" spans="1:17" x14ac:dyDescent="0.3">
      <c r="A20" s="84"/>
      <c r="B20" s="77" t="s">
        <v>23</v>
      </c>
      <c r="C20" s="77" t="str" cm="1">
        <f t="array" ref="C20">UPPER(INDEX(_xlfn.TEXTSPLIT($F20, "-"), 3))</f>
        <v>DTG</v>
      </c>
      <c r="D20" s="77" t="s">
        <v>218</v>
      </c>
      <c r="E20" s="77" t="s">
        <v>24</v>
      </c>
      <c r="F20" s="77" t="s">
        <v>300</v>
      </c>
      <c r="G20" s="77" t="s">
        <v>101</v>
      </c>
      <c r="H20" s="77" t="s">
        <v>306</v>
      </c>
      <c r="I20" s="77" t="s">
        <v>305</v>
      </c>
      <c r="J20" s="77" t="s">
        <v>92</v>
      </c>
      <c r="K20" s="77" t="str">
        <f t="shared" si="2"/>
        <v>p-dtg-mq-lb03-fe</v>
      </c>
      <c r="L20" s="77" t="s">
        <v>150</v>
      </c>
      <c r="M20" s="77" t="s">
        <v>151</v>
      </c>
      <c r="N20" s="77" t="s">
        <v>262</v>
      </c>
      <c r="O20" s="77" t="s">
        <v>98</v>
      </c>
      <c r="P20" s="77" t="s">
        <v>302</v>
      </c>
      <c r="Q20" s="78" t="str">
        <f t="shared" si="3"/>
        <v>p-dtg-mq-lb03-bp</v>
      </c>
    </row>
    <row r="21" spans="1:17" x14ac:dyDescent="0.3">
      <c r="A21" s="84"/>
      <c r="B21" s="69" t="s">
        <v>176</v>
      </c>
      <c r="C21" s="69" t="str" cm="1">
        <f t="array" ref="C21">UPPER(INDEX(_xlfn.TEXTSPLIT($F21, "-"), 3))</f>
        <v>DTG</v>
      </c>
      <c r="D21" s="69" t="s">
        <v>218</v>
      </c>
      <c r="E21" s="69" t="s">
        <v>24</v>
      </c>
      <c r="F21" s="69" t="s">
        <v>193</v>
      </c>
      <c r="G21" s="69" t="s">
        <v>101</v>
      </c>
      <c r="H21" s="69" t="s">
        <v>306</v>
      </c>
      <c r="I21" s="69" t="s">
        <v>305</v>
      </c>
      <c r="J21" s="69" t="s">
        <v>92</v>
      </c>
      <c r="K21" s="69" t="str">
        <f t="shared" si="0"/>
        <v>p-dtg-admweb-lb-fe</v>
      </c>
      <c r="L21" s="69" t="s">
        <v>150</v>
      </c>
      <c r="M21" s="69" t="s">
        <v>152</v>
      </c>
      <c r="N21" s="69" t="s">
        <v>261</v>
      </c>
      <c r="O21" s="69" t="s">
        <v>98</v>
      </c>
      <c r="P21" s="69" t="s">
        <v>239</v>
      </c>
      <c r="Q21" s="79" t="str">
        <f t="shared" si="1"/>
        <v>p-dtg-admweb-lb-bp</v>
      </c>
    </row>
    <row r="22" spans="1:17" x14ac:dyDescent="0.3">
      <c r="A22" s="84"/>
      <c r="B22" s="77" t="s">
        <v>23</v>
      </c>
      <c r="C22" s="77" t="str" cm="1">
        <f t="array" ref="C22">UPPER(INDEX(_xlfn.TEXTSPLIT($F22, "-"), 3))</f>
        <v>DTG</v>
      </c>
      <c r="D22" s="77" t="s">
        <v>218</v>
      </c>
      <c r="E22" s="77" t="s">
        <v>24</v>
      </c>
      <c r="F22" s="77" t="s">
        <v>194</v>
      </c>
      <c r="G22" s="77" t="s">
        <v>101</v>
      </c>
      <c r="H22" s="77" t="s">
        <v>306</v>
      </c>
      <c r="I22" s="77" t="s">
        <v>305</v>
      </c>
      <c r="J22" s="77" t="s">
        <v>92</v>
      </c>
      <c r="K22" s="77" t="str">
        <f t="shared" si="0"/>
        <v>p-dtg-admap-lb-fe</v>
      </c>
      <c r="L22" s="77" t="s">
        <v>150</v>
      </c>
      <c r="M22" s="77" t="s">
        <v>152</v>
      </c>
      <c r="N22" s="77" t="s">
        <v>261</v>
      </c>
      <c r="O22" s="77" t="s">
        <v>98</v>
      </c>
      <c r="P22" s="77" t="s">
        <v>240</v>
      </c>
      <c r="Q22" s="78" t="str">
        <f t="shared" si="1"/>
        <v>p-dtg-admap-lb-bp</v>
      </c>
    </row>
    <row r="23" spans="1:17" x14ac:dyDescent="0.3">
      <c r="A23" s="84"/>
      <c r="B23" s="69" t="s">
        <v>176</v>
      </c>
      <c r="C23" s="69" t="str" cm="1">
        <f t="array" ref="C23">UPPER(INDEX(_xlfn.TEXTSPLIT($F23, "-"), 3))</f>
        <v>DTG</v>
      </c>
      <c r="D23" s="69" t="s">
        <v>218</v>
      </c>
      <c r="E23" s="69" t="s">
        <v>24</v>
      </c>
      <c r="F23" s="69" t="s">
        <v>195</v>
      </c>
      <c r="G23" s="69" t="s">
        <v>101</v>
      </c>
      <c r="H23" s="69" t="s">
        <v>306</v>
      </c>
      <c r="I23" s="69" t="s">
        <v>305</v>
      </c>
      <c r="J23" s="69" t="s">
        <v>92</v>
      </c>
      <c r="K23" s="69" t="str">
        <f t="shared" si="0"/>
        <v>p-dtg-web-lb-fe</v>
      </c>
      <c r="L23" s="69" t="s">
        <v>150</v>
      </c>
      <c r="M23" s="69" t="s">
        <v>151</v>
      </c>
      <c r="N23" s="69" t="s">
        <v>262</v>
      </c>
      <c r="O23" s="69" t="s">
        <v>98</v>
      </c>
      <c r="P23" s="69" t="s">
        <v>241</v>
      </c>
      <c r="Q23" s="79" t="str">
        <f t="shared" si="1"/>
        <v>p-dtg-web-lb-bp</v>
      </c>
    </row>
    <row r="24" spans="1:17" x14ac:dyDescent="0.3">
      <c r="A24" s="84"/>
      <c r="B24" s="77" t="s">
        <v>23</v>
      </c>
      <c r="C24" s="77" t="str" cm="1">
        <f t="array" ref="C24">UPPER(INDEX(_xlfn.TEXTSPLIT($F24, "-"), 3))</f>
        <v>DTG</v>
      </c>
      <c r="D24" s="77" t="s">
        <v>218</v>
      </c>
      <c r="E24" s="77" t="s">
        <v>24</v>
      </c>
      <c r="F24" s="77" t="s">
        <v>196</v>
      </c>
      <c r="G24" s="77" t="s">
        <v>101</v>
      </c>
      <c r="H24" s="77" t="s">
        <v>306</v>
      </c>
      <c r="I24" s="77" t="s">
        <v>305</v>
      </c>
      <c r="J24" s="77" t="s">
        <v>92</v>
      </c>
      <c r="K24" s="77" t="str">
        <f t="shared" si="0"/>
        <v>p-dtg-cdmlap-lb-fe</v>
      </c>
      <c r="L24" s="77" t="s">
        <v>150</v>
      </c>
      <c r="M24" s="77" t="s">
        <v>152</v>
      </c>
      <c r="N24" s="77" t="s">
        <v>261</v>
      </c>
      <c r="O24" s="77" t="s">
        <v>98</v>
      </c>
      <c r="P24" s="77" t="s">
        <v>242</v>
      </c>
      <c r="Q24" s="78" t="str">
        <f t="shared" si="1"/>
        <v>p-dtg-cdmlap-lb-bp</v>
      </c>
    </row>
    <row r="25" spans="1:17" x14ac:dyDescent="0.3">
      <c r="A25" s="84"/>
      <c r="B25" s="69" t="s">
        <v>176</v>
      </c>
      <c r="C25" s="69" t="str" cm="1">
        <f t="array" ref="C25">UPPER(INDEX(_xlfn.TEXTSPLIT($F25, "-"), 3))</f>
        <v>DTG</v>
      </c>
      <c r="D25" s="69" t="s">
        <v>218</v>
      </c>
      <c r="E25" s="69" t="s">
        <v>24</v>
      </c>
      <c r="F25" s="69" t="s">
        <v>197</v>
      </c>
      <c r="G25" s="69" t="s">
        <v>101</v>
      </c>
      <c r="H25" s="69" t="s">
        <v>306</v>
      </c>
      <c r="I25" s="69" t="s">
        <v>305</v>
      </c>
      <c r="J25" s="69" t="s">
        <v>92</v>
      </c>
      <c r="K25" s="69" t="str">
        <f t="shared" si="0"/>
        <v>p-dtg-cdstap-lb-fe</v>
      </c>
      <c r="L25" s="69" t="s">
        <v>150</v>
      </c>
      <c r="M25" s="69" t="s">
        <v>152</v>
      </c>
      <c r="N25" s="69" t="s">
        <v>261</v>
      </c>
      <c r="O25" s="69" t="s">
        <v>98</v>
      </c>
      <c r="P25" s="69" t="s">
        <v>243</v>
      </c>
      <c r="Q25" s="79" t="str">
        <f t="shared" si="1"/>
        <v>p-dtg-cdstap-lb-bp</v>
      </c>
    </row>
    <row r="26" spans="1:17" x14ac:dyDescent="0.3">
      <c r="A26" s="84"/>
      <c r="B26" s="77" t="s">
        <v>23</v>
      </c>
      <c r="C26" s="77" t="str" cm="1">
        <f t="array" ref="C26">UPPER(INDEX(_xlfn.TEXTSPLIT($F26, "-"), 3))</f>
        <v>DTG</v>
      </c>
      <c r="D26" s="77" t="s">
        <v>218</v>
      </c>
      <c r="E26" s="77" t="s">
        <v>24</v>
      </c>
      <c r="F26" s="77" t="s">
        <v>198</v>
      </c>
      <c r="G26" s="77" t="s">
        <v>101</v>
      </c>
      <c r="H26" s="77" t="s">
        <v>306</v>
      </c>
      <c r="I26" s="77" t="s">
        <v>305</v>
      </c>
      <c r="J26" s="77" t="s">
        <v>92</v>
      </c>
      <c r="K26" s="77" t="str">
        <f t="shared" si="0"/>
        <v>p-dtg-cdsvadm-lb-fe</v>
      </c>
      <c r="L26" s="77" t="s">
        <v>150</v>
      </c>
      <c r="M26" s="77" t="s">
        <v>152</v>
      </c>
      <c r="N26" s="77" t="s">
        <v>261</v>
      </c>
      <c r="O26" s="77" t="s">
        <v>98</v>
      </c>
      <c r="P26" s="77" t="s">
        <v>244</v>
      </c>
      <c r="Q26" s="78" t="str">
        <f t="shared" si="1"/>
        <v>p-dtg-cdsvadm-lb-bp</v>
      </c>
    </row>
    <row r="27" spans="1:17" x14ac:dyDescent="0.3">
      <c r="A27" s="84"/>
      <c r="B27" s="69" t="s">
        <v>176</v>
      </c>
      <c r="C27" s="69" t="str" cm="1">
        <f t="array" ref="C27">UPPER(INDEX(_xlfn.TEXTSPLIT($F27, "-"), 3))</f>
        <v>DTG</v>
      </c>
      <c r="D27" s="69" t="s">
        <v>218</v>
      </c>
      <c r="E27" s="69" t="s">
        <v>24</v>
      </c>
      <c r="F27" s="69" t="s">
        <v>199</v>
      </c>
      <c r="G27" s="69" t="s">
        <v>101</v>
      </c>
      <c r="H27" s="69" t="s">
        <v>306</v>
      </c>
      <c r="I27" s="69" t="s">
        <v>305</v>
      </c>
      <c r="J27" s="69" t="s">
        <v>92</v>
      </c>
      <c r="K27" s="69" t="str">
        <f t="shared" si="0"/>
        <v>p-dtg-diosap-lb-fe</v>
      </c>
      <c r="L27" s="69" t="s">
        <v>150</v>
      </c>
      <c r="M27" s="69" t="s">
        <v>152</v>
      </c>
      <c r="N27" s="69" t="s">
        <v>261</v>
      </c>
      <c r="O27" s="69" t="s">
        <v>98</v>
      </c>
      <c r="P27" s="69" t="s">
        <v>245</v>
      </c>
      <c r="Q27" s="79" t="str">
        <f t="shared" si="1"/>
        <v>p-dtg-diosap-lb-bp</v>
      </c>
    </row>
    <row r="28" spans="1:17" x14ac:dyDescent="0.3">
      <c r="A28" s="84"/>
      <c r="B28" s="77" t="s">
        <v>23</v>
      </c>
      <c r="C28" s="77" t="str" cm="1">
        <f t="array" ref="C28">UPPER(INDEX(_xlfn.TEXTSPLIT($F28, "-"), 3))</f>
        <v>DTG</v>
      </c>
      <c r="D28" s="77" t="s">
        <v>218</v>
      </c>
      <c r="E28" s="77" t="s">
        <v>24</v>
      </c>
      <c r="F28" s="77" t="s">
        <v>200</v>
      </c>
      <c r="G28" s="77" t="s">
        <v>101</v>
      </c>
      <c r="H28" s="77" t="s">
        <v>306</v>
      </c>
      <c r="I28" s="77" t="s">
        <v>305</v>
      </c>
      <c r="J28" s="77" t="s">
        <v>92</v>
      </c>
      <c r="K28" s="77" t="str">
        <f t="shared" si="0"/>
        <v>p-dtg-diosweb-lb-fe</v>
      </c>
      <c r="L28" s="77" t="s">
        <v>150</v>
      </c>
      <c r="M28" s="77" t="s">
        <v>152</v>
      </c>
      <c r="N28" s="77" t="s">
        <v>261</v>
      </c>
      <c r="O28" s="77" t="s">
        <v>98</v>
      </c>
      <c r="P28" s="77" t="s">
        <v>246</v>
      </c>
      <c r="Q28" s="78" t="str">
        <f t="shared" si="1"/>
        <v>p-dtg-diosweb-lb-bp</v>
      </c>
    </row>
    <row r="29" spans="1:17" x14ac:dyDescent="0.3">
      <c r="A29" s="84"/>
      <c r="B29" s="69" t="s">
        <v>176</v>
      </c>
      <c r="C29" s="69" t="str" cm="1">
        <f t="array" ref="C29">UPPER(INDEX(_xlfn.TEXTSPLIT($F29, "-"), 3))</f>
        <v>DTG</v>
      </c>
      <c r="D29" s="69" t="s">
        <v>218</v>
      </c>
      <c r="E29" s="69" t="s">
        <v>24</v>
      </c>
      <c r="F29" s="69" t="s">
        <v>201</v>
      </c>
      <c r="G29" s="69" t="s">
        <v>101</v>
      </c>
      <c r="H29" s="69" t="s">
        <v>306</v>
      </c>
      <c r="I29" s="69" t="s">
        <v>305</v>
      </c>
      <c r="J29" s="69" t="s">
        <v>92</v>
      </c>
      <c r="K29" s="69" t="str">
        <f t="shared" si="0"/>
        <v>p-dtg-dprweb-lb-fe</v>
      </c>
      <c r="L29" s="69" t="s">
        <v>150</v>
      </c>
      <c r="M29" s="69" t="s">
        <v>151</v>
      </c>
      <c r="N29" s="69" t="s">
        <v>262</v>
      </c>
      <c r="O29" s="69" t="s">
        <v>98</v>
      </c>
      <c r="P29" s="69" t="s">
        <v>247</v>
      </c>
      <c r="Q29" s="79" t="str">
        <f t="shared" si="1"/>
        <v>p-dtg-dprweb-lb-bp</v>
      </c>
    </row>
    <row r="30" spans="1:17" x14ac:dyDescent="0.3">
      <c r="A30" s="84"/>
      <c r="B30" s="77" t="s">
        <v>23</v>
      </c>
      <c r="C30" s="77" t="str" cm="1">
        <f t="array" ref="C30">UPPER(INDEX(_xlfn.TEXTSPLIT($F30, "-"), 3))</f>
        <v>DTG</v>
      </c>
      <c r="D30" s="77" t="s">
        <v>218</v>
      </c>
      <c r="E30" s="77" t="s">
        <v>24</v>
      </c>
      <c r="F30" s="77" t="s">
        <v>202</v>
      </c>
      <c r="G30" s="77" t="s">
        <v>101</v>
      </c>
      <c r="H30" s="77" t="s">
        <v>306</v>
      </c>
      <c r="I30" s="77" t="s">
        <v>305</v>
      </c>
      <c r="J30" s="77" t="s">
        <v>92</v>
      </c>
      <c r="K30" s="77" t="str">
        <f t="shared" si="0"/>
        <v>p-dtg-dprap-lb-fe</v>
      </c>
      <c r="L30" s="77" t="s">
        <v>150</v>
      </c>
      <c r="M30" s="77" t="s">
        <v>152</v>
      </c>
      <c r="N30" s="77" t="s">
        <v>261</v>
      </c>
      <c r="O30" s="77" t="s">
        <v>98</v>
      </c>
      <c r="P30" s="77" t="s">
        <v>248</v>
      </c>
      <c r="Q30" s="78" t="str">
        <f t="shared" si="1"/>
        <v>p-dtg-dprap-lb-bp</v>
      </c>
    </row>
    <row r="31" spans="1:17" x14ac:dyDescent="0.3">
      <c r="A31" s="84"/>
      <c r="B31" s="69" t="s">
        <v>176</v>
      </c>
      <c r="C31" s="69" t="str" cm="1">
        <f t="array" ref="C31">UPPER(INDEX(_xlfn.TEXTSPLIT($F31, "-"), 3))</f>
        <v>BDP</v>
      </c>
      <c r="D31" s="69" t="s">
        <v>219</v>
      </c>
      <c r="E31" s="69" t="s">
        <v>24</v>
      </c>
      <c r="F31" s="69" t="s">
        <v>203</v>
      </c>
      <c r="G31" s="69" t="s">
        <v>101</v>
      </c>
      <c r="H31" s="69" t="s">
        <v>306</v>
      </c>
      <c r="I31" s="69" t="s">
        <v>305</v>
      </c>
      <c r="J31" s="69" t="s">
        <v>92</v>
      </c>
      <c r="K31" s="69" t="str">
        <f t="shared" si="0"/>
        <v>p-bdp-cxmadm-lb-fe</v>
      </c>
      <c r="L31" s="69" t="s">
        <v>150</v>
      </c>
      <c r="M31" s="69" t="s">
        <v>152</v>
      </c>
      <c r="N31" s="69" t="s">
        <v>263</v>
      </c>
      <c r="O31" s="69" t="s">
        <v>98</v>
      </c>
      <c r="P31" s="69" t="s">
        <v>249</v>
      </c>
      <c r="Q31" s="79" t="str">
        <f t="shared" si="1"/>
        <v>p-bdp-cxmadm-lb-bp</v>
      </c>
    </row>
    <row r="32" spans="1:17" x14ac:dyDescent="0.3">
      <c r="A32" s="84"/>
      <c r="B32" s="77" t="s">
        <v>23</v>
      </c>
      <c r="C32" s="77" t="str" cm="1">
        <f t="array" ref="C32">UPPER(INDEX(_xlfn.TEXTSPLIT($F32, "-"), 3))</f>
        <v>BDP</v>
      </c>
      <c r="D32" s="77" t="s">
        <v>219</v>
      </c>
      <c r="E32" s="77" t="s">
        <v>24</v>
      </c>
      <c r="F32" s="77" t="s">
        <v>204</v>
      </c>
      <c r="G32" s="77" t="s">
        <v>101</v>
      </c>
      <c r="H32" s="77" t="s">
        <v>306</v>
      </c>
      <c r="I32" s="77" t="s">
        <v>305</v>
      </c>
      <c r="J32" s="77" t="s">
        <v>92</v>
      </c>
      <c r="K32" s="77" t="str">
        <f t="shared" ref="K32:K42" si="4">SUBSTITUTE(F32, "hazr-", "")&amp;"-fe"</f>
        <v>p-bdp-slap-lb-fe</v>
      </c>
      <c r="L32" s="77" t="s">
        <v>150</v>
      </c>
      <c r="M32" s="77" t="s">
        <v>152</v>
      </c>
      <c r="N32" s="77" t="s">
        <v>263</v>
      </c>
      <c r="O32" s="77" t="s">
        <v>98</v>
      </c>
      <c r="P32" s="77" t="s">
        <v>250</v>
      </c>
      <c r="Q32" s="78" t="str">
        <f t="shared" si="1"/>
        <v>p-bdp-slap-lb-bp</v>
      </c>
    </row>
    <row r="33" spans="1:17" x14ac:dyDescent="0.3">
      <c r="A33" s="84"/>
      <c r="B33" s="69" t="s">
        <v>176</v>
      </c>
      <c r="C33" s="69" t="str" cm="1">
        <f t="array" ref="C33">UPPER(INDEX(_xlfn.TEXTSPLIT($F33, "-"), 3))</f>
        <v>IF</v>
      </c>
      <c r="D33" s="69" t="s">
        <v>220</v>
      </c>
      <c r="E33" s="69" t="s">
        <v>24</v>
      </c>
      <c r="F33" s="69" t="s">
        <v>205</v>
      </c>
      <c r="G33" s="69" t="s">
        <v>101</v>
      </c>
      <c r="H33" s="69" t="s">
        <v>306</v>
      </c>
      <c r="I33" s="69" t="s">
        <v>305</v>
      </c>
      <c r="J33" s="69" t="s">
        <v>92</v>
      </c>
      <c r="K33" s="69" t="str">
        <f t="shared" si="4"/>
        <v>p-if-auth-lb-fe</v>
      </c>
      <c r="L33" s="69" t="s">
        <v>150</v>
      </c>
      <c r="M33" s="69" t="s">
        <v>152</v>
      </c>
      <c r="N33" s="69" t="s">
        <v>264</v>
      </c>
      <c r="O33" s="69" t="s">
        <v>98</v>
      </c>
      <c r="P33" s="69" t="s">
        <v>251</v>
      </c>
      <c r="Q33" s="79" t="str">
        <f t="shared" si="1"/>
        <v>p-if-auth-lb-bp</v>
      </c>
    </row>
    <row r="34" spans="1:17" x14ac:dyDescent="0.3">
      <c r="A34" s="84"/>
      <c r="B34" s="69" t="s">
        <v>176</v>
      </c>
      <c r="C34" s="69" t="str" cm="1">
        <f t="array" ref="C34">UPPER(INDEX(_xlfn.TEXTSPLIT($F34, "-"), 3))</f>
        <v>CS</v>
      </c>
      <c r="D34" s="69" t="s">
        <v>221</v>
      </c>
      <c r="E34" s="69" t="s">
        <v>24</v>
      </c>
      <c r="F34" s="69" t="s">
        <v>206</v>
      </c>
      <c r="G34" s="69" t="s">
        <v>101</v>
      </c>
      <c r="H34" s="69" t="s">
        <v>306</v>
      </c>
      <c r="I34" s="69" t="s">
        <v>305</v>
      </c>
      <c r="J34" s="69" t="s">
        <v>92</v>
      </c>
      <c r="K34" s="69" t="str">
        <f t="shared" si="4"/>
        <v>p-cs-chtap-lb-fe</v>
      </c>
      <c r="L34" s="69" t="s">
        <v>150</v>
      </c>
      <c r="M34" s="69" t="s">
        <v>152</v>
      </c>
      <c r="N34" s="69" t="s">
        <v>265</v>
      </c>
      <c r="O34" s="69" t="s">
        <v>98</v>
      </c>
      <c r="P34" s="69" t="s">
        <v>252</v>
      </c>
      <c r="Q34" s="79" t="str">
        <f t="shared" si="1"/>
        <v>p-cs-chtap-lb-bp</v>
      </c>
    </row>
    <row r="35" spans="1:17" x14ac:dyDescent="0.3">
      <c r="A35" s="84"/>
      <c r="B35" s="77" t="s">
        <v>23</v>
      </c>
      <c r="C35" s="77" t="str" cm="1">
        <f t="array" ref="C35">UPPER(INDEX(_xlfn.TEXTSPLIT($F35, "-"), 3))</f>
        <v>CS</v>
      </c>
      <c r="D35" s="77" t="s">
        <v>221</v>
      </c>
      <c r="E35" s="77" t="s">
        <v>24</v>
      </c>
      <c r="F35" s="77" t="s">
        <v>207</v>
      </c>
      <c r="G35" s="77" t="s">
        <v>101</v>
      </c>
      <c r="H35" s="77" t="s">
        <v>306</v>
      </c>
      <c r="I35" s="77" t="s">
        <v>305</v>
      </c>
      <c r="J35" s="77" t="s">
        <v>92</v>
      </c>
      <c r="K35" s="77" t="str">
        <f t="shared" si="4"/>
        <v>p-cs-chtweb-lb-fe</v>
      </c>
      <c r="L35" s="77" t="s">
        <v>150</v>
      </c>
      <c r="M35" s="77" t="s">
        <v>151</v>
      </c>
      <c r="N35" s="77" t="s">
        <v>266</v>
      </c>
      <c r="O35" s="77" t="s">
        <v>98</v>
      </c>
      <c r="P35" s="77" t="s">
        <v>253</v>
      </c>
      <c r="Q35" s="78" t="str">
        <f t="shared" si="1"/>
        <v>p-cs-chtweb-lb-bp</v>
      </c>
    </row>
    <row r="36" spans="1:17" x14ac:dyDescent="0.3">
      <c r="A36" s="84"/>
      <c r="B36" s="69" t="s">
        <v>176</v>
      </c>
      <c r="C36" s="69" t="str" cm="1">
        <f t="array" ref="C36">UPPER(INDEX(_xlfn.TEXTSPLIT($F36, "-"), 3))</f>
        <v>CS</v>
      </c>
      <c r="D36" s="69" t="s">
        <v>221</v>
      </c>
      <c r="E36" s="69" t="s">
        <v>24</v>
      </c>
      <c r="F36" s="69" t="s">
        <v>208</v>
      </c>
      <c r="G36" s="69" t="s">
        <v>101</v>
      </c>
      <c r="H36" s="69" t="s">
        <v>306</v>
      </c>
      <c r="I36" s="69" t="s">
        <v>305</v>
      </c>
      <c r="J36" s="69" t="s">
        <v>92</v>
      </c>
      <c r="K36" s="69" t="str">
        <f t="shared" si="4"/>
        <v>p-cs-chtintweb-lb-fe</v>
      </c>
      <c r="L36" s="69" t="s">
        <v>150</v>
      </c>
      <c r="M36" s="69" t="s">
        <v>152</v>
      </c>
      <c r="N36" s="69" t="s">
        <v>265</v>
      </c>
      <c r="O36" s="69" t="s">
        <v>98</v>
      </c>
      <c r="P36" s="69" t="s">
        <v>254</v>
      </c>
      <c r="Q36" s="79" t="str">
        <f t="shared" si="1"/>
        <v>p-cs-chtintweb-lb-bp</v>
      </c>
    </row>
    <row r="37" spans="1:17" x14ac:dyDescent="0.3">
      <c r="A37" s="84"/>
      <c r="B37" s="77" t="s">
        <v>23</v>
      </c>
      <c r="C37" s="77" t="str" cm="1">
        <f t="array" ref="C37">UPPER(INDEX(_xlfn.TEXTSPLIT($F37, "-"), 3))</f>
        <v>DOIP</v>
      </c>
      <c r="D37" s="77" t="s">
        <v>222</v>
      </c>
      <c r="E37" s="77" t="s">
        <v>24</v>
      </c>
      <c r="F37" s="77" t="s">
        <v>209</v>
      </c>
      <c r="G37" s="77" t="s">
        <v>101</v>
      </c>
      <c r="H37" s="77" t="s">
        <v>306</v>
      </c>
      <c r="I37" s="77" t="s">
        <v>305</v>
      </c>
      <c r="J37" s="77" t="s">
        <v>92</v>
      </c>
      <c r="K37" s="77" t="str">
        <f t="shared" si="4"/>
        <v>p-doip-web-lb-fe</v>
      </c>
      <c r="L37" s="77" t="s">
        <v>150</v>
      </c>
      <c r="M37" s="77" t="s">
        <v>152</v>
      </c>
      <c r="N37" s="77" t="s">
        <v>267</v>
      </c>
      <c r="O37" s="77" t="s">
        <v>98</v>
      </c>
      <c r="P37" s="77" t="s">
        <v>255</v>
      </c>
      <c r="Q37" s="78" t="str">
        <f t="shared" si="1"/>
        <v>p-doip-web-lb-bp</v>
      </c>
    </row>
    <row r="38" spans="1:17" x14ac:dyDescent="0.3">
      <c r="A38" s="84"/>
      <c r="B38" s="69" t="s">
        <v>176</v>
      </c>
      <c r="C38" s="69" t="str" cm="1">
        <f t="array" ref="C38">UPPER(INDEX(_xlfn.TEXTSPLIT($F38, "-"), 3))</f>
        <v>DOIP</v>
      </c>
      <c r="D38" s="69" t="s">
        <v>222</v>
      </c>
      <c r="E38" s="69" t="s">
        <v>24</v>
      </c>
      <c r="F38" s="69" t="s">
        <v>210</v>
      </c>
      <c r="G38" s="69" t="s">
        <v>101</v>
      </c>
      <c r="H38" s="69" t="s">
        <v>306</v>
      </c>
      <c r="I38" s="69" t="s">
        <v>305</v>
      </c>
      <c r="J38" s="69" t="s">
        <v>92</v>
      </c>
      <c r="K38" s="69" t="str">
        <f t="shared" si="4"/>
        <v>p-doip-ap-lb-fe</v>
      </c>
      <c r="L38" s="69" t="s">
        <v>150</v>
      </c>
      <c r="M38" s="69" t="s">
        <v>152</v>
      </c>
      <c r="N38" s="69" t="s">
        <v>267</v>
      </c>
      <c r="O38" s="69" t="s">
        <v>98</v>
      </c>
      <c r="P38" s="69" t="s">
        <v>256</v>
      </c>
      <c r="Q38" s="79" t="str">
        <f t="shared" si="1"/>
        <v>p-doip-ap-lb-bp</v>
      </c>
    </row>
    <row r="39" spans="1:17" x14ac:dyDescent="0.3">
      <c r="A39" s="84"/>
      <c r="B39" s="77" t="s">
        <v>23</v>
      </c>
      <c r="C39" s="77" t="str" cm="1">
        <f t="array" ref="C39">UPPER(INDEX(_xlfn.TEXTSPLIT($F39, "-"), 3))</f>
        <v>DOIP</v>
      </c>
      <c r="D39" s="77" t="s">
        <v>222</v>
      </c>
      <c r="E39" s="77" t="s">
        <v>24</v>
      </c>
      <c r="F39" s="77" t="s">
        <v>211</v>
      </c>
      <c r="G39" s="77" t="s">
        <v>101</v>
      </c>
      <c r="H39" s="77" t="s">
        <v>306</v>
      </c>
      <c r="I39" s="77" t="s">
        <v>305</v>
      </c>
      <c r="J39" s="77" t="s">
        <v>92</v>
      </c>
      <c r="K39" s="77" t="str">
        <f t="shared" si="4"/>
        <v>p-doip-adm-lb-fe</v>
      </c>
      <c r="L39" s="77" t="s">
        <v>150</v>
      </c>
      <c r="M39" s="77" t="s">
        <v>152</v>
      </c>
      <c r="N39" s="77" t="s">
        <v>267</v>
      </c>
      <c r="O39" s="77" t="s">
        <v>98</v>
      </c>
      <c r="P39" s="77" t="s">
        <v>257</v>
      </c>
      <c r="Q39" s="78" t="str">
        <f t="shared" si="1"/>
        <v>p-doip-adm-lb-bp</v>
      </c>
    </row>
    <row r="40" spans="1:17" x14ac:dyDescent="0.3">
      <c r="A40" s="84"/>
      <c r="B40" s="69" t="s">
        <v>176</v>
      </c>
      <c r="C40" s="69" t="str" cm="1">
        <f t="array" ref="C40">UPPER(INDEX(_xlfn.TEXTSPLIT($F40, "-"), 3))</f>
        <v>BDP</v>
      </c>
      <c r="D40" s="69" t="s">
        <v>219</v>
      </c>
      <c r="E40" s="69" t="s">
        <v>24</v>
      </c>
      <c r="F40" s="69" t="s">
        <v>212</v>
      </c>
      <c r="G40" s="69" t="s">
        <v>101</v>
      </c>
      <c r="H40" s="69" t="s">
        <v>306</v>
      </c>
      <c r="I40" s="69" t="s">
        <v>305</v>
      </c>
      <c r="J40" s="69" t="s">
        <v>92</v>
      </c>
      <c r="K40" s="69" t="str">
        <f t="shared" si="4"/>
        <v>p-bdp-crkweb-lb-fe</v>
      </c>
      <c r="L40" s="69" t="s">
        <v>150</v>
      </c>
      <c r="M40" s="69" t="s">
        <v>151</v>
      </c>
      <c r="N40" s="69" t="s">
        <v>268</v>
      </c>
      <c r="O40" s="69" t="s">
        <v>98</v>
      </c>
      <c r="P40" s="69" t="s">
        <v>258</v>
      </c>
      <c r="Q40" s="79" t="str">
        <f t="shared" si="1"/>
        <v>p-bdp-crkweb-lb-bp</v>
      </c>
    </row>
    <row r="41" spans="1:17" x14ac:dyDescent="0.3">
      <c r="A41" s="84"/>
      <c r="B41" s="77" t="s">
        <v>23</v>
      </c>
      <c r="C41" s="77" t="str" cm="1">
        <f t="array" ref="C41">UPPER(INDEX(_xlfn.TEXTSPLIT($F41, "-"), 3))</f>
        <v>BDP</v>
      </c>
      <c r="D41" s="77" t="s">
        <v>219</v>
      </c>
      <c r="E41" s="77" t="s">
        <v>24</v>
      </c>
      <c r="F41" s="77" t="s">
        <v>213</v>
      </c>
      <c r="G41" s="77" t="s">
        <v>101</v>
      </c>
      <c r="H41" s="77" t="s">
        <v>306</v>
      </c>
      <c r="I41" s="77" t="s">
        <v>305</v>
      </c>
      <c r="J41" s="77" t="s">
        <v>92</v>
      </c>
      <c r="K41" s="77" t="str">
        <f t="shared" si="4"/>
        <v>p-bdp-crkap-lb-fe</v>
      </c>
      <c r="L41" s="77" t="s">
        <v>150</v>
      </c>
      <c r="M41" s="77" t="s">
        <v>152</v>
      </c>
      <c r="N41" s="77" t="s">
        <v>263</v>
      </c>
      <c r="O41" s="77" t="s">
        <v>98</v>
      </c>
      <c r="P41" s="77" t="s">
        <v>259</v>
      </c>
      <c r="Q41" s="78" t="str">
        <f t="shared" si="1"/>
        <v>p-bdp-crkap-lb-bp</v>
      </c>
    </row>
    <row r="42" spans="1:17" x14ac:dyDescent="0.3">
      <c r="A42" s="84"/>
      <c r="B42" s="69" t="s">
        <v>176</v>
      </c>
      <c r="C42" s="69" t="str" cm="1">
        <f t="array" ref="C42">UPPER(INDEX(_xlfn.TEXTSPLIT($F42, "-"), 3))</f>
        <v>BDP</v>
      </c>
      <c r="D42" s="69" t="s">
        <v>219</v>
      </c>
      <c r="E42" s="69" t="s">
        <v>24</v>
      </c>
      <c r="F42" s="69" t="s">
        <v>214</v>
      </c>
      <c r="G42" s="69" t="s">
        <v>101</v>
      </c>
      <c r="H42" s="69" t="s">
        <v>306</v>
      </c>
      <c r="I42" s="69" t="s">
        <v>305</v>
      </c>
      <c r="J42" s="69" t="s">
        <v>92</v>
      </c>
      <c r="K42" s="69" t="str">
        <f t="shared" si="4"/>
        <v>p-bdp-crkml-lb-fe</v>
      </c>
      <c r="L42" s="69" t="s">
        <v>150</v>
      </c>
      <c r="M42" s="69" t="s">
        <v>152</v>
      </c>
      <c r="N42" s="69" t="s">
        <v>263</v>
      </c>
      <c r="O42" s="69" t="s">
        <v>98</v>
      </c>
      <c r="P42" s="69" t="s">
        <v>260</v>
      </c>
      <c r="Q42" s="79" t="str">
        <f t="shared" si="1"/>
        <v>p-bdp-crkml-lb-bp</v>
      </c>
    </row>
    <row r="43" spans="1:17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sheetPr>
    <tabColor rgb="FFFFFF00"/>
  </sheetPr>
  <dimension ref="A1:K62"/>
  <sheetViews>
    <sheetView workbookViewId="0">
      <selection activeCell="G57" sqref="G57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style="94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1" t="s">
        <v>0</v>
      </c>
      <c r="C1" s="71" t="s">
        <v>1</v>
      </c>
      <c r="D1" s="71" t="s">
        <v>90</v>
      </c>
      <c r="E1" s="71" t="s">
        <v>89</v>
      </c>
      <c r="F1" s="71" t="s">
        <v>102</v>
      </c>
      <c r="G1" s="67" t="s">
        <v>52</v>
      </c>
      <c r="H1" s="67" t="s">
        <v>103</v>
      </c>
      <c r="I1" s="72" t="s">
        <v>104</v>
      </c>
      <c r="J1" s="85" t="s">
        <v>105</v>
      </c>
      <c r="K1" s="85" t="s">
        <v>106</v>
      </c>
    </row>
    <row r="2" spans="1:11" x14ac:dyDescent="0.3">
      <c r="A2" s="84"/>
      <c r="B2" s="77" t="s">
        <v>23</v>
      </c>
      <c r="C2" s="77" t="str" cm="1">
        <f t="array" ref="C2">UPPER(INDEX(_xlfn.TEXTSPLIT($D2, "-"), 3))</f>
        <v>DIS</v>
      </c>
      <c r="D2" s="77" t="s">
        <v>217</v>
      </c>
      <c r="E2" s="77" t="s">
        <v>215</v>
      </c>
      <c r="F2" s="49" t="str">
        <f t="shared" ref="F2:F50" si="0">SUBSTITUTE(E2, "hazr-", "")&amp;"-pb"&amp;H2</f>
        <v>p-dis-ap-lb-pb8080</v>
      </c>
      <c r="G2" s="77" t="s">
        <v>57</v>
      </c>
      <c r="H2" s="77">
        <v>8080</v>
      </c>
      <c r="I2" s="77"/>
      <c r="J2" s="77">
        <v>5</v>
      </c>
      <c r="K2" s="77">
        <v>2</v>
      </c>
    </row>
    <row r="3" spans="1:11" x14ac:dyDescent="0.3">
      <c r="A3" s="84"/>
      <c r="B3" s="69" t="s">
        <v>23</v>
      </c>
      <c r="C3" s="69" t="str" cm="1">
        <f t="array" ref="C3">UPPER(INDEX(_xlfn.TEXTSPLIT($D3, "-"), 3))</f>
        <v>DIS</v>
      </c>
      <c r="D3" s="69" t="s">
        <v>217</v>
      </c>
      <c r="E3" s="69" t="s">
        <v>269</v>
      </c>
      <c r="F3" s="48" t="str">
        <f t="shared" si="0"/>
        <v>p-dis-adm-lb-pb443</v>
      </c>
      <c r="G3" s="69" t="s">
        <v>57</v>
      </c>
      <c r="H3" s="69">
        <v>443</v>
      </c>
      <c r="I3" s="69"/>
      <c r="J3" s="69">
        <v>5</v>
      </c>
      <c r="K3" s="69">
        <v>2</v>
      </c>
    </row>
    <row r="4" spans="1:11" x14ac:dyDescent="0.3">
      <c r="A4" s="84"/>
      <c r="B4" s="77" t="s">
        <v>23</v>
      </c>
      <c r="C4" s="77" t="str" cm="1">
        <f t="array" ref="C4">UPPER(INDEX(_xlfn.TEXTSPLIT($D4, "-"), 3))</f>
        <v>DIS</v>
      </c>
      <c r="D4" s="77" t="s">
        <v>217</v>
      </c>
      <c r="E4" s="77" t="s">
        <v>270</v>
      </c>
      <c r="F4" s="49" t="str">
        <f t="shared" si="0"/>
        <v>p-dis-bbiweb-lb-pb443</v>
      </c>
      <c r="G4" s="77" t="s">
        <v>57</v>
      </c>
      <c r="H4" s="77">
        <v>443</v>
      </c>
      <c r="I4" s="77"/>
      <c r="J4" s="77">
        <v>5</v>
      </c>
      <c r="K4" s="77">
        <v>2</v>
      </c>
    </row>
    <row r="5" spans="1:11" x14ac:dyDescent="0.3">
      <c r="A5" s="84"/>
      <c r="B5" s="69" t="s">
        <v>23</v>
      </c>
      <c r="C5" s="69" t="str" cm="1">
        <f t="array" ref="C5">UPPER(INDEX(_xlfn.TEXTSPLIT($D5, "-"), 3))</f>
        <v>DIS</v>
      </c>
      <c r="D5" s="69" t="s">
        <v>217</v>
      </c>
      <c r="E5" s="69" t="s">
        <v>181</v>
      </c>
      <c r="F5" s="48" t="str">
        <f t="shared" si="0"/>
        <v>p-dis-bbicltap-lb-pb20000</v>
      </c>
      <c r="G5" s="69" t="s">
        <v>57</v>
      </c>
      <c r="H5" s="69">
        <v>20000</v>
      </c>
      <c r="I5" s="69"/>
      <c r="J5" s="69">
        <v>5</v>
      </c>
      <c r="K5" s="69">
        <v>2</v>
      </c>
    </row>
    <row r="6" spans="1:11" x14ac:dyDescent="0.3">
      <c r="A6" s="84"/>
      <c r="B6" s="69" t="s">
        <v>23</v>
      </c>
      <c r="C6" s="69" t="str" cm="1">
        <f t="array" ref="C6">UPPER(INDEX(_xlfn.TEXTSPLIT($D6, "-"), 3))</f>
        <v>DIS</v>
      </c>
      <c r="D6" s="69" t="s">
        <v>217</v>
      </c>
      <c r="E6" s="69" t="s">
        <v>181</v>
      </c>
      <c r="F6" s="48" t="str">
        <f t="shared" si="0"/>
        <v>p-dis-bbicltap-lb-pb21000</v>
      </c>
      <c r="G6" s="69" t="s">
        <v>57</v>
      </c>
      <c r="H6" s="69">
        <v>21000</v>
      </c>
      <c r="I6" s="69"/>
      <c r="J6" s="69">
        <v>5</v>
      </c>
      <c r="K6" s="69">
        <v>2</v>
      </c>
    </row>
    <row r="7" spans="1:11" x14ac:dyDescent="0.3">
      <c r="A7" s="84"/>
      <c r="B7" s="69" t="s">
        <v>23</v>
      </c>
      <c r="C7" s="69" t="str" cm="1">
        <f t="array" ref="C7">UPPER(INDEX(_xlfn.TEXTSPLIT($D7, "-"), 3))</f>
        <v>DIS</v>
      </c>
      <c r="D7" s="69" t="s">
        <v>217</v>
      </c>
      <c r="E7" s="69" t="s">
        <v>181</v>
      </c>
      <c r="F7" s="48" t="str">
        <f t="shared" si="0"/>
        <v>p-dis-bbicltap-lb-pb22000</v>
      </c>
      <c r="G7" s="69" t="s">
        <v>57</v>
      </c>
      <c r="H7" s="69">
        <v>22000</v>
      </c>
      <c r="I7" s="69"/>
      <c r="J7" s="69">
        <v>5</v>
      </c>
      <c r="K7" s="69">
        <v>2</v>
      </c>
    </row>
    <row r="8" spans="1:11" x14ac:dyDescent="0.3">
      <c r="A8" s="84"/>
      <c r="B8" s="77" t="s">
        <v>23</v>
      </c>
      <c r="C8" s="77" t="str" cm="1">
        <f t="array" ref="C8">UPPER(INDEX(_xlfn.TEXTSPLIT($D8, "-"), 3))</f>
        <v>DIS</v>
      </c>
      <c r="D8" s="77" t="s">
        <v>217</v>
      </c>
      <c r="E8" s="77" t="s">
        <v>271</v>
      </c>
      <c r="F8" s="49" t="str">
        <f t="shared" si="0"/>
        <v>p-dis-bbimsgap-lb-pb20030</v>
      </c>
      <c r="G8" s="77" t="s">
        <v>57</v>
      </c>
      <c r="H8" s="77">
        <v>20030</v>
      </c>
      <c r="I8" s="77"/>
      <c r="J8" s="77">
        <v>5</v>
      </c>
      <c r="K8" s="77">
        <v>2</v>
      </c>
    </row>
    <row r="9" spans="1:11" x14ac:dyDescent="0.3">
      <c r="A9" s="84"/>
      <c r="B9" s="77" t="s">
        <v>23</v>
      </c>
      <c r="C9" s="77" t="str" cm="1">
        <f t="array" ref="C9">UPPER(INDEX(_xlfn.TEXTSPLIT($D9, "-"), 3))</f>
        <v>DIS</v>
      </c>
      <c r="D9" s="77" t="s">
        <v>217</v>
      </c>
      <c r="E9" s="77" t="s">
        <v>307</v>
      </c>
      <c r="F9" s="49" t="str">
        <f t="shared" si="0"/>
        <v>p-dis-drvcltap-lb-pb8081</v>
      </c>
      <c r="G9" s="77" t="s">
        <v>57</v>
      </c>
      <c r="H9" s="77">
        <v>8081</v>
      </c>
      <c r="I9" s="77"/>
      <c r="J9" s="77">
        <v>5</v>
      </c>
      <c r="K9" s="77">
        <v>2</v>
      </c>
    </row>
    <row r="10" spans="1:11" x14ac:dyDescent="0.3">
      <c r="A10" s="84"/>
      <c r="B10" s="77" t="s">
        <v>23</v>
      </c>
      <c r="C10" s="77" t="str" cm="1">
        <f t="array" ref="C10">UPPER(INDEX(_xlfn.TEXTSPLIT($D10, "-"), 3))</f>
        <v>DIS</v>
      </c>
      <c r="D10" s="77" t="s">
        <v>217</v>
      </c>
      <c r="E10" s="77" t="s">
        <v>272</v>
      </c>
      <c r="F10" s="49" t="str">
        <f t="shared" si="0"/>
        <v>p-dis-drvmsgap-lb-pb8080</v>
      </c>
      <c r="G10" s="77" t="s">
        <v>57</v>
      </c>
      <c r="H10" s="77">
        <v>8080</v>
      </c>
      <c r="I10" s="77"/>
      <c r="J10" s="77">
        <v>5</v>
      </c>
      <c r="K10" s="77">
        <v>2</v>
      </c>
    </row>
    <row r="11" spans="1:11" x14ac:dyDescent="0.3">
      <c r="A11" s="84"/>
      <c r="B11" s="69" t="s">
        <v>23</v>
      </c>
      <c r="C11" s="69" t="str" cm="1">
        <f t="array" ref="C11">UPPER(INDEX(_xlfn.TEXTSPLIT($D11, "-"), 3))</f>
        <v>DIS</v>
      </c>
      <c r="D11" s="69" t="s">
        <v>217</v>
      </c>
      <c r="E11" s="69" t="s">
        <v>184</v>
      </c>
      <c r="F11" s="48" t="str">
        <f t="shared" si="0"/>
        <v>p-dis-web-lb-pb80</v>
      </c>
      <c r="G11" s="69" t="s">
        <v>57</v>
      </c>
      <c r="H11" s="69">
        <v>80</v>
      </c>
      <c r="I11" s="69"/>
      <c r="J11" s="69">
        <v>5</v>
      </c>
      <c r="K11" s="69">
        <v>2</v>
      </c>
    </row>
    <row r="12" spans="1:11" x14ac:dyDescent="0.3">
      <c r="A12" s="84"/>
      <c r="B12" s="69" t="s">
        <v>23</v>
      </c>
      <c r="C12" s="69" t="str" cm="1">
        <f t="array" ref="C12">UPPER(INDEX(_xlfn.TEXTSPLIT($D12, "-"), 3))</f>
        <v>DIS</v>
      </c>
      <c r="D12" s="69" t="s">
        <v>217</v>
      </c>
      <c r="E12" s="69" t="s">
        <v>184</v>
      </c>
      <c r="F12" s="48" t="str">
        <f t="shared" si="0"/>
        <v>p-dis-web-lb-pb443</v>
      </c>
      <c r="G12" s="69" t="s">
        <v>57</v>
      </c>
      <c r="H12" s="69">
        <v>443</v>
      </c>
      <c r="I12" s="69"/>
      <c r="J12" s="69">
        <v>5</v>
      </c>
      <c r="K12" s="69">
        <v>2</v>
      </c>
    </row>
    <row r="13" spans="1:11" x14ac:dyDescent="0.3">
      <c r="A13" s="84"/>
      <c r="B13" s="77" t="s">
        <v>23</v>
      </c>
      <c r="C13" s="77" t="str" cm="1">
        <f t="array" ref="C13">UPPER(INDEX(_xlfn.TEXTSPLIT($D13, "-"), 3))</f>
        <v>DIS</v>
      </c>
      <c r="D13" s="77" t="s">
        <v>217</v>
      </c>
      <c r="E13" s="77" t="s">
        <v>282</v>
      </c>
      <c r="F13" s="49" t="str">
        <f t="shared" si="0"/>
        <v>p-dis-cmsadm-lb-pb443</v>
      </c>
      <c r="G13" s="77" t="s">
        <v>57</v>
      </c>
      <c r="H13" s="77">
        <v>443</v>
      </c>
      <c r="I13" s="77"/>
      <c r="J13" s="77">
        <v>5</v>
      </c>
      <c r="K13" s="77">
        <v>2</v>
      </c>
    </row>
    <row r="14" spans="1:11" x14ac:dyDescent="0.3">
      <c r="A14" s="84"/>
      <c r="B14" s="69" t="s">
        <v>23</v>
      </c>
      <c r="C14" s="69" t="str" cm="1">
        <f t="array" ref="C14">UPPER(INDEX(_xlfn.TEXTSPLIT($D14, "-"), 3))</f>
        <v>DIS</v>
      </c>
      <c r="D14" s="69" t="s">
        <v>217</v>
      </c>
      <c r="E14" s="69" t="s">
        <v>186</v>
      </c>
      <c r="F14" s="48" t="str">
        <f t="shared" si="0"/>
        <v>p-dis-cmsap-lb-pb4001</v>
      </c>
      <c r="G14" s="69" t="s">
        <v>57</v>
      </c>
      <c r="H14" s="69">
        <v>4001</v>
      </c>
      <c r="I14" s="69"/>
      <c r="J14" s="69">
        <v>5</v>
      </c>
      <c r="K14" s="69">
        <v>2</v>
      </c>
    </row>
    <row r="15" spans="1:11" x14ac:dyDescent="0.3">
      <c r="A15" s="84"/>
      <c r="B15" s="77" t="s">
        <v>23</v>
      </c>
      <c r="C15" s="77" t="str" cm="1">
        <f t="array" ref="C15">UPPER(INDEX(_xlfn.TEXTSPLIT($D15, "-"), 3))</f>
        <v>DIS</v>
      </c>
      <c r="D15" s="77" t="s">
        <v>217</v>
      </c>
      <c r="E15" s="77" t="s">
        <v>273</v>
      </c>
      <c r="F15" s="49" t="str">
        <f t="shared" si="0"/>
        <v>p-dis-cmsweb-lb-pb80</v>
      </c>
      <c r="G15" s="77" t="s">
        <v>57</v>
      </c>
      <c r="H15" s="77">
        <v>80</v>
      </c>
      <c r="I15" s="77"/>
      <c r="J15" s="77">
        <v>5</v>
      </c>
      <c r="K15" s="77">
        <v>2</v>
      </c>
    </row>
    <row r="16" spans="1:11" x14ac:dyDescent="0.3">
      <c r="A16" s="84"/>
      <c r="B16" s="77" t="s">
        <v>23</v>
      </c>
      <c r="C16" s="77" t="str" cm="1">
        <f t="array" ref="C16">UPPER(INDEX(_xlfn.TEXTSPLIT($D16, "-"), 3))</f>
        <v>DIS</v>
      </c>
      <c r="D16" s="77" t="s">
        <v>217</v>
      </c>
      <c r="E16" s="77" t="s">
        <v>273</v>
      </c>
      <c r="F16" s="49" t="str">
        <f t="shared" ref="F16" si="1">SUBSTITUTE(E16, "hazr-", "")&amp;"-pb"&amp;H16</f>
        <v>p-dis-cmsweb-lb-pb443</v>
      </c>
      <c r="G16" s="77" t="s">
        <v>57</v>
      </c>
      <c r="H16" s="77">
        <v>443</v>
      </c>
      <c r="I16" s="77"/>
      <c r="J16" s="77">
        <v>5</v>
      </c>
      <c r="K16" s="77">
        <v>2</v>
      </c>
    </row>
    <row r="17" spans="1:11" x14ac:dyDescent="0.3">
      <c r="A17" s="84"/>
      <c r="B17" s="69" t="s">
        <v>23</v>
      </c>
      <c r="C17" s="69" t="str" cm="1">
        <f t="array" ref="C17">UPPER(INDEX(_xlfn.TEXTSPLIT($D17, "-"), 3))</f>
        <v>DIS</v>
      </c>
      <c r="D17" s="69" t="s">
        <v>217</v>
      </c>
      <c r="E17" s="69" t="s">
        <v>188</v>
      </c>
      <c r="F17" s="48" t="str">
        <f t="shared" si="0"/>
        <v>p-dis-cmbsap-lb-pb8080</v>
      </c>
      <c r="G17" s="69" t="s">
        <v>57</v>
      </c>
      <c r="H17" s="69">
        <v>8080</v>
      </c>
      <c r="I17" s="69"/>
      <c r="J17" s="69">
        <v>5</v>
      </c>
      <c r="K17" s="69">
        <v>2</v>
      </c>
    </row>
    <row r="18" spans="1:11" x14ac:dyDescent="0.3">
      <c r="A18" s="84"/>
      <c r="B18" s="77" t="s">
        <v>23</v>
      </c>
      <c r="C18" s="77" t="str" cm="1">
        <f t="array" ref="C18">UPPER(INDEX(_xlfn.TEXTSPLIT($D18, "-"), 3))</f>
        <v>DTG</v>
      </c>
      <c r="D18" s="77" t="s">
        <v>218</v>
      </c>
      <c r="E18" s="77" t="s">
        <v>274</v>
      </c>
      <c r="F18" s="49" t="str">
        <f t="shared" si="0"/>
        <v>p-dtg-ingap-lb-pb8081</v>
      </c>
      <c r="G18" s="77" t="s">
        <v>57</v>
      </c>
      <c r="H18" s="77">
        <v>8081</v>
      </c>
      <c r="I18" s="77"/>
      <c r="J18" s="77">
        <v>5</v>
      </c>
      <c r="K18" s="77">
        <v>2</v>
      </c>
    </row>
    <row r="19" spans="1:11" x14ac:dyDescent="0.3">
      <c r="A19" s="84"/>
      <c r="B19" s="69" t="s">
        <v>23</v>
      </c>
      <c r="C19" s="69" t="str" cm="1">
        <f t="array" ref="C19">UPPER(INDEX(_xlfn.TEXTSPLIT($D19, "-"), 3))</f>
        <v>DTG</v>
      </c>
      <c r="D19" s="69" t="s">
        <v>218</v>
      </c>
      <c r="E19" s="69" t="s">
        <v>190</v>
      </c>
      <c r="F19" s="48" t="str">
        <f t="shared" si="0"/>
        <v>p-dtg-ap-lb-pb8080</v>
      </c>
      <c r="G19" s="69" t="s">
        <v>57</v>
      </c>
      <c r="H19" s="69">
        <v>8080</v>
      </c>
      <c r="I19" s="69"/>
      <c r="J19" s="69">
        <v>5</v>
      </c>
      <c r="K19" s="69">
        <v>2</v>
      </c>
    </row>
    <row r="20" spans="1:11" x14ac:dyDescent="0.3">
      <c r="A20" s="84"/>
      <c r="B20" s="69" t="s">
        <v>23</v>
      </c>
      <c r="C20" s="69" t="str" cm="1">
        <f t="array" ref="C20">UPPER(INDEX(_xlfn.TEXTSPLIT($D20, "-"), 3))</f>
        <v>DTG</v>
      </c>
      <c r="D20" s="69" t="s">
        <v>218</v>
      </c>
      <c r="E20" s="69" t="s">
        <v>190</v>
      </c>
      <c r="F20" s="48" t="str">
        <f t="shared" ref="F20" si="2">SUBSTITUTE(E20, "hazr-", "")&amp;"-pb"&amp;H20</f>
        <v>p-dtg-ap-lb-pb8087</v>
      </c>
      <c r="G20" s="69" t="s">
        <v>57</v>
      </c>
      <c r="H20" s="69">
        <v>8087</v>
      </c>
      <c r="I20" s="69"/>
      <c r="J20" s="69">
        <v>5</v>
      </c>
      <c r="K20" s="69">
        <v>2</v>
      </c>
    </row>
    <row r="21" spans="1:11" x14ac:dyDescent="0.3">
      <c r="A21" s="84"/>
      <c r="B21" s="77" t="s">
        <v>23</v>
      </c>
      <c r="C21" s="77" t="str" cm="1">
        <f t="array" ref="C21">UPPER(INDEX(_xlfn.TEXTSPLIT($D21, "-"), 3))</f>
        <v>DTG</v>
      </c>
      <c r="D21" s="77" t="s">
        <v>218</v>
      </c>
      <c r="E21" s="77" t="s">
        <v>275</v>
      </c>
      <c r="F21" s="49" t="str">
        <f t="shared" si="0"/>
        <v>p-dtg-extgeoap-lb-pb3660</v>
      </c>
      <c r="G21" s="77" t="s">
        <v>57</v>
      </c>
      <c r="H21" s="77">
        <v>3660</v>
      </c>
      <c r="I21" s="77"/>
      <c r="J21" s="77">
        <v>5</v>
      </c>
      <c r="K21" s="77">
        <v>2</v>
      </c>
    </row>
    <row r="22" spans="1:11" x14ac:dyDescent="0.3">
      <c r="A22" s="84"/>
      <c r="B22" s="77" t="s">
        <v>23</v>
      </c>
      <c r="C22" s="77" t="str" cm="1">
        <f t="array" ref="C22">UPPER(INDEX(_xlfn.TEXTSPLIT($D22, "-"), 3))</f>
        <v>DTG</v>
      </c>
      <c r="D22" s="77" t="s">
        <v>218</v>
      </c>
      <c r="E22" s="77" t="s">
        <v>275</v>
      </c>
      <c r="F22" s="49" t="str">
        <f t="shared" ref="F22" si="3">SUBSTITUTE(E22, "hazr-", "")&amp;"-pb"&amp;H22</f>
        <v>p-dtg-extgeoap-lb-pb3661</v>
      </c>
      <c r="G22" s="77" t="s">
        <v>57</v>
      </c>
      <c r="H22" s="77">
        <v>3661</v>
      </c>
      <c r="I22" s="77"/>
      <c r="J22" s="77">
        <v>5</v>
      </c>
      <c r="K22" s="77">
        <v>2</v>
      </c>
    </row>
    <row r="23" spans="1:11" x14ac:dyDescent="0.3">
      <c r="A23" s="84"/>
      <c r="B23" s="69" t="s">
        <v>23</v>
      </c>
      <c r="C23" s="69" t="str" cm="1">
        <f t="array" ref="C23">UPPER(INDEX(_xlfn.TEXTSPLIT($D23, "-"), 3))</f>
        <v>DTG</v>
      </c>
      <c r="D23" s="69" t="s">
        <v>218</v>
      </c>
      <c r="E23" s="69" t="s">
        <v>192</v>
      </c>
      <c r="F23" s="48" t="str">
        <f t="shared" si="0"/>
        <v>p-dtg-geoap-lb-pb8089</v>
      </c>
      <c r="G23" s="69" t="s">
        <v>57</v>
      </c>
      <c r="H23" s="69">
        <v>8089</v>
      </c>
      <c r="I23" s="69"/>
      <c r="J23" s="69">
        <v>5</v>
      </c>
      <c r="K23" s="69">
        <v>2</v>
      </c>
    </row>
    <row r="24" spans="1:11" x14ac:dyDescent="0.3">
      <c r="A24" s="84"/>
      <c r="B24" s="69" t="s">
        <v>23</v>
      </c>
      <c r="C24" s="69" t="str" cm="1">
        <f t="array" ref="C24">UPPER(INDEX(_xlfn.TEXTSPLIT($D24, "-"), 3))</f>
        <v>DTG</v>
      </c>
      <c r="D24" s="69" t="s">
        <v>218</v>
      </c>
      <c r="E24" s="69" t="s">
        <v>192</v>
      </c>
      <c r="F24" s="48" t="str">
        <f t="shared" ref="F24" si="4">SUBSTITUTE(E24, "hazr-", "")&amp;"-pb"&amp;H24</f>
        <v>p-dtg-geoap-lb-pb9089</v>
      </c>
      <c r="G24" s="69" t="s">
        <v>57</v>
      </c>
      <c r="H24" s="69">
        <v>9089</v>
      </c>
      <c r="I24" s="69"/>
      <c r="J24" s="69">
        <v>5</v>
      </c>
      <c r="K24" s="69">
        <v>2</v>
      </c>
    </row>
    <row r="25" spans="1:11" x14ac:dyDescent="0.3">
      <c r="A25" s="84"/>
      <c r="B25" s="77" t="s">
        <v>23</v>
      </c>
      <c r="C25" s="77" t="str" cm="1">
        <f t="array" ref="C25">UPPER(INDEX(_xlfn.TEXTSPLIT($D25, "-"), 3))</f>
        <v>DTG</v>
      </c>
      <c r="D25" s="77" t="s">
        <v>218</v>
      </c>
      <c r="E25" s="77" t="s">
        <v>298</v>
      </c>
      <c r="F25" s="49" t="str">
        <f t="shared" si="0"/>
        <v>p-dtg-mq-lb01-pb1883</v>
      </c>
      <c r="G25" s="77" t="s">
        <v>57</v>
      </c>
      <c r="H25" s="77">
        <v>1883</v>
      </c>
      <c r="I25" s="77"/>
      <c r="J25" s="77">
        <v>5</v>
      </c>
      <c r="K25" s="77">
        <v>2</v>
      </c>
    </row>
    <row r="26" spans="1:11" x14ac:dyDescent="0.3">
      <c r="A26" s="84"/>
      <c r="B26" s="77" t="s">
        <v>23</v>
      </c>
      <c r="C26" s="77" t="str" cm="1">
        <f t="array" ref="C26">UPPER(INDEX(_xlfn.TEXTSPLIT($D26, "-"), 3))</f>
        <v>DTG</v>
      </c>
      <c r="D26" s="77" t="s">
        <v>218</v>
      </c>
      <c r="E26" s="77" t="s">
        <v>298</v>
      </c>
      <c r="F26" s="49" t="str">
        <f t="shared" ref="F26:F27" si="5">SUBSTITUTE(E26, "hazr-", "")&amp;"-pb"&amp;H26</f>
        <v>p-dtg-mq-lb01-pb1884</v>
      </c>
      <c r="G26" s="77" t="s">
        <v>57</v>
      </c>
      <c r="H26" s="77">
        <v>1884</v>
      </c>
      <c r="I26" s="77"/>
      <c r="J26" s="77">
        <v>5</v>
      </c>
      <c r="K26" s="77">
        <v>2</v>
      </c>
    </row>
    <row r="27" spans="1:11" x14ac:dyDescent="0.3">
      <c r="A27" s="84"/>
      <c r="B27" s="69" t="s">
        <v>23</v>
      </c>
      <c r="C27" s="69" t="str" cm="1">
        <f t="array" ref="C27">UPPER(INDEX(_xlfn.TEXTSPLIT($D27, "-"), 3))</f>
        <v>DTG</v>
      </c>
      <c r="D27" s="69" t="s">
        <v>218</v>
      </c>
      <c r="E27" s="69" t="s">
        <v>304</v>
      </c>
      <c r="F27" s="48" t="str">
        <f t="shared" si="5"/>
        <v>p-dtg-mq-lb02-pb1883</v>
      </c>
      <c r="G27" s="69" t="s">
        <v>57</v>
      </c>
      <c r="H27" s="69">
        <v>1883</v>
      </c>
      <c r="I27" s="69"/>
      <c r="J27" s="69">
        <v>5</v>
      </c>
      <c r="K27" s="69">
        <v>2</v>
      </c>
    </row>
    <row r="28" spans="1:11" x14ac:dyDescent="0.3">
      <c r="A28" s="84"/>
      <c r="B28" s="69" t="s">
        <v>23</v>
      </c>
      <c r="C28" s="69" t="str" cm="1">
        <f t="array" ref="C28">UPPER(INDEX(_xlfn.TEXTSPLIT($D28, "-"), 3))</f>
        <v>DTG</v>
      </c>
      <c r="D28" s="69" t="s">
        <v>218</v>
      </c>
      <c r="E28" s="69" t="s">
        <v>304</v>
      </c>
      <c r="F28" s="48" t="str">
        <f t="shared" ref="F28:F30" si="6">SUBSTITUTE(E28, "hazr-", "")&amp;"-pb"&amp;H28</f>
        <v>p-dtg-mq-lb02-pb1884</v>
      </c>
      <c r="G28" s="69" t="s">
        <v>57</v>
      </c>
      <c r="H28" s="69">
        <v>1884</v>
      </c>
      <c r="I28" s="69"/>
      <c r="J28" s="69">
        <v>5</v>
      </c>
      <c r="K28" s="69">
        <v>2</v>
      </c>
    </row>
    <row r="29" spans="1:11" x14ac:dyDescent="0.3">
      <c r="A29" s="84"/>
      <c r="B29" s="77" t="s">
        <v>23</v>
      </c>
      <c r="C29" s="77" t="str" cm="1">
        <f t="array" ref="C29">UPPER(INDEX(_xlfn.TEXTSPLIT($D29, "-"), 3))</f>
        <v>DTG</v>
      </c>
      <c r="D29" s="77" t="s">
        <v>218</v>
      </c>
      <c r="E29" s="77" t="s">
        <v>303</v>
      </c>
      <c r="F29" s="49" t="str">
        <f t="shared" si="6"/>
        <v>p-dtg-mq-lb03-pb1883</v>
      </c>
      <c r="G29" s="77" t="s">
        <v>57</v>
      </c>
      <c r="H29" s="77">
        <v>1883</v>
      </c>
      <c r="I29" s="77"/>
      <c r="J29" s="77">
        <v>5</v>
      </c>
      <c r="K29" s="77">
        <v>2</v>
      </c>
    </row>
    <row r="30" spans="1:11" x14ac:dyDescent="0.3">
      <c r="A30" s="84"/>
      <c r="B30" s="77" t="s">
        <v>23</v>
      </c>
      <c r="C30" s="77" t="str" cm="1">
        <f t="array" ref="C30">UPPER(INDEX(_xlfn.TEXTSPLIT($D30, "-"), 3))</f>
        <v>DTG</v>
      </c>
      <c r="D30" s="77" t="s">
        <v>218</v>
      </c>
      <c r="E30" s="77" t="s">
        <v>303</v>
      </c>
      <c r="F30" s="49" t="str">
        <f t="shared" si="6"/>
        <v>p-dtg-mq-lb03-pb1884</v>
      </c>
      <c r="G30" s="77" t="s">
        <v>57</v>
      </c>
      <c r="H30" s="77">
        <v>1884</v>
      </c>
      <c r="I30" s="77"/>
      <c r="J30" s="77">
        <v>5</v>
      </c>
      <c r="K30" s="77">
        <v>2</v>
      </c>
    </row>
    <row r="31" spans="1:11" x14ac:dyDescent="0.3">
      <c r="A31" s="84"/>
      <c r="B31" s="69" t="s">
        <v>23</v>
      </c>
      <c r="C31" s="69" t="str" cm="1">
        <f t="array" ref="C31">UPPER(INDEX(_xlfn.TEXTSPLIT($D31, "-"), 3))</f>
        <v>DTG</v>
      </c>
      <c r="D31" s="69" t="s">
        <v>218</v>
      </c>
      <c r="E31" s="69" t="s">
        <v>193</v>
      </c>
      <c r="F31" s="48" t="str">
        <f t="shared" si="0"/>
        <v>p-dtg-admweb-lb-pb8088</v>
      </c>
      <c r="G31" s="69" t="s">
        <v>57</v>
      </c>
      <c r="H31" s="69">
        <v>8088</v>
      </c>
      <c r="I31" s="69"/>
      <c r="J31" s="69">
        <v>5</v>
      </c>
      <c r="K31" s="69">
        <v>2</v>
      </c>
    </row>
    <row r="32" spans="1:11" x14ac:dyDescent="0.3">
      <c r="A32" s="84"/>
      <c r="B32" s="77" t="s">
        <v>23</v>
      </c>
      <c r="C32" s="77" t="str" cm="1">
        <f t="array" ref="C32">UPPER(INDEX(_xlfn.TEXTSPLIT($D32, "-"), 3))</f>
        <v>DTG</v>
      </c>
      <c r="D32" s="77" t="s">
        <v>218</v>
      </c>
      <c r="E32" s="77" t="s">
        <v>276</v>
      </c>
      <c r="F32" s="49" t="str">
        <f t="shared" si="0"/>
        <v>p-dtg-admap-lb-pb8085</v>
      </c>
      <c r="G32" s="77" t="s">
        <v>57</v>
      </c>
      <c r="H32" s="77">
        <v>8085</v>
      </c>
      <c r="I32" s="77"/>
      <c r="J32" s="77">
        <v>5</v>
      </c>
      <c r="K32" s="77">
        <v>2</v>
      </c>
    </row>
    <row r="33" spans="1:11" x14ac:dyDescent="0.3">
      <c r="A33" s="84"/>
      <c r="B33" s="77" t="s">
        <v>23</v>
      </c>
      <c r="C33" s="77" t="str" cm="1">
        <f t="array" ref="C33">UPPER(INDEX(_xlfn.TEXTSPLIT($D33, "-"), 3))</f>
        <v>DTG</v>
      </c>
      <c r="D33" s="77" t="s">
        <v>218</v>
      </c>
      <c r="E33" s="77" t="s">
        <v>276</v>
      </c>
      <c r="F33" s="49" t="str">
        <f t="shared" ref="F33" si="7">SUBSTITUTE(E33, "hazr-", "")&amp;"-pb"&amp;H33</f>
        <v>p-dtg-admap-lb-pb8087</v>
      </c>
      <c r="G33" s="77" t="s">
        <v>57</v>
      </c>
      <c r="H33" s="77">
        <v>8087</v>
      </c>
      <c r="I33" s="77"/>
      <c r="J33" s="77">
        <v>5</v>
      </c>
      <c r="K33" s="77">
        <v>2</v>
      </c>
    </row>
    <row r="34" spans="1:11" x14ac:dyDescent="0.3">
      <c r="A34" s="84"/>
      <c r="B34" s="69" t="s">
        <v>23</v>
      </c>
      <c r="C34" s="69" t="str" cm="1">
        <f t="array" ref="C34">UPPER(INDEX(_xlfn.TEXTSPLIT($D34, "-"), 3))</f>
        <v>DTG</v>
      </c>
      <c r="D34" s="69" t="s">
        <v>218</v>
      </c>
      <c r="E34" s="69" t="s">
        <v>195</v>
      </c>
      <c r="F34" s="48" t="str">
        <f t="shared" si="0"/>
        <v>p-dtg-web-lb-pb8080</v>
      </c>
      <c r="G34" s="69" t="s">
        <v>57</v>
      </c>
      <c r="H34" s="69">
        <v>8080</v>
      </c>
      <c r="I34" s="69"/>
      <c r="J34" s="69">
        <v>5</v>
      </c>
      <c r="K34" s="69">
        <v>2</v>
      </c>
    </row>
    <row r="35" spans="1:11" x14ac:dyDescent="0.3">
      <c r="A35" s="84"/>
      <c r="B35" s="69" t="s">
        <v>23</v>
      </c>
      <c r="C35" s="69" t="str" cm="1">
        <f t="array" ref="C35">UPPER(INDEX(_xlfn.TEXTSPLIT($D35, "-"), 3))</f>
        <v>DTG</v>
      </c>
      <c r="D35" s="69" t="s">
        <v>218</v>
      </c>
      <c r="E35" s="69" t="s">
        <v>195</v>
      </c>
      <c r="F35" s="48" t="str">
        <f t="shared" ref="F35" si="8">SUBSTITUTE(E35, "hazr-", "")&amp;"-pb"&amp;H35</f>
        <v>p-dtg-web-lb-pb8081</v>
      </c>
      <c r="G35" s="69" t="s">
        <v>57</v>
      </c>
      <c r="H35" s="69">
        <v>8081</v>
      </c>
      <c r="I35" s="69"/>
      <c r="J35" s="69">
        <v>5</v>
      </c>
      <c r="K35" s="69">
        <v>2</v>
      </c>
    </row>
    <row r="36" spans="1:11" x14ac:dyDescent="0.3">
      <c r="A36" s="84"/>
      <c r="B36" s="77" t="s">
        <v>23</v>
      </c>
      <c r="C36" s="77" t="str" cm="1">
        <f t="array" ref="C36">UPPER(INDEX(_xlfn.TEXTSPLIT($D36, "-"), 3))</f>
        <v>DTG</v>
      </c>
      <c r="D36" s="77" t="s">
        <v>218</v>
      </c>
      <c r="E36" s="77" t="s">
        <v>277</v>
      </c>
      <c r="F36" s="49" t="str">
        <f t="shared" si="0"/>
        <v>p-dtg-cdmlap-lb-pb3000</v>
      </c>
      <c r="G36" s="77" t="s">
        <v>57</v>
      </c>
      <c r="H36" s="77">
        <v>3000</v>
      </c>
      <c r="I36" s="77"/>
      <c r="J36" s="77">
        <v>5</v>
      </c>
      <c r="K36" s="77">
        <v>2</v>
      </c>
    </row>
    <row r="37" spans="1:11" x14ac:dyDescent="0.3">
      <c r="A37" s="84"/>
      <c r="B37" s="69" t="s">
        <v>23</v>
      </c>
      <c r="C37" s="69" t="str" cm="1">
        <f t="array" ref="C37">UPPER(INDEX(_xlfn.TEXTSPLIT($D37, "-"), 3))</f>
        <v>DTG</v>
      </c>
      <c r="D37" s="69" t="s">
        <v>218</v>
      </c>
      <c r="E37" s="69" t="s">
        <v>197</v>
      </c>
      <c r="F37" s="48" t="str">
        <f t="shared" si="0"/>
        <v>p-dtg-cdstap-lb-pb9305</v>
      </c>
      <c r="G37" s="69" t="s">
        <v>57</v>
      </c>
      <c r="H37" s="69">
        <v>9305</v>
      </c>
      <c r="I37" s="69"/>
      <c r="J37" s="69">
        <v>5</v>
      </c>
      <c r="K37" s="69">
        <v>2</v>
      </c>
    </row>
    <row r="38" spans="1:11" x14ac:dyDescent="0.3">
      <c r="A38" s="84"/>
      <c r="B38" s="69" t="s">
        <v>23</v>
      </c>
      <c r="C38" s="69" t="str" cm="1">
        <f t="array" ref="C38">UPPER(INDEX(_xlfn.TEXTSPLIT($D38, "-"), 3))</f>
        <v>DTG</v>
      </c>
      <c r="D38" s="69" t="s">
        <v>218</v>
      </c>
      <c r="E38" s="69" t="s">
        <v>197</v>
      </c>
      <c r="F38" s="48" t="str">
        <f t="shared" ref="F38" si="9">SUBSTITUTE(E38, "hazr-", "")&amp;"-pb"&amp;H38</f>
        <v>p-dtg-cdstap-lb-pb9306</v>
      </c>
      <c r="G38" s="69" t="s">
        <v>57</v>
      </c>
      <c r="H38" s="69">
        <v>9306</v>
      </c>
      <c r="I38" s="69"/>
      <c r="J38" s="69">
        <v>5</v>
      </c>
      <c r="K38" s="69">
        <v>2</v>
      </c>
    </row>
    <row r="39" spans="1:11" x14ac:dyDescent="0.3">
      <c r="A39" s="84"/>
      <c r="B39" s="77" t="s">
        <v>23</v>
      </c>
      <c r="C39" s="77" t="str" cm="1">
        <f t="array" ref="C39">UPPER(INDEX(_xlfn.TEXTSPLIT($D39, "-"), 3))</f>
        <v>DTG</v>
      </c>
      <c r="D39" s="77" t="s">
        <v>218</v>
      </c>
      <c r="E39" s="77" t="s">
        <v>278</v>
      </c>
      <c r="F39" s="49" t="str">
        <f t="shared" si="0"/>
        <v>p-dtg-cdsvadm-lb-pb9100</v>
      </c>
      <c r="G39" s="77" t="s">
        <v>57</v>
      </c>
      <c r="H39" s="77">
        <v>9100</v>
      </c>
      <c r="I39" s="77"/>
      <c r="J39" s="77">
        <v>5</v>
      </c>
      <c r="K39" s="77">
        <v>2</v>
      </c>
    </row>
    <row r="40" spans="1:11" x14ac:dyDescent="0.3">
      <c r="A40" s="84"/>
      <c r="B40" s="77" t="s">
        <v>23</v>
      </c>
      <c r="C40" s="77" t="str" cm="1">
        <f t="array" ref="C40">UPPER(INDEX(_xlfn.TEXTSPLIT($D40, "-"), 3))</f>
        <v>DTG</v>
      </c>
      <c r="D40" s="77" t="s">
        <v>218</v>
      </c>
      <c r="E40" s="77" t="s">
        <v>278</v>
      </c>
      <c r="F40" s="49" t="str">
        <f t="shared" ref="F40:F43" si="10">SUBSTITUTE(E40, "hazr-", "")&amp;"-pb"&amp;H40</f>
        <v>p-dtg-cdsvadm-lb-pb9300</v>
      </c>
      <c r="G40" s="77" t="s">
        <v>57</v>
      </c>
      <c r="H40" s="77">
        <v>9300</v>
      </c>
      <c r="I40" s="77"/>
      <c r="J40" s="77">
        <v>5</v>
      </c>
      <c r="K40" s="77">
        <v>2</v>
      </c>
    </row>
    <row r="41" spans="1:11" x14ac:dyDescent="0.3">
      <c r="A41" s="84"/>
      <c r="B41" s="77" t="s">
        <v>23</v>
      </c>
      <c r="C41" s="77" t="str" cm="1">
        <f t="array" ref="C41">UPPER(INDEX(_xlfn.TEXTSPLIT($D41, "-"), 3))</f>
        <v>DTG</v>
      </c>
      <c r="D41" s="77" t="s">
        <v>218</v>
      </c>
      <c r="E41" s="77" t="s">
        <v>278</v>
      </c>
      <c r="F41" s="49" t="str">
        <f t="shared" si="10"/>
        <v>p-dtg-cdsvadm-lb-pb9105</v>
      </c>
      <c r="G41" s="77" t="s">
        <v>57</v>
      </c>
      <c r="H41" s="77">
        <v>9105</v>
      </c>
      <c r="I41" s="77"/>
      <c r="J41" s="77">
        <v>5</v>
      </c>
      <c r="K41" s="77">
        <v>2</v>
      </c>
    </row>
    <row r="42" spans="1:11" x14ac:dyDescent="0.3">
      <c r="A42" s="84"/>
      <c r="B42" s="77" t="s">
        <v>23</v>
      </c>
      <c r="C42" s="77" t="str" cm="1">
        <f t="array" ref="C42">UPPER(INDEX(_xlfn.TEXTSPLIT($D42, "-"), 3))</f>
        <v>DTG</v>
      </c>
      <c r="D42" s="77" t="s">
        <v>218</v>
      </c>
      <c r="E42" s="77" t="s">
        <v>278</v>
      </c>
      <c r="F42" s="49" t="str">
        <f t="shared" si="10"/>
        <v>p-dtg-cdsvadm-lb-pb9003</v>
      </c>
      <c r="G42" s="77" t="s">
        <v>57</v>
      </c>
      <c r="H42" s="77">
        <v>9003</v>
      </c>
      <c r="I42" s="77"/>
      <c r="J42" s="77">
        <v>5</v>
      </c>
      <c r="K42" s="77">
        <v>2</v>
      </c>
    </row>
    <row r="43" spans="1:11" x14ac:dyDescent="0.3">
      <c r="A43" s="84"/>
      <c r="B43" s="77" t="s">
        <v>23</v>
      </c>
      <c r="C43" s="77" t="str" cm="1">
        <f t="array" ref="C43">UPPER(INDEX(_xlfn.TEXTSPLIT($D43, "-"), 3))</f>
        <v>DTG</v>
      </c>
      <c r="D43" s="77" t="s">
        <v>218</v>
      </c>
      <c r="E43" s="77" t="s">
        <v>278</v>
      </c>
      <c r="F43" s="49" t="str">
        <f t="shared" si="10"/>
        <v>p-dtg-cdsvadm-lb-pb8088</v>
      </c>
      <c r="G43" s="77" t="s">
        <v>57</v>
      </c>
      <c r="H43" s="77">
        <v>8088</v>
      </c>
      <c r="I43" s="77"/>
      <c r="J43" s="77">
        <v>5</v>
      </c>
      <c r="K43" s="77">
        <v>2</v>
      </c>
    </row>
    <row r="44" spans="1:11" x14ac:dyDescent="0.3">
      <c r="A44" s="84"/>
      <c r="B44" s="69" t="s">
        <v>23</v>
      </c>
      <c r="C44" s="69" t="str" cm="1">
        <f t="array" ref="C44">UPPER(INDEX(_xlfn.TEXTSPLIT($D44, "-"), 3))</f>
        <v>DTG</v>
      </c>
      <c r="D44" s="69" t="s">
        <v>218</v>
      </c>
      <c r="E44" s="69" t="s">
        <v>199</v>
      </c>
      <c r="F44" s="48" t="str">
        <f t="shared" si="0"/>
        <v>p-dtg-diosap-lb-pb8080</v>
      </c>
      <c r="G44" s="69" t="s">
        <v>57</v>
      </c>
      <c r="H44" s="69">
        <v>8080</v>
      </c>
      <c r="I44" s="69"/>
      <c r="J44" s="69">
        <v>5</v>
      </c>
      <c r="K44" s="69">
        <v>2</v>
      </c>
    </row>
    <row r="45" spans="1:11" x14ac:dyDescent="0.3">
      <c r="A45" s="84"/>
      <c r="B45" s="77" t="s">
        <v>23</v>
      </c>
      <c r="C45" s="77" t="str" cm="1">
        <f t="array" ref="C45">UPPER(INDEX(_xlfn.TEXTSPLIT($D45, "-"), 3))</f>
        <v>DTG</v>
      </c>
      <c r="D45" s="77" t="s">
        <v>218</v>
      </c>
      <c r="E45" s="77" t="s">
        <v>279</v>
      </c>
      <c r="F45" s="49" t="str">
        <f t="shared" si="0"/>
        <v>p-dtg-diosweb-lb-pb443</v>
      </c>
      <c r="G45" s="77" t="s">
        <v>57</v>
      </c>
      <c r="H45" s="77">
        <v>443</v>
      </c>
      <c r="I45" s="77"/>
      <c r="J45" s="77">
        <v>5</v>
      </c>
      <c r="K45" s="77">
        <v>2</v>
      </c>
    </row>
    <row r="46" spans="1:11" x14ac:dyDescent="0.3">
      <c r="A46" s="84"/>
      <c r="B46" s="69" t="s">
        <v>23</v>
      </c>
      <c r="C46" s="69" t="str" cm="1">
        <f t="array" ref="C46">UPPER(INDEX(_xlfn.TEXTSPLIT($D46, "-"), 3))</f>
        <v>DTG</v>
      </c>
      <c r="D46" s="69" t="s">
        <v>218</v>
      </c>
      <c r="E46" s="69" t="s">
        <v>201</v>
      </c>
      <c r="F46" s="48" t="str">
        <f t="shared" si="0"/>
        <v>p-dtg-dprweb-lb-pb443</v>
      </c>
      <c r="G46" s="69" t="s">
        <v>57</v>
      </c>
      <c r="H46" s="69">
        <v>443</v>
      </c>
      <c r="I46" s="69"/>
      <c r="J46" s="69">
        <v>5</v>
      </c>
      <c r="K46" s="69">
        <v>2</v>
      </c>
    </row>
    <row r="47" spans="1:11" x14ac:dyDescent="0.3">
      <c r="A47" s="84"/>
      <c r="B47" s="77" t="s">
        <v>23</v>
      </c>
      <c r="C47" s="77" t="str" cm="1">
        <f t="array" ref="C47">UPPER(INDEX(_xlfn.TEXTSPLIT($D47, "-"), 3))</f>
        <v>DTG</v>
      </c>
      <c r="D47" s="77" t="s">
        <v>218</v>
      </c>
      <c r="E47" s="77" t="s">
        <v>280</v>
      </c>
      <c r="F47" s="49" t="str">
        <f t="shared" si="0"/>
        <v>p-dtg-dprap-lb-pb8082</v>
      </c>
      <c r="G47" s="77" t="s">
        <v>57</v>
      </c>
      <c r="H47" s="77">
        <v>8082</v>
      </c>
      <c r="I47" s="77"/>
      <c r="J47" s="77">
        <v>5</v>
      </c>
      <c r="K47" s="77">
        <v>2</v>
      </c>
    </row>
    <row r="48" spans="1:11" x14ac:dyDescent="0.3">
      <c r="A48" s="84"/>
      <c r="B48" s="69" t="s">
        <v>23</v>
      </c>
      <c r="C48" s="69" t="str" cm="1">
        <f t="array" ref="C48">UPPER(INDEX(_xlfn.TEXTSPLIT($D48, "-"), 3))</f>
        <v>BDP</v>
      </c>
      <c r="D48" s="69" t="s">
        <v>219</v>
      </c>
      <c r="E48" s="69" t="s">
        <v>203</v>
      </c>
      <c r="F48" s="48" t="str">
        <f t="shared" si="0"/>
        <v>p-bdp-cxmadm-lb-pb443</v>
      </c>
      <c r="G48" s="69" t="s">
        <v>57</v>
      </c>
      <c r="H48" s="69">
        <v>443</v>
      </c>
      <c r="I48" s="69"/>
      <c r="J48" s="69">
        <v>5</v>
      </c>
      <c r="K48" s="69">
        <v>2</v>
      </c>
    </row>
    <row r="49" spans="1:11" x14ac:dyDescent="0.3">
      <c r="A49" s="84"/>
      <c r="B49" s="77" t="s">
        <v>23</v>
      </c>
      <c r="C49" s="77" t="str" cm="1">
        <f t="array" ref="C49">UPPER(INDEX(_xlfn.TEXTSPLIT($D49, "-"), 3))</f>
        <v>BDP</v>
      </c>
      <c r="D49" s="77" t="s">
        <v>219</v>
      </c>
      <c r="E49" s="77" t="s">
        <v>281</v>
      </c>
      <c r="F49" s="49" t="str">
        <f t="shared" si="0"/>
        <v>p-bdp-slap-lb-pb443</v>
      </c>
      <c r="G49" s="77" t="s">
        <v>57</v>
      </c>
      <c r="H49" s="77">
        <v>443</v>
      </c>
      <c r="I49" s="77"/>
      <c r="J49" s="77">
        <v>5</v>
      </c>
      <c r="K49" s="77">
        <v>2</v>
      </c>
    </row>
    <row r="50" spans="1:11" x14ac:dyDescent="0.3">
      <c r="A50" s="84"/>
      <c r="B50" s="69" t="s">
        <v>23</v>
      </c>
      <c r="C50" s="69" t="str" cm="1">
        <f t="array" ref="C50">UPPER(INDEX(_xlfn.TEXTSPLIT($D50, "-"), 3))</f>
        <v>IF</v>
      </c>
      <c r="D50" s="69" t="s">
        <v>220</v>
      </c>
      <c r="E50" s="69" t="s">
        <v>205</v>
      </c>
      <c r="F50" s="48" t="str">
        <f t="shared" si="0"/>
        <v>p-if-auth-lb-pb8088</v>
      </c>
      <c r="G50" s="69" t="s">
        <v>57</v>
      </c>
      <c r="H50" s="69">
        <v>8088</v>
      </c>
      <c r="I50" s="69"/>
      <c r="J50" s="69">
        <v>5</v>
      </c>
      <c r="K50" s="69">
        <v>2</v>
      </c>
    </row>
    <row r="51" spans="1:11" x14ac:dyDescent="0.3">
      <c r="A51" s="84"/>
      <c r="B51" s="69" t="s">
        <v>23</v>
      </c>
      <c r="C51" s="69" t="str" cm="1">
        <f t="array" ref="C51">UPPER(INDEX(_xlfn.TEXTSPLIT($D51, "-"), 3))</f>
        <v>IF</v>
      </c>
      <c r="D51" s="69" t="s">
        <v>220</v>
      </c>
      <c r="E51" s="69" t="s">
        <v>205</v>
      </c>
      <c r="F51" s="48" t="str">
        <f t="shared" ref="F51:F52" si="11">SUBSTITUTE(E51, "hazr-", "")&amp;"-pb"&amp;H51</f>
        <v>p-if-auth-lb-pb9003</v>
      </c>
      <c r="G51" s="69" t="s">
        <v>57</v>
      </c>
      <c r="H51" s="69">
        <v>9003</v>
      </c>
      <c r="I51" s="69"/>
      <c r="J51" s="69">
        <v>5</v>
      </c>
      <c r="K51" s="69">
        <v>2</v>
      </c>
    </row>
    <row r="52" spans="1:11" x14ac:dyDescent="0.3">
      <c r="A52" s="84"/>
      <c r="B52" s="69" t="s">
        <v>23</v>
      </c>
      <c r="C52" s="69" t="str" cm="1">
        <f t="array" ref="C52">UPPER(INDEX(_xlfn.TEXTSPLIT($D52, "-"), 3))</f>
        <v>IF</v>
      </c>
      <c r="D52" s="69" t="s">
        <v>220</v>
      </c>
      <c r="E52" s="69" t="s">
        <v>205</v>
      </c>
      <c r="F52" s="48" t="str">
        <f t="shared" si="11"/>
        <v>p-if-auth-lb-pb9005</v>
      </c>
      <c r="G52" s="69" t="s">
        <v>57</v>
      </c>
      <c r="H52" s="69">
        <v>9005</v>
      </c>
      <c r="I52" s="69"/>
      <c r="J52" s="69">
        <v>5</v>
      </c>
      <c r="K52" s="69">
        <v>2</v>
      </c>
    </row>
    <row r="53" spans="1:11" x14ac:dyDescent="0.3">
      <c r="B53" s="93" t="s">
        <v>284</v>
      </c>
      <c r="C53" s="93"/>
      <c r="D53" s="93" t="s">
        <v>221</v>
      </c>
      <c r="E53" s="93" t="s">
        <v>206</v>
      </c>
      <c r="F53" s="95" t="str">
        <f t="shared" ref="F53:F62" si="12">SUBSTITUTE(E53, "hazr-", "")&amp;"-pb"&amp;H53</f>
        <v>p-cs-chtap-lb-pb?</v>
      </c>
      <c r="G53" s="93" t="s">
        <v>57</v>
      </c>
      <c r="H53" s="93" t="s">
        <v>283</v>
      </c>
      <c r="I53" s="93"/>
      <c r="J53" s="93">
        <v>5</v>
      </c>
      <c r="K53" s="93">
        <v>2</v>
      </c>
    </row>
    <row r="54" spans="1:11" x14ac:dyDescent="0.3">
      <c r="B54" s="93" t="s">
        <v>284</v>
      </c>
      <c r="C54" s="93"/>
      <c r="D54" s="93" t="s">
        <v>221</v>
      </c>
      <c r="E54" s="93" t="s">
        <v>285</v>
      </c>
      <c r="F54" s="95" t="str">
        <f t="shared" si="12"/>
        <v>p-cs-chtweb-lb-pb?</v>
      </c>
      <c r="G54" s="93" t="s">
        <v>57</v>
      </c>
      <c r="H54" s="93" t="s">
        <v>283</v>
      </c>
      <c r="I54" s="93"/>
      <c r="J54" s="93">
        <v>5</v>
      </c>
      <c r="K54" s="93">
        <v>2</v>
      </c>
    </row>
    <row r="55" spans="1:11" x14ac:dyDescent="0.3">
      <c r="B55" s="93" t="s">
        <v>284</v>
      </c>
      <c r="C55" s="93"/>
      <c r="D55" s="93" t="s">
        <v>221</v>
      </c>
      <c r="E55" s="93" t="s">
        <v>208</v>
      </c>
      <c r="F55" s="95" t="str">
        <f t="shared" si="12"/>
        <v>p-cs-chtintweb-lb-pb?</v>
      </c>
      <c r="G55" s="93" t="s">
        <v>57</v>
      </c>
      <c r="H55" s="93" t="s">
        <v>283</v>
      </c>
      <c r="I55" s="93"/>
      <c r="J55" s="93">
        <v>5</v>
      </c>
      <c r="K55" s="93">
        <v>2</v>
      </c>
    </row>
    <row r="56" spans="1:11" x14ac:dyDescent="0.3">
      <c r="B56" s="93" t="s">
        <v>284</v>
      </c>
      <c r="C56" s="93"/>
      <c r="D56" s="93" t="s">
        <v>222</v>
      </c>
      <c r="E56" s="93" t="s">
        <v>286</v>
      </c>
      <c r="F56" s="95" t="str">
        <f t="shared" si="12"/>
        <v>p-doip-web-lb-pb?</v>
      </c>
      <c r="G56" s="93" t="s">
        <v>57</v>
      </c>
      <c r="H56" s="93" t="s">
        <v>283</v>
      </c>
      <c r="I56" s="93"/>
      <c r="J56" s="93">
        <v>5</v>
      </c>
      <c r="K56" s="93">
        <v>2</v>
      </c>
    </row>
    <row r="57" spans="1:11" x14ac:dyDescent="0.3">
      <c r="B57" s="93" t="s">
        <v>284</v>
      </c>
      <c r="C57" s="93"/>
      <c r="D57" s="93" t="s">
        <v>222</v>
      </c>
      <c r="E57" s="93" t="s">
        <v>210</v>
      </c>
      <c r="F57" s="95" t="str">
        <f t="shared" si="12"/>
        <v>p-doip-ap-lb-pb?</v>
      </c>
      <c r="G57" s="93" t="s">
        <v>57</v>
      </c>
      <c r="H57" s="93" t="s">
        <v>283</v>
      </c>
      <c r="I57" s="93"/>
      <c r="J57" s="93">
        <v>5</v>
      </c>
      <c r="K57" s="93">
        <v>2</v>
      </c>
    </row>
    <row r="58" spans="1:11" x14ac:dyDescent="0.3">
      <c r="B58" s="93" t="s">
        <v>284</v>
      </c>
      <c r="C58" s="93"/>
      <c r="D58" s="93" t="s">
        <v>222</v>
      </c>
      <c r="E58" s="93" t="s">
        <v>287</v>
      </c>
      <c r="F58" s="95" t="str">
        <f t="shared" si="12"/>
        <v>p-doip-adm-lb-pb?</v>
      </c>
      <c r="G58" s="93" t="s">
        <v>57</v>
      </c>
      <c r="H58" s="93" t="s">
        <v>283</v>
      </c>
      <c r="I58" s="93"/>
      <c r="J58" s="93">
        <v>5</v>
      </c>
      <c r="K58" s="93">
        <v>2</v>
      </c>
    </row>
    <row r="59" spans="1:11" x14ac:dyDescent="0.3">
      <c r="A59" s="84"/>
      <c r="B59" s="69" t="s">
        <v>23</v>
      </c>
      <c r="C59" s="69" t="str" cm="1">
        <f t="array" ref="C59">UPPER(INDEX(_xlfn.TEXTSPLIT($D59, "-"), 3))</f>
        <v>BDP</v>
      </c>
      <c r="D59" s="69" t="s">
        <v>219</v>
      </c>
      <c r="E59" s="69" t="s">
        <v>212</v>
      </c>
      <c r="F59" s="48" t="str">
        <f t="shared" si="12"/>
        <v>p-bdp-crkweb-lb-pb443</v>
      </c>
      <c r="G59" s="69" t="s">
        <v>57</v>
      </c>
      <c r="H59" s="69">
        <v>443</v>
      </c>
      <c r="I59" s="69"/>
      <c r="J59" s="69">
        <v>5</v>
      </c>
      <c r="K59" s="69">
        <v>2</v>
      </c>
    </row>
    <row r="60" spans="1:11" x14ac:dyDescent="0.3">
      <c r="A60" s="84"/>
      <c r="B60" s="69" t="s">
        <v>23</v>
      </c>
      <c r="C60" s="69" t="str" cm="1">
        <f t="array" ref="C60">UPPER(INDEX(_xlfn.TEXTSPLIT($D60, "-"), 3))</f>
        <v>BDP</v>
      </c>
      <c r="D60" s="69" t="s">
        <v>219</v>
      </c>
      <c r="E60" s="69" t="s">
        <v>212</v>
      </c>
      <c r="F60" s="48" t="str">
        <f t="shared" ref="F60" si="13">SUBSTITUTE(E60, "hazr-", "")&amp;"-pb"&amp;H60</f>
        <v>p-bdp-crkweb-lb-pb8080</v>
      </c>
      <c r="G60" s="69" t="s">
        <v>57</v>
      </c>
      <c r="H60" s="69">
        <v>8080</v>
      </c>
      <c r="I60" s="69"/>
      <c r="J60" s="69"/>
      <c r="K60" s="69"/>
    </row>
    <row r="61" spans="1:11" x14ac:dyDescent="0.3">
      <c r="A61" s="84"/>
      <c r="B61" s="77" t="s">
        <v>23</v>
      </c>
      <c r="C61" s="77" t="str" cm="1">
        <f t="array" ref="C61">UPPER(INDEX(_xlfn.TEXTSPLIT($D61, "-"), 3))</f>
        <v>BDP</v>
      </c>
      <c r="D61" s="77" t="s">
        <v>219</v>
      </c>
      <c r="E61" s="77" t="s">
        <v>213</v>
      </c>
      <c r="F61" s="49" t="str">
        <f t="shared" si="12"/>
        <v>p-bdp-crkap-lb-pb8085</v>
      </c>
      <c r="G61" s="77" t="s">
        <v>57</v>
      </c>
      <c r="H61" s="77">
        <v>8085</v>
      </c>
      <c r="I61" s="77"/>
      <c r="J61" s="77">
        <v>5</v>
      </c>
      <c r="K61" s="77">
        <v>2</v>
      </c>
    </row>
    <row r="62" spans="1:11" x14ac:dyDescent="0.3">
      <c r="A62" s="84"/>
      <c r="B62" s="69" t="s">
        <v>23</v>
      </c>
      <c r="C62" s="69" t="str" cm="1">
        <f t="array" ref="C62">UPPER(INDEX(_xlfn.TEXTSPLIT($D62, "-"), 3))</f>
        <v>BDP</v>
      </c>
      <c r="D62" s="69" t="s">
        <v>219</v>
      </c>
      <c r="E62" s="69" t="s">
        <v>214</v>
      </c>
      <c r="F62" s="48" t="str">
        <f t="shared" si="12"/>
        <v>p-bdp-crkml-lb-pb8082</v>
      </c>
      <c r="G62" s="69" t="s">
        <v>57</v>
      </c>
      <c r="H62" s="69">
        <v>8082</v>
      </c>
      <c r="I62" s="69"/>
      <c r="J62" s="69">
        <v>5</v>
      </c>
      <c r="K62" s="69">
        <v>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sheetPr>
    <tabColor rgb="FFFFFF00"/>
  </sheetPr>
  <dimension ref="A1:S62"/>
  <sheetViews>
    <sheetView workbookViewId="0">
      <selection activeCell="B3" sqref="B3"/>
    </sheetView>
  </sheetViews>
  <sheetFormatPr defaultRowHeight="16.5" x14ac:dyDescent="0.3"/>
  <cols>
    <col min="1" max="1" width="3.375" customWidth="1"/>
    <col min="4" max="4" width="12.375" bestFit="1" customWidth="1"/>
    <col min="5" max="5" width="19.5" bestFit="1" customWidth="1"/>
    <col min="6" max="6" width="24" bestFit="1" customWidth="1"/>
    <col min="7" max="7" width="16.625" bestFit="1" customWidth="1"/>
    <col min="10" max="10" width="13.375" bestFit="1" customWidth="1"/>
    <col min="11" max="11" width="19.5" bestFit="1" customWidth="1"/>
    <col min="13" max="13" width="23" bestFit="1" customWidth="1"/>
    <col min="14" max="14" width="14" bestFit="1" customWidth="1"/>
    <col min="16" max="16" width="15.375" bestFit="1" customWidth="1"/>
    <col min="17" max="17" width="15.125" bestFit="1" customWidth="1"/>
    <col min="18" max="18" width="14.625" bestFit="1" customWidth="1"/>
    <col min="19" max="19" width="15" bestFit="1" customWidth="1"/>
    <col min="20" max="20" width="22" customWidth="1"/>
    <col min="21" max="21" width="13.875" customWidth="1"/>
  </cols>
  <sheetData>
    <row r="1" spans="1:19" x14ac:dyDescent="0.3">
      <c r="B1" s="71" t="s">
        <v>0</v>
      </c>
      <c r="C1" s="71" t="s">
        <v>1</v>
      </c>
      <c r="D1" s="71" t="s">
        <v>90</v>
      </c>
      <c r="E1" s="71" t="s">
        <v>89</v>
      </c>
      <c r="F1" s="71" t="s">
        <v>107</v>
      </c>
      <c r="G1" s="71" t="s">
        <v>94</v>
      </c>
      <c r="H1" s="72" t="s">
        <v>52</v>
      </c>
      <c r="I1" s="72" t="s">
        <v>108</v>
      </c>
      <c r="J1" s="85" t="s">
        <v>117</v>
      </c>
      <c r="K1" s="71" t="s">
        <v>100</v>
      </c>
      <c r="L1" s="72" t="s">
        <v>109</v>
      </c>
      <c r="M1" s="85" t="s">
        <v>102</v>
      </c>
      <c r="N1" s="72" t="s">
        <v>149</v>
      </c>
      <c r="O1" s="67" t="s">
        <v>148</v>
      </c>
      <c r="P1" s="85" t="s">
        <v>111</v>
      </c>
      <c r="Q1" s="72" t="s">
        <v>112</v>
      </c>
      <c r="R1" s="85" t="s">
        <v>116</v>
      </c>
      <c r="S1" s="85" t="s">
        <v>110</v>
      </c>
    </row>
    <row r="2" spans="1:19" x14ac:dyDescent="0.3">
      <c r="A2" s="84"/>
      <c r="B2" s="77" t="s">
        <v>23</v>
      </c>
      <c r="C2" s="77" t="str" cm="1">
        <f t="array" ref="C2">UPPER(INDEX(_xlfn.TEXTSPLIT($D2, "-"), 3))</f>
        <v>DIS</v>
      </c>
      <c r="D2" s="77" t="s">
        <v>217</v>
      </c>
      <c r="E2" s="77" t="s">
        <v>215</v>
      </c>
      <c r="F2" s="77" t="str">
        <f t="shared" ref="F2:F18" si="0">SUBSTITUTE(E2, "hazr-", "")&amp;"-rule"&amp;O2</f>
        <v>p-dis-ap-lb-rule8080</v>
      </c>
      <c r="G2" s="77" t="str">
        <f t="shared" ref="G2:G35" si="1">SUBSTITUTE(E2, "hazr-", "")&amp;"-fe"</f>
        <v>p-dis-ap-lb-fe</v>
      </c>
      <c r="H2" s="77" t="s">
        <v>57</v>
      </c>
      <c r="I2" s="77">
        <v>8080</v>
      </c>
      <c r="J2" s="77" t="b">
        <v>0</v>
      </c>
      <c r="K2" s="77" t="str">
        <f t="shared" ref="K2:K35" si="2">SUBSTITUTE(E2, "hazr-", "")&amp;"-bp"</f>
        <v>p-dis-ap-lb-bp</v>
      </c>
      <c r="L2" s="77">
        <v>8080</v>
      </c>
      <c r="M2" s="77" t="str">
        <f t="shared" ref="M2:M18" si="3">SUBSTITUTE(E2, "hazr-", "")&amp;"-pb"&amp;IF(O2="", "", O2)</f>
        <v>p-dis-ap-lb-pb8080</v>
      </c>
      <c r="N2" s="77" t="s">
        <v>57</v>
      </c>
      <c r="O2" s="77">
        <v>8080</v>
      </c>
      <c r="P2" s="77">
        <v>4</v>
      </c>
      <c r="Q2" s="77" t="s">
        <v>113</v>
      </c>
      <c r="R2" s="77" t="b">
        <v>1</v>
      </c>
      <c r="S2" s="77" t="b">
        <v>0</v>
      </c>
    </row>
    <row r="3" spans="1:19" x14ac:dyDescent="0.3">
      <c r="A3" s="84"/>
      <c r="B3" s="69" t="s">
        <v>23</v>
      </c>
      <c r="C3" s="69" t="str" cm="1">
        <f t="array" ref="C3">UPPER(INDEX(_xlfn.TEXTSPLIT($D3, "-"), 3))</f>
        <v>DIS</v>
      </c>
      <c r="D3" s="69" t="s">
        <v>217</v>
      </c>
      <c r="E3" s="69" t="s">
        <v>269</v>
      </c>
      <c r="F3" s="69" t="str">
        <f t="shared" si="0"/>
        <v>p-dis-adm-lb-rule443</v>
      </c>
      <c r="G3" s="69" t="str">
        <f t="shared" si="1"/>
        <v>p-dis-adm-lb-fe</v>
      </c>
      <c r="H3" s="69" t="s">
        <v>57</v>
      </c>
      <c r="I3" s="69">
        <v>443</v>
      </c>
      <c r="J3" s="69" t="b">
        <v>0</v>
      </c>
      <c r="K3" s="69" t="str">
        <f t="shared" si="2"/>
        <v>p-dis-adm-lb-bp</v>
      </c>
      <c r="L3" s="69">
        <v>443</v>
      </c>
      <c r="M3" s="69" t="str">
        <f t="shared" si="3"/>
        <v>p-dis-adm-lb-pb443</v>
      </c>
      <c r="N3" s="69" t="s">
        <v>57</v>
      </c>
      <c r="O3" s="69">
        <v>443</v>
      </c>
      <c r="P3" s="69">
        <v>4</v>
      </c>
      <c r="Q3" s="69" t="s">
        <v>113</v>
      </c>
      <c r="R3" s="69" t="b">
        <v>1</v>
      </c>
      <c r="S3" s="69" t="b">
        <v>0</v>
      </c>
    </row>
    <row r="4" spans="1:19" x14ac:dyDescent="0.3">
      <c r="A4" s="84"/>
      <c r="B4" s="77" t="s">
        <v>23</v>
      </c>
      <c r="C4" s="77" t="str" cm="1">
        <f t="array" ref="C4">UPPER(INDEX(_xlfn.TEXTSPLIT($D4, "-"), 3))</f>
        <v>DIS</v>
      </c>
      <c r="D4" s="77" t="s">
        <v>217</v>
      </c>
      <c r="E4" s="77" t="s">
        <v>270</v>
      </c>
      <c r="F4" s="77" t="str">
        <f t="shared" si="0"/>
        <v>p-dis-bbiweb-lb-rule443</v>
      </c>
      <c r="G4" s="77" t="str">
        <f t="shared" si="1"/>
        <v>p-dis-bbiweb-lb-fe</v>
      </c>
      <c r="H4" s="77" t="s">
        <v>57</v>
      </c>
      <c r="I4" s="77">
        <v>443</v>
      </c>
      <c r="J4" s="77" t="b">
        <v>0</v>
      </c>
      <c r="K4" s="77" t="str">
        <f t="shared" si="2"/>
        <v>p-dis-bbiweb-lb-bp</v>
      </c>
      <c r="L4" s="77">
        <v>443</v>
      </c>
      <c r="M4" s="77" t="str">
        <f t="shared" si="3"/>
        <v>p-dis-bbiweb-lb-pb443</v>
      </c>
      <c r="N4" s="77" t="s">
        <v>57</v>
      </c>
      <c r="O4" s="77">
        <v>443</v>
      </c>
      <c r="P4" s="77">
        <v>4</v>
      </c>
      <c r="Q4" s="77" t="s">
        <v>113</v>
      </c>
      <c r="R4" s="77" t="b">
        <v>1</v>
      </c>
      <c r="S4" s="77" t="b">
        <v>0</v>
      </c>
    </row>
    <row r="5" spans="1:19" x14ac:dyDescent="0.3">
      <c r="A5" s="84"/>
      <c r="B5" s="69" t="s">
        <v>23</v>
      </c>
      <c r="C5" s="69" t="str" cm="1">
        <f t="array" ref="C5">UPPER(INDEX(_xlfn.TEXTSPLIT($D5, "-"), 3))</f>
        <v>DIS</v>
      </c>
      <c r="D5" s="69" t="s">
        <v>217</v>
      </c>
      <c r="E5" s="69" t="s">
        <v>181</v>
      </c>
      <c r="F5" s="69" t="str">
        <f t="shared" si="0"/>
        <v>p-dis-bbicltap-lb-rule20000</v>
      </c>
      <c r="G5" s="69" t="str">
        <f t="shared" si="1"/>
        <v>p-dis-bbicltap-lb-fe</v>
      </c>
      <c r="H5" s="69" t="s">
        <v>57</v>
      </c>
      <c r="I5" s="69">
        <v>20000</v>
      </c>
      <c r="J5" s="69" t="b">
        <v>0</v>
      </c>
      <c r="K5" s="69" t="str">
        <f t="shared" si="2"/>
        <v>p-dis-bbicltap-lb-bp</v>
      </c>
      <c r="L5" s="69">
        <v>20000</v>
      </c>
      <c r="M5" s="69" t="str">
        <f t="shared" si="3"/>
        <v>p-dis-bbicltap-lb-pb20000</v>
      </c>
      <c r="N5" s="69" t="s">
        <v>57</v>
      </c>
      <c r="O5" s="69">
        <v>20000</v>
      </c>
      <c r="P5" s="69">
        <v>4</v>
      </c>
      <c r="Q5" s="69" t="s">
        <v>113</v>
      </c>
      <c r="R5" s="69" t="b">
        <v>1</v>
      </c>
      <c r="S5" s="69" t="b">
        <v>0</v>
      </c>
    </row>
    <row r="6" spans="1:19" x14ac:dyDescent="0.3">
      <c r="A6" s="84"/>
      <c r="B6" s="69" t="s">
        <v>23</v>
      </c>
      <c r="C6" s="69" t="str" cm="1">
        <f t="array" ref="C6">UPPER(INDEX(_xlfn.TEXTSPLIT($D6, "-"), 3))</f>
        <v>DIS</v>
      </c>
      <c r="D6" s="69" t="s">
        <v>217</v>
      </c>
      <c r="E6" s="69" t="s">
        <v>181</v>
      </c>
      <c r="F6" s="69" t="str">
        <f t="shared" si="0"/>
        <v>p-dis-bbicltap-lb-rule21000</v>
      </c>
      <c r="G6" s="69" t="str">
        <f t="shared" si="1"/>
        <v>p-dis-bbicltap-lb-fe</v>
      </c>
      <c r="H6" s="69" t="s">
        <v>57</v>
      </c>
      <c r="I6" s="69">
        <v>21000</v>
      </c>
      <c r="J6" s="69" t="b">
        <v>0</v>
      </c>
      <c r="K6" s="69" t="str">
        <f t="shared" si="2"/>
        <v>p-dis-bbicltap-lb-bp</v>
      </c>
      <c r="L6" s="69">
        <v>21000</v>
      </c>
      <c r="M6" s="69" t="str">
        <f t="shared" si="3"/>
        <v>p-dis-bbicltap-lb-pb21000</v>
      </c>
      <c r="N6" s="69" t="s">
        <v>57</v>
      </c>
      <c r="O6" s="69">
        <v>21000</v>
      </c>
      <c r="P6" s="69">
        <v>4</v>
      </c>
      <c r="Q6" s="69" t="s">
        <v>113</v>
      </c>
      <c r="R6" s="69" t="b">
        <v>1</v>
      </c>
      <c r="S6" s="69" t="b">
        <v>0</v>
      </c>
    </row>
    <row r="7" spans="1:19" x14ac:dyDescent="0.3">
      <c r="A7" s="84"/>
      <c r="B7" s="69" t="s">
        <v>23</v>
      </c>
      <c r="C7" s="69" t="str" cm="1">
        <f t="array" ref="C7">UPPER(INDEX(_xlfn.TEXTSPLIT($D7, "-"), 3))</f>
        <v>DIS</v>
      </c>
      <c r="D7" s="69" t="s">
        <v>217</v>
      </c>
      <c r="E7" s="69" t="s">
        <v>181</v>
      </c>
      <c r="F7" s="69" t="str">
        <f t="shared" si="0"/>
        <v>p-dis-bbicltap-lb-rule22000</v>
      </c>
      <c r="G7" s="69" t="str">
        <f t="shared" si="1"/>
        <v>p-dis-bbicltap-lb-fe</v>
      </c>
      <c r="H7" s="69" t="s">
        <v>57</v>
      </c>
      <c r="I7" s="69">
        <v>22000</v>
      </c>
      <c r="J7" s="69" t="b">
        <v>0</v>
      </c>
      <c r="K7" s="69" t="str">
        <f t="shared" si="2"/>
        <v>p-dis-bbicltap-lb-bp</v>
      </c>
      <c r="L7" s="69">
        <v>22000</v>
      </c>
      <c r="M7" s="69" t="str">
        <f t="shared" si="3"/>
        <v>p-dis-bbicltap-lb-pb22000</v>
      </c>
      <c r="N7" s="69" t="s">
        <v>57</v>
      </c>
      <c r="O7" s="69">
        <v>22000</v>
      </c>
      <c r="P7" s="69">
        <v>4</v>
      </c>
      <c r="Q7" s="69" t="s">
        <v>113</v>
      </c>
      <c r="R7" s="69" t="b">
        <v>1</v>
      </c>
      <c r="S7" s="69" t="b">
        <v>0</v>
      </c>
    </row>
    <row r="8" spans="1:19" x14ac:dyDescent="0.3">
      <c r="A8" s="84"/>
      <c r="B8" s="77" t="s">
        <v>23</v>
      </c>
      <c r="C8" s="77" t="str" cm="1">
        <f t="array" ref="C8">UPPER(INDEX(_xlfn.TEXTSPLIT($D8, "-"), 3))</f>
        <v>DIS</v>
      </c>
      <c r="D8" s="77" t="s">
        <v>217</v>
      </c>
      <c r="E8" s="77" t="s">
        <v>271</v>
      </c>
      <c r="F8" s="77" t="str">
        <f t="shared" si="0"/>
        <v>p-dis-bbimsgap-lb-rule20030</v>
      </c>
      <c r="G8" s="77" t="str">
        <f t="shared" si="1"/>
        <v>p-dis-bbimsgap-lb-fe</v>
      </c>
      <c r="H8" s="77" t="s">
        <v>57</v>
      </c>
      <c r="I8" s="77">
        <v>20030</v>
      </c>
      <c r="J8" s="77" t="b">
        <v>0</v>
      </c>
      <c r="K8" s="77" t="str">
        <f t="shared" si="2"/>
        <v>p-dis-bbimsgap-lb-bp</v>
      </c>
      <c r="L8" s="77">
        <v>20030</v>
      </c>
      <c r="M8" s="77" t="str">
        <f t="shared" si="3"/>
        <v>p-dis-bbimsgap-lb-pb20030</v>
      </c>
      <c r="N8" s="77" t="s">
        <v>57</v>
      </c>
      <c r="O8" s="77">
        <v>20030</v>
      </c>
      <c r="P8" s="77">
        <v>4</v>
      </c>
      <c r="Q8" s="77" t="s">
        <v>113</v>
      </c>
      <c r="R8" s="77" t="b">
        <v>1</v>
      </c>
      <c r="S8" s="77" t="b">
        <v>0</v>
      </c>
    </row>
    <row r="9" spans="1:19" x14ac:dyDescent="0.3">
      <c r="A9" s="84"/>
      <c r="B9" s="77" t="s">
        <v>23</v>
      </c>
      <c r="C9" s="77" t="str" cm="1">
        <f t="array" ref="C9">UPPER(INDEX(_xlfn.TEXTSPLIT($D9, "-"), 3))</f>
        <v>DIS</v>
      </c>
      <c r="D9" s="77" t="s">
        <v>217</v>
      </c>
      <c r="E9" s="77" t="s">
        <v>307</v>
      </c>
      <c r="F9" s="77" t="str">
        <f t="shared" si="0"/>
        <v>p-dis-drvcltap-lb-rule8081</v>
      </c>
      <c r="G9" s="77" t="str">
        <f t="shared" si="1"/>
        <v>p-dis-drvcltap-lb-fe</v>
      </c>
      <c r="H9" s="77" t="s">
        <v>57</v>
      </c>
      <c r="I9" s="77">
        <v>8081</v>
      </c>
      <c r="J9" s="77" t="b">
        <v>0</v>
      </c>
      <c r="K9" s="77" t="str">
        <f t="shared" si="2"/>
        <v>p-dis-drvcltap-lb-bp</v>
      </c>
      <c r="L9" s="77">
        <v>8081</v>
      </c>
      <c r="M9" s="77" t="str">
        <f t="shared" si="3"/>
        <v>p-dis-drvcltap-lb-pb8081</v>
      </c>
      <c r="N9" s="77" t="s">
        <v>57</v>
      </c>
      <c r="O9" s="77">
        <v>8081</v>
      </c>
      <c r="P9" s="77">
        <v>4</v>
      </c>
      <c r="Q9" s="77" t="s">
        <v>113</v>
      </c>
      <c r="R9" s="77" t="b">
        <v>1</v>
      </c>
      <c r="S9" s="77" t="b">
        <v>0</v>
      </c>
    </row>
    <row r="10" spans="1:19" x14ac:dyDescent="0.3">
      <c r="A10" s="84"/>
      <c r="B10" s="77" t="s">
        <v>23</v>
      </c>
      <c r="C10" s="77" t="str" cm="1">
        <f t="array" ref="C10">UPPER(INDEX(_xlfn.TEXTSPLIT($D10, "-"), 3))</f>
        <v>DIS</v>
      </c>
      <c r="D10" s="77" t="s">
        <v>217</v>
      </c>
      <c r="E10" s="77" t="s">
        <v>272</v>
      </c>
      <c r="F10" s="77" t="str">
        <f t="shared" si="0"/>
        <v>p-dis-drvmsgap-lb-rule8080</v>
      </c>
      <c r="G10" s="77" t="str">
        <f t="shared" si="1"/>
        <v>p-dis-drvmsgap-lb-fe</v>
      </c>
      <c r="H10" s="77" t="s">
        <v>57</v>
      </c>
      <c r="I10" s="77">
        <v>8080</v>
      </c>
      <c r="J10" s="77" t="b">
        <v>0</v>
      </c>
      <c r="K10" s="77" t="str">
        <f t="shared" si="2"/>
        <v>p-dis-drvmsgap-lb-bp</v>
      </c>
      <c r="L10" s="77">
        <v>8080</v>
      </c>
      <c r="M10" s="77" t="str">
        <f t="shared" si="3"/>
        <v>p-dis-drvmsgap-lb-pb8080</v>
      </c>
      <c r="N10" s="77" t="s">
        <v>57</v>
      </c>
      <c r="O10" s="77">
        <v>8080</v>
      </c>
      <c r="P10" s="77">
        <v>4</v>
      </c>
      <c r="Q10" s="77" t="s">
        <v>113</v>
      </c>
      <c r="R10" s="77" t="b">
        <v>1</v>
      </c>
      <c r="S10" s="77" t="b">
        <v>0</v>
      </c>
    </row>
    <row r="11" spans="1:19" x14ac:dyDescent="0.3">
      <c r="A11" s="84"/>
      <c r="B11" s="69" t="s">
        <v>23</v>
      </c>
      <c r="C11" s="69" t="str" cm="1">
        <f t="array" ref="C11">UPPER(INDEX(_xlfn.TEXTSPLIT($D11, "-"), 3))</f>
        <v>DIS</v>
      </c>
      <c r="D11" s="69" t="s">
        <v>217</v>
      </c>
      <c r="E11" s="69" t="s">
        <v>184</v>
      </c>
      <c r="F11" s="69" t="str">
        <f t="shared" si="0"/>
        <v>p-dis-web-lb-rule80</v>
      </c>
      <c r="G11" s="69" t="str">
        <f t="shared" si="1"/>
        <v>p-dis-web-lb-fe</v>
      </c>
      <c r="H11" s="69" t="s">
        <v>57</v>
      </c>
      <c r="I11" s="69">
        <v>80</v>
      </c>
      <c r="J11" s="69" t="b">
        <v>0</v>
      </c>
      <c r="K11" s="69" t="str">
        <f t="shared" si="2"/>
        <v>p-dis-web-lb-bp</v>
      </c>
      <c r="L11" s="69">
        <v>80</v>
      </c>
      <c r="M11" s="69" t="str">
        <f t="shared" si="3"/>
        <v>p-dis-web-lb-pb80</v>
      </c>
      <c r="N11" s="69" t="s">
        <v>57</v>
      </c>
      <c r="O11" s="69">
        <v>80</v>
      </c>
      <c r="P11" s="69">
        <v>4</v>
      </c>
      <c r="Q11" s="69" t="s">
        <v>113</v>
      </c>
      <c r="R11" s="69" t="b">
        <v>1</v>
      </c>
      <c r="S11" s="69" t="b">
        <v>0</v>
      </c>
    </row>
    <row r="12" spans="1:19" x14ac:dyDescent="0.3">
      <c r="A12" s="84"/>
      <c r="B12" s="69" t="s">
        <v>23</v>
      </c>
      <c r="C12" s="69" t="str" cm="1">
        <f t="array" ref="C12">UPPER(INDEX(_xlfn.TEXTSPLIT($D12, "-"), 3))</f>
        <v>DIS</v>
      </c>
      <c r="D12" s="69" t="s">
        <v>217</v>
      </c>
      <c r="E12" s="69" t="s">
        <v>184</v>
      </c>
      <c r="F12" s="69" t="str">
        <f t="shared" si="0"/>
        <v>p-dis-web-lb-rule443</v>
      </c>
      <c r="G12" s="69" t="str">
        <f t="shared" si="1"/>
        <v>p-dis-web-lb-fe</v>
      </c>
      <c r="H12" s="69" t="s">
        <v>57</v>
      </c>
      <c r="I12" s="69">
        <v>443</v>
      </c>
      <c r="J12" s="69" t="b">
        <v>0</v>
      </c>
      <c r="K12" s="69" t="str">
        <f t="shared" si="2"/>
        <v>p-dis-web-lb-bp</v>
      </c>
      <c r="L12" s="69">
        <v>443</v>
      </c>
      <c r="M12" s="69" t="str">
        <f t="shared" si="3"/>
        <v>p-dis-web-lb-pb443</v>
      </c>
      <c r="N12" s="69" t="s">
        <v>57</v>
      </c>
      <c r="O12" s="69">
        <v>443</v>
      </c>
      <c r="P12" s="69">
        <v>4</v>
      </c>
      <c r="Q12" s="69" t="s">
        <v>113</v>
      </c>
      <c r="R12" s="69" t="b">
        <v>1</v>
      </c>
      <c r="S12" s="69" t="b">
        <v>0</v>
      </c>
    </row>
    <row r="13" spans="1:19" x14ac:dyDescent="0.3">
      <c r="A13" s="84"/>
      <c r="B13" s="77" t="s">
        <v>23</v>
      </c>
      <c r="C13" s="77" t="str" cm="1">
        <f t="array" ref="C13">UPPER(INDEX(_xlfn.TEXTSPLIT($D13, "-"), 3))</f>
        <v>DIS</v>
      </c>
      <c r="D13" s="77" t="s">
        <v>217</v>
      </c>
      <c r="E13" s="77" t="s">
        <v>282</v>
      </c>
      <c r="F13" s="77" t="str">
        <f t="shared" si="0"/>
        <v>p-dis-cmsadm-lb-rule443</v>
      </c>
      <c r="G13" s="77" t="str">
        <f t="shared" si="1"/>
        <v>p-dis-cmsadm-lb-fe</v>
      </c>
      <c r="H13" s="77" t="s">
        <v>57</v>
      </c>
      <c r="I13" s="77">
        <v>443</v>
      </c>
      <c r="J13" s="77" t="b">
        <v>0</v>
      </c>
      <c r="K13" s="77" t="str">
        <f t="shared" si="2"/>
        <v>p-dis-cmsadm-lb-bp</v>
      </c>
      <c r="L13" s="77">
        <v>443</v>
      </c>
      <c r="M13" s="77" t="str">
        <f t="shared" si="3"/>
        <v>p-dis-cmsadm-lb-pb443</v>
      </c>
      <c r="N13" s="77" t="s">
        <v>57</v>
      </c>
      <c r="O13" s="77">
        <v>443</v>
      </c>
      <c r="P13" s="77">
        <v>4</v>
      </c>
      <c r="Q13" s="77" t="s">
        <v>113</v>
      </c>
      <c r="R13" s="77" t="b">
        <v>1</v>
      </c>
      <c r="S13" s="77" t="b">
        <v>0</v>
      </c>
    </row>
    <row r="14" spans="1:19" x14ac:dyDescent="0.3">
      <c r="A14" s="84"/>
      <c r="B14" s="69" t="s">
        <v>23</v>
      </c>
      <c r="C14" s="69" t="str" cm="1">
        <f t="array" ref="C14">UPPER(INDEX(_xlfn.TEXTSPLIT($D14, "-"), 3))</f>
        <v>DIS</v>
      </c>
      <c r="D14" s="69" t="s">
        <v>217</v>
      </c>
      <c r="E14" s="69" t="s">
        <v>186</v>
      </c>
      <c r="F14" s="69" t="str">
        <f t="shared" si="0"/>
        <v>p-dis-cmsap-lb-rule4001</v>
      </c>
      <c r="G14" s="69" t="str">
        <f t="shared" si="1"/>
        <v>p-dis-cmsap-lb-fe</v>
      </c>
      <c r="H14" s="69" t="s">
        <v>57</v>
      </c>
      <c r="I14" s="69">
        <v>4001</v>
      </c>
      <c r="J14" s="69" t="b">
        <v>0</v>
      </c>
      <c r="K14" s="69" t="str">
        <f t="shared" si="2"/>
        <v>p-dis-cmsap-lb-bp</v>
      </c>
      <c r="L14" s="69">
        <v>4001</v>
      </c>
      <c r="M14" s="69" t="str">
        <f t="shared" si="3"/>
        <v>p-dis-cmsap-lb-pb4001</v>
      </c>
      <c r="N14" s="69" t="s">
        <v>57</v>
      </c>
      <c r="O14" s="69">
        <v>4001</v>
      </c>
      <c r="P14" s="69">
        <v>4</v>
      </c>
      <c r="Q14" s="69" t="s">
        <v>113</v>
      </c>
      <c r="R14" s="69" t="b">
        <v>1</v>
      </c>
      <c r="S14" s="69" t="b">
        <v>0</v>
      </c>
    </row>
    <row r="15" spans="1:19" x14ac:dyDescent="0.3">
      <c r="A15" s="84"/>
      <c r="B15" s="77" t="s">
        <v>23</v>
      </c>
      <c r="C15" s="77" t="str" cm="1">
        <f t="array" ref="C15">UPPER(INDEX(_xlfn.TEXTSPLIT($D15, "-"), 3))</f>
        <v>DIS</v>
      </c>
      <c r="D15" s="77" t="s">
        <v>217</v>
      </c>
      <c r="E15" s="77" t="s">
        <v>273</v>
      </c>
      <c r="F15" s="77" t="str">
        <f t="shared" si="0"/>
        <v>p-dis-cmsweb-lb-rule80</v>
      </c>
      <c r="G15" s="77" t="str">
        <f t="shared" si="1"/>
        <v>p-dis-cmsweb-lb-fe</v>
      </c>
      <c r="H15" s="77" t="s">
        <v>57</v>
      </c>
      <c r="I15" s="77">
        <v>80</v>
      </c>
      <c r="J15" s="77" t="b">
        <v>0</v>
      </c>
      <c r="K15" s="77" t="str">
        <f t="shared" si="2"/>
        <v>p-dis-cmsweb-lb-bp</v>
      </c>
      <c r="L15" s="77">
        <v>80</v>
      </c>
      <c r="M15" s="77" t="str">
        <f t="shared" si="3"/>
        <v>p-dis-cmsweb-lb-pb80</v>
      </c>
      <c r="N15" s="77" t="s">
        <v>57</v>
      </c>
      <c r="O15" s="77">
        <v>80</v>
      </c>
      <c r="P15" s="77">
        <v>4</v>
      </c>
      <c r="Q15" s="77" t="s">
        <v>113</v>
      </c>
      <c r="R15" s="77" t="b">
        <v>1</v>
      </c>
      <c r="S15" s="77" t="b">
        <v>0</v>
      </c>
    </row>
    <row r="16" spans="1:19" x14ac:dyDescent="0.3">
      <c r="A16" s="84"/>
      <c r="B16" s="77" t="s">
        <v>23</v>
      </c>
      <c r="C16" s="77" t="str" cm="1">
        <f t="array" ref="C16">UPPER(INDEX(_xlfn.TEXTSPLIT($D16, "-"), 3))</f>
        <v>DIS</v>
      </c>
      <c r="D16" s="77" t="s">
        <v>217</v>
      </c>
      <c r="E16" s="77" t="s">
        <v>273</v>
      </c>
      <c r="F16" s="77" t="str">
        <f t="shared" si="0"/>
        <v>p-dis-cmsweb-lb-rule443</v>
      </c>
      <c r="G16" s="77" t="str">
        <f t="shared" si="1"/>
        <v>p-dis-cmsweb-lb-fe</v>
      </c>
      <c r="H16" s="77" t="s">
        <v>57</v>
      </c>
      <c r="I16" s="77">
        <v>443</v>
      </c>
      <c r="J16" s="77" t="b">
        <v>0</v>
      </c>
      <c r="K16" s="77" t="str">
        <f t="shared" si="2"/>
        <v>p-dis-cmsweb-lb-bp</v>
      </c>
      <c r="L16" s="77">
        <v>443</v>
      </c>
      <c r="M16" s="77" t="str">
        <f t="shared" si="3"/>
        <v>p-dis-cmsweb-lb-pb443</v>
      </c>
      <c r="N16" s="77" t="s">
        <v>57</v>
      </c>
      <c r="O16" s="77">
        <v>443</v>
      </c>
      <c r="P16" s="77">
        <v>4</v>
      </c>
      <c r="Q16" s="77" t="s">
        <v>113</v>
      </c>
      <c r="R16" s="77" t="b">
        <v>1</v>
      </c>
      <c r="S16" s="77" t="b">
        <v>0</v>
      </c>
    </row>
    <row r="17" spans="1:19" x14ac:dyDescent="0.3">
      <c r="A17" s="84"/>
      <c r="B17" s="69" t="s">
        <v>23</v>
      </c>
      <c r="C17" s="69" t="str" cm="1">
        <f t="array" ref="C17">UPPER(INDEX(_xlfn.TEXTSPLIT($D17, "-"), 3))</f>
        <v>DIS</v>
      </c>
      <c r="D17" s="69" t="s">
        <v>217</v>
      </c>
      <c r="E17" s="69" t="s">
        <v>188</v>
      </c>
      <c r="F17" s="69" t="str">
        <f t="shared" si="0"/>
        <v>p-dis-cmbsap-lb-rule8080</v>
      </c>
      <c r="G17" s="69" t="str">
        <f t="shared" si="1"/>
        <v>p-dis-cmbsap-lb-fe</v>
      </c>
      <c r="H17" s="69" t="s">
        <v>57</v>
      </c>
      <c r="I17" s="69">
        <v>8080</v>
      </c>
      <c r="J17" s="69" t="b">
        <v>0</v>
      </c>
      <c r="K17" s="69" t="str">
        <f t="shared" si="2"/>
        <v>p-dis-cmbsap-lb-bp</v>
      </c>
      <c r="L17" s="69">
        <v>8080</v>
      </c>
      <c r="M17" s="69" t="str">
        <f t="shared" si="3"/>
        <v>p-dis-cmbsap-lb-pb8080</v>
      </c>
      <c r="N17" s="69" t="s">
        <v>57</v>
      </c>
      <c r="O17" s="69">
        <v>8080</v>
      </c>
      <c r="P17" s="69">
        <v>4</v>
      </c>
      <c r="Q17" s="69" t="s">
        <v>113</v>
      </c>
      <c r="R17" s="69" t="b">
        <v>1</v>
      </c>
      <c r="S17" s="69" t="b">
        <v>0</v>
      </c>
    </row>
    <row r="18" spans="1:19" x14ac:dyDescent="0.3">
      <c r="A18" s="84"/>
      <c r="B18" s="77" t="s">
        <v>23</v>
      </c>
      <c r="C18" s="77" t="str" cm="1">
        <f t="array" ref="C18">UPPER(INDEX(_xlfn.TEXTSPLIT($D18, "-"), 3))</f>
        <v>DTG</v>
      </c>
      <c r="D18" s="77" t="s">
        <v>218</v>
      </c>
      <c r="E18" s="77" t="s">
        <v>274</v>
      </c>
      <c r="F18" s="77" t="str">
        <f t="shared" si="0"/>
        <v>p-dtg-ingap-lb-rule8081</v>
      </c>
      <c r="G18" s="77" t="str">
        <f t="shared" si="1"/>
        <v>p-dtg-ingap-lb-fe</v>
      </c>
      <c r="H18" s="77" t="s">
        <v>57</v>
      </c>
      <c r="I18" s="77">
        <v>8081</v>
      </c>
      <c r="J18" s="77" t="b">
        <v>0</v>
      </c>
      <c r="K18" s="77" t="str">
        <f t="shared" si="2"/>
        <v>p-dtg-ingap-lb-bp</v>
      </c>
      <c r="L18" s="77">
        <v>8081</v>
      </c>
      <c r="M18" s="77" t="str">
        <f t="shared" si="3"/>
        <v>p-dtg-ingap-lb-pb8081</v>
      </c>
      <c r="N18" s="77" t="s">
        <v>57</v>
      </c>
      <c r="O18" s="77">
        <v>8081</v>
      </c>
      <c r="P18" s="77">
        <v>4</v>
      </c>
      <c r="Q18" s="77" t="s">
        <v>113</v>
      </c>
      <c r="R18" s="77" t="b">
        <v>1</v>
      </c>
      <c r="S18" s="77" t="b">
        <v>0</v>
      </c>
    </row>
    <row r="19" spans="1:19" x14ac:dyDescent="0.3">
      <c r="A19" s="84"/>
      <c r="B19" s="69" t="s">
        <v>23</v>
      </c>
      <c r="C19" s="69" t="str" cm="1">
        <f t="array" ref="C19">UPPER(INDEX(_xlfn.TEXTSPLIT($D19, "-"), 3))</f>
        <v>DTG</v>
      </c>
      <c r="D19" s="69" t="s">
        <v>218</v>
      </c>
      <c r="E19" s="69" t="s">
        <v>190</v>
      </c>
      <c r="F19" s="69" t="str">
        <f t="shared" ref="F19:F32" si="4">SUBSTITUTE(E19, "hazr-", "")&amp;"-rule"&amp;O19</f>
        <v>p-dtg-ap-lb-rule8080</v>
      </c>
      <c r="G19" s="69" t="str">
        <f t="shared" si="1"/>
        <v>p-dtg-ap-lb-fe</v>
      </c>
      <c r="H19" s="69" t="s">
        <v>57</v>
      </c>
      <c r="I19" s="69">
        <v>8080</v>
      </c>
      <c r="J19" s="69" t="b">
        <v>0</v>
      </c>
      <c r="K19" s="69" t="str">
        <f t="shared" si="2"/>
        <v>p-dtg-ap-lb-bp</v>
      </c>
      <c r="L19" s="69">
        <v>8080</v>
      </c>
      <c r="M19" s="69" t="str">
        <f t="shared" ref="M19:M32" si="5">SUBSTITUTE(E19, "hazr-", "")&amp;"-pb"&amp;IF(O19="", "", O19)</f>
        <v>p-dtg-ap-lb-pb8080</v>
      </c>
      <c r="N19" s="69" t="s">
        <v>57</v>
      </c>
      <c r="O19" s="69">
        <v>8080</v>
      </c>
      <c r="P19" s="69">
        <v>4</v>
      </c>
      <c r="Q19" s="69" t="s">
        <v>113</v>
      </c>
      <c r="R19" s="69" t="b">
        <v>1</v>
      </c>
      <c r="S19" s="69" t="b">
        <v>0</v>
      </c>
    </row>
    <row r="20" spans="1:19" x14ac:dyDescent="0.3">
      <c r="A20" s="84"/>
      <c r="B20" s="69" t="s">
        <v>23</v>
      </c>
      <c r="C20" s="69" t="str" cm="1">
        <f t="array" ref="C20">UPPER(INDEX(_xlfn.TEXTSPLIT($D20, "-"), 3))</f>
        <v>DTG</v>
      </c>
      <c r="D20" s="69" t="s">
        <v>218</v>
      </c>
      <c r="E20" s="69" t="s">
        <v>190</v>
      </c>
      <c r="F20" s="69" t="str">
        <f t="shared" si="4"/>
        <v>p-dtg-ap-lb-rule8087</v>
      </c>
      <c r="G20" s="69" t="str">
        <f t="shared" si="1"/>
        <v>p-dtg-ap-lb-fe</v>
      </c>
      <c r="H20" s="69" t="s">
        <v>57</v>
      </c>
      <c r="I20" s="69">
        <v>8087</v>
      </c>
      <c r="J20" s="69" t="b">
        <v>0</v>
      </c>
      <c r="K20" s="69" t="str">
        <f t="shared" si="2"/>
        <v>p-dtg-ap-lb-bp</v>
      </c>
      <c r="L20" s="69">
        <v>8087</v>
      </c>
      <c r="M20" s="69" t="str">
        <f t="shared" si="5"/>
        <v>p-dtg-ap-lb-pb8087</v>
      </c>
      <c r="N20" s="69" t="s">
        <v>57</v>
      </c>
      <c r="O20" s="69">
        <v>8087</v>
      </c>
      <c r="P20" s="69">
        <v>4</v>
      </c>
      <c r="Q20" s="69" t="s">
        <v>113</v>
      </c>
      <c r="R20" s="69" t="b">
        <v>1</v>
      </c>
      <c r="S20" s="69" t="b">
        <v>0</v>
      </c>
    </row>
    <row r="21" spans="1:19" x14ac:dyDescent="0.3">
      <c r="A21" s="84"/>
      <c r="B21" s="77" t="s">
        <v>23</v>
      </c>
      <c r="C21" s="77" t="str" cm="1">
        <f t="array" ref="C21">UPPER(INDEX(_xlfn.TEXTSPLIT($D21, "-"), 3))</f>
        <v>DTG</v>
      </c>
      <c r="D21" s="77" t="s">
        <v>218</v>
      </c>
      <c r="E21" s="77" t="s">
        <v>275</v>
      </c>
      <c r="F21" s="77" t="str">
        <f t="shared" si="4"/>
        <v>p-dtg-extgeoap-lb-rule3660</v>
      </c>
      <c r="G21" s="77" t="str">
        <f t="shared" si="1"/>
        <v>p-dtg-extgeoap-lb-fe</v>
      </c>
      <c r="H21" s="77" t="s">
        <v>57</v>
      </c>
      <c r="I21" s="77">
        <v>3660</v>
      </c>
      <c r="J21" s="77" t="b">
        <v>0</v>
      </c>
      <c r="K21" s="77" t="str">
        <f t="shared" si="2"/>
        <v>p-dtg-extgeoap-lb-bp</v>
      </c>
      <c r="L21" s="77">
        <v>3660</v>
      </c>
      <c r="M21" s="77" t="str">
        <f t="shared" si="5"/>
        <v>p-dtg-extgeoap-lb-pb3660</v>
      </c>
      <c r="N21" s="77" t="s">
        <v>57</v>
      </c>
      <c r="O21" s="77">
        <v>3660</v>
      </c>
      <c r="P21" s="77">
        <v>4</v>
      </c>
      <c r="Q21" s="77" t="s">
        <v>113</v>
      </c>
      <c r="R21" s="77" t="b">
        <v>1</v>
      </c>
      <c r="S21" s="77" t="b">
        <v>0</v>
      </c>
    </row>
    <row r="22" spans="1:19" x14ac:dyDescent="0.3">
      <c r="A22" s="84"/>
      <c r="B22" s="77" t="s">
        <v>23</v>
      </c>
      <c r="C22" s="77" t="str" cm="1">
        <f t="array" ref="C22">UPPER(INDEX(_xlfn.TEXTSPLIT($D22, "-"), 3))</f>
        <v>DTG</v>
      </c>
      <c r="D22" s="77" t="s">
        <v>218</v>
      </c>
      <c r="E22" s="77" t="s">
        <v>275</v>
      </c>
      <c r="F22" s="77" t="str">
        <f t="shared" si="4"/>
        <v>p-dtg-extgeoap-lb-rule3661</v>
      </c>
      <c r="G22" s="77" t="str">
        <f t="shared" si="1"/>
        <v>p-dtg-extgeoap-lb-fe</v>
      </c>
      <c r="H22" s="77" t="s">
        <v>57</v>
      </c>
      <c r="I22" s="77">
        <v>3661</v>
      </c>
      <c r="J22" s="77" t="b">
        <v>0</v>
      </c>
      <c r="K22" s="77" t="str">
        <f t="shared" si="2"/>
        <v>p-dtg-extgeoap-lb-bp</v>
      </c>
      <c r="L22" s="77">
        <v>3661</v>
      </c>
      <c r="M22" s="77" t="str">
        <f t="shared" si="5"/>
        <v>p-dtg-extgeoap-lb-pb3661</v>
      </c>
      <c r="N22" s="77" t="s">
        <v>57</v>
      </c>
      <c r="O22" s="77">
        <v>3661</v>
      </c>
      <c r="P22" s="77">
        <v>4</v>
      </c>
      <c r="Q22" s="77" t="s">
        <v>113</v>
      </c>
      <c r="R22" s="77" t="b">
        <v>1</v>
      </c>
      <c r="S22" s="77" t="b">
        <v>0</v>
      </c>
    </row>
    <row r="23" spans="1:19" x14ac:dyDescent="0.3">
      <c r="A23" s="84"/>
      <c r="B23" s="69" t="s">
        <v>23</v>
      </c>
      <c r="C23" s="69" t="str" cm="1">
        <f t="array" ref="C23">UPPER(INDEX(_xlfn.TEXTSPLIT($D23, "-"), 3))</f>
        <v>DTG</v>
      </c>
      <c r="D23" s="69" t="s">
        <v>218</v>
      </c>
      <c r="E23" s="69" t="s">
        <v>192</v>
      </c>
      <c r="F23" s="69" t="str">
        <f t="shared" si="4"/>
        <v>p-dtg-geoap-lb-rule8089</v>
      </c>
      <c r="G23" s="69" t="str">
        <f t="shared" si="1"/>
        <v>p-dtg-geoap-lb-fe</v>
      </c>
      <c r="H23" s="69" t="s">
        <v>57</v>
      </c>
      <c r="I23" s="69">
        <v>8089</v>
      </c>
      <c r="J23" s="69" t="b">
        <v>0</v>
      </c>
      <c r="K23" s="69" t="str">
        <f t="shared" si="2"/>
        <v>p-dtg-geoap-lb-bp</v>
      </c>
      <c r="L23" s="69">
        <v>8089</v>
      </c>
      <c r="M23" s="69" t="str">
        <f t="shared" si="5"/>
        <v>p-dtg-geoap-lb-pb8089</v>
      </c>
      <c r="N23" s="69" t="s">
        <v>57</v>
      </c>
      <c r="O23" s="69">
        <v>8089</v>
      </c>
      <c r="P23" s="69">
        <v>4</v>
      </c>
      <c r="Q23" s="69" t="s">
        <v>113</v>
      </c>
      <c r="R23" s="69" t="b">
        <v>1</v>
      </c>
      <c r="S23" s="69" t="b">
        <v>0</v>
      </c>
    </row>
    <row r="24" spans="1:19" x14ac:dyDescent="0.3">
      <c r="A24" s="84"/>
      <c r="B24" s="69" t="s">
        <v>23</v>
      </c>
      <c r="C24" s="69" t="str" cm="1">
        <f t="array" ref="C24">UPPER(INDEX(_xlfn.TEXTSPLIT($D24, "-"), 3))</f>
        <v>DTG</v>
      </c>
      <c r="D24" s="69" t="s">
        <v>218</v>
      </c>
      <c r="E24" s="69" t="s">
        <v>192</v>
      </c>
      <c r="F24" s="69" t="str">
        <f t="shared" si="4"/>
        <v>p-dtg-geoap-lb-rule9089</v>
      </c>
      <c r="G24" s="69" t="str">
        <f t="shared" si="1"/>
        <v>p-dtg-geoap-lb-fe</v>
      </c>
      <c r="H24" s="69" t="s">
        <v>57</v>
      </c>
      <c r="I24" s="69">
        <v>9089</v>
      </c>
      <c r="J24" s="69" t="b">
        <v>0</v>
      </c>
      <c r="K24" s="69" t="str">
        <f t="shared" si="2"/>
        <v>p-dtg-geoap-lb-bp</v>
      </c>
      <c r="L24" s="69">
        <v>9089</v>
      </c>
      <c r="M24" s="69" t="str">
        <f t="shared" si="5"/>
        <v>p-dtg-geoap-lb-pb9089</v>
      </c>
      <c r="N24" s="69" t="s">
        <v>57</v>
      </c>
      <c r="O24" s="69">
        <v>9089</v>
      </c>
      <c r="P24" s="69">
        <v>4</v>
      </c>
      <c r="Q24" s="69" t="s">
        <v>113</v>
      </c>
      <c r="R24" s="69" t="b">
        <v>1</v>
      </c>
      <c r="S24" s="69" t="b">
        <v>0</v>
      </c>
    </row>
    <row r="25" spans="1:19" x14ac:dyDescent="0.3">
      <c r="A25" s="84"/>
      <c r="B25" s="77" t="s">
        <v>23</v>
      </c>
      <c r="C25" s="77" t="str" cm="1">
        <f t="array" ref="C25">UPPER(INDEX(_xlfn.TEXTSPLIT($D25, "-"), 3))</f>
        <v>DTG</v>
      </c>
      <c r="D25" s="77" t="s">
        <v>218</v>
      </c>
      <c r="E25" s="77" t="s">
        <v>298</v>
      </c>
      <c r="F25" s="77" t="str">
        <f t="shared" si="4"/>
        <v>p-dtg-mq-lb01-rule1883</v>
      </c>
      <c r="G25" s="77" t="str">
        <f t="shared" si="1"/>
        <v>p-dtg-mq-lb01-fe</v>
      </c>
      <c r="H25" s="77" t="s">
        <v>57</v>
      </c>
      <c r="I25" s="77">
        <v>1883</v>
      </c>
      <c r="J25" s="77" t="b">
        <v>0</v>
      </c>
      <c r="K25" s="77" t="str">
        <f t="shared" si="2"/>
        <v>p-dtg-mq-lb01-bp</v>
      </c>
      <c r="L25" s="77">
        <v>1883</v>
      </c>
      <c r="M25" s="77" t="str">
        <f t="shared" si="5"/>
        <v>p-dtg-mq-lb01-pb1883</v>
      </c>
      <c r="N25" s="77" t="s">
        <v>57</v>
      </c>
      <c r="O25" s="77">
        <v>1883</v>
      </c>
      <c r="P25" s="77">
        <v>4</v>
      </c>
      <c r="Q25" s="77" t="s">
        <v>113</v>
      </c>
      <c r="R25" s="77" t="b">
        <v>1</v>
      </c>
      <c r="S25" s="77" t="b">
        <v>0</v>
      </c>
    </row>
    <row r="26" spans="1:19" x14ac:dyDescent="0.3">
      <c r="A26" s="84"/>
      <c r="B26" s="77" t="s">
        <v>23</v>
      </c>
      <c r="C26" s="77" t="str" cm="1">
        <f t="array" ref="C26">UPPER(INDEX(_xlfn.TEXTSPLIT($D26, "-"), 3))</f>
        <v>DTG</v>
      </c>
      <c r="D26" s="77" t="s">
        <v>218</v>
      </c>
      <c r="E26" s="77" t="s">
        <v>298</v>
      </c>
      <c r="F26" s="77" t="str">
        <f t="shared" si="4"/>
        <v>p-dtg-mq-lb01-rule1884</v>
      </c>
      <c r="G26" s="77" t="str">
        <f t="shared" si="1"/>
        <v>p-dtg-mq-lb01-fe</v>
      </c>
      <c r="H26" s="77" t="s">
        <v>57</v>
      </c>
      <c r="I26" s="77">
        <v>1884</v>
      </c>
      <c r="J26" s="77" t="b">
        <v>0</v>
      </c>
      <c r="K26" s="77" t="str">
        <f t="shared" si="2"/>
        <v>p-dtg-mq-lb01-bp</v>
      </c>
      <c r="L26" s="77">
        <v>1884</v>
      </c>
      <c r="M26" s="77" t="str">
        <f t="shared" si="5"/>
        <v>p-dtg-mq-lb01-pb1884</v>
      </c>
      <c r="N26" s="77" t="s">
        <v>57</v>
      </c>
      <c r="O26" s="77">
        <v>1884</v>
      </c>
      <c r="P26" s="77">
        <v>4</v>
      </c>
      <c r="Q26" s="77" t="s">
        <v>113</v>
      </c>
      <c r="R26" s="77" t="b">
        <v>1</v>
      </c>
      <c r="S26" s="77" t="b">
        <v>0</v>
      </c>
    </row>
    <row r="27" spans="1:19" x14ac:dyDescent="0.3">
      <c r="A27" s="84"/>
      <c r="B27" s="69" t="s">
        <v>23</v>
      </c>
      <c r="C27" s="69" t="str" cm="1">
        <f t="array" ref="C27">UPPER(INDEX(_xlfn.TEXTSPLIT($D27, "-"), 3))</f>
        <v>DTG</v>
      </c>
      <c r="D27" s="69" t="s">
        <v>218</v>
      </c>
      <c r="E27" s="69" t="s">
        <v>304</v>
      </c>
      <c r="F27" s="69" t="str">
        <f t="shared" ref="F27:F30" si="6">SUBSTITUTE(E27, "hazr-", "")&amp;"-rule"&amp;O27</f>
        <v>p-dtg-mq-lb02-rule1883</v>
      </c>
      <c r="G27" s="69" t="str">
        <f t="shared" ref="G27:G30" si="7">SUBSTITUTE(E27, "hazr-", "")&amp;"-fe"</f>
        <v>p-dtg-mq-lb02-fe</v>
      </c>
      <c r="H27" s="69" t="s">
        <v>57</v>
      </c>
      <c r="I27" s="69">
        <v>1883</v>
      </c>
      <c r="J27" s="69" t="b">
        <v>0</v>
      </c>
      <c r="K27" s="69" t="str">
        <f t="shared" ref="K27:K30" si="8">SUBSTITUTE(E27, "hazr-", "")&amp;"-bp"</f>
        <v>p-dtg-mq-lb02-bp</v>
      </c>
      <c r="L27" s="69">
        <v>1883</v>
      </c>
      <c r="M27" s="69" t="str">
        <f t="shared" ref="M27:M30" si="9">SUBSTITUTE(E27, "hazr-", "")&amp;"-pb"&amp;IF(O27="", "", O27)</f>
        <v>p-dtg-mq-lb02-pb1883</v>
      </c>
      <c r="N27" s="69" t="s">
        <v>57</v>
      </c>
      <c r="O27" s="69">
        <v>1883</v>
      </c>
      <c r="P27" s="69">
        <v>4</v>
      </c>
      <c r="Q27" s="69" t="s">
        <v>113</v>
      </c>
      <c r="R27" s="69" t="b">
        <v>1</v>
      </c>
      <c r="S27" s="69" t="b">
        <v>0</v>
      </c>
    </row>
    <row r="28" spans="1:19" x14ac:dyDescent="0.3">
      <c r="A28" s="84"/>
      <c r="B28" s="69" t="s">
        <v>23</v>
      </c>
      <c r="C28" s="69" t="str" cm="1">
        <f t="array" ref="C28">UPPER(INDEX(_xlfn.TEXTSPLIT($D28, "-"), 3))</f>
        <v>DTG</v>
      </c>
      <c r="D28" s="69" t="s">
        <v>218</v>
      </c>
      <c r="E28" s="69" t="s">
        <v>304</v>
      </c>
      <c r="F28" s="69" t="str">
        <f t="shared" si="6"/>
        <v>p-dtg-mq-lb02-rule1884</v>
      </c>
      <c r="G28" s="69" t="str">
        <f t="shared" si="7"/>
        <v>p-dtg-mq-lb02-fe</v>
      </c>
      <c r="H28" s="69" t="s">
        <v>57</v>
      </c>
      <c r="I28" s="69">
        <v>1884</v>
      </c>
      <c r="J28" s="69" t="b">
        <v>0</v>
      </c>
      <c r="K28" s="69" t="str">
        <f t="shared" si="8"/>
        <v>p-dtg-mq-lb02-bp</v>
      </c>
      <c r="L28" s="69">
        <v>1884</v>
      </c>
      <c r="M28" s="69" t="str">
        <f t="shared" si="9"/>
        <v>p-dtg-mq-lb02-pb1884</v>
      </c>
      <c r="N28" s="69" t="s">
        <v>57</v>
      </c>
      <c r="O28" s="69">
        <v>1884</v>
      </c>
      <c r="P28" s="69">
        <v>4</v>
      </c>
      <c r="Q28" s="69" t="s">
        <v>113</v>
      </c>
      <c r="R28" s="69" t="b">
        <v>1</v>
      </c>
      <c r="S28" s="69" t="b">
        <v>0</v>
      </c>
    </row>
    <row r="29" spans="1:19" x14ac:dyDescent="0.3">
      <c r="A29" s="84"/>
      <c r="B29" s="77" t="s">
        <v>23</v>
      </c>
      <c r="C29" s="77" t="str" cm="1">
        <f t="array" ref="C29">UPPER(INDEX(_xlfn.TEXTSPLIT($D29, "-"), 3))</f>
        <v>DTG</v>
      </c>
      <c r="D29" s="77" t="s">
        <v>218</v>
      </c>
      <c r="E29" s="77" t="s">
        <v>303</v>
      </c>
      <c r="F29" s="77" t="str">
        <f t="shared" si="6"/>
        <v>p-dtg-mq-lb03-rule1883</v>
      </c>
      <c r="G29" s="77" t="str">
        <f t="shared" si="7"/>
        <v>p-dtg-mq-lb03-fe</v>
      </c>
      <c r="H29" s="77" t="s">
        <v>57</v>
      </c>
      <c r="I29" s="77">
        <v>1883</v>
      </c>
      <c r="J29" s="77" t="b">
        <v>0</v>
      </c>
      <c r="K29" s="77" t="str">
        <f t="shared" si="8"/>
        <v>p-dtg-mq-lb03-bp</v>
      </c>
      <c r="L29" s="77">
        <v>1883</v>
      </c>
      <c r="M29" s="77" t="str">
        <f t="shared" si="9"/>
        <v>p-dtg-mq-lb03-pb1883</v>
      </c>
      <c r="N29" s="77" t="s">
        <v>57</v>
      </c>
      <c r="O29" s="77">
        <v>1883</v>
      </c>
      <c r="P29" s="77">
        <v>4</v>
      </c>
      <c r="Q29" s="77" t="s">
        <v>113</v>
      </c>
      <c r="R29" s="77" t="b">
        <v>1</v>
      </c>
      <c r="S29" s="77" t="b">
        <v>0</v>
      </c>
    </row>
    <row r="30" spans="1:19" x14ac:dyDescent="0.3">
      <c r="A30" s="84"/>
      <c r="B30" s="77" t="s">
        <v>23</v>
      </c>
      <c r="C30" s="77" t="str" cm="1">
        <f t="array" ref="C30">UPPER(INDEX(_xlfn.TEXTSPLIT($D30, "-"), 3))</f>
        <v>DTG</v>
      </c>
      <c r="D30" s="77" t="s">
        <v>218</v>
      </c>
      <c r="E30" s="77" t="s">
        <v>303</v>
      </c>
      <c r="F30" s="77" t="str">
        <f t="shared" si="6"/>
        <v>p-dtg-mq-lb03-rule1884</v>
      </c>
      <c r="G30" s="77" t="str">
        <f t="shared" si="7"/>
        <v>p-dtg-mq-lb03-fe</v>
      </c>
      <c r="H30" s="77" t="s">
        <v>57</v>
      </c>
      <c r="I30" s="77">
        <v>1884</v>
      </c>
      <c r="J30" s="77" t="b">
        <v>0</v>
      </c>
      <c r="K30" s="77" t="str">
        <f t="shared" si="8"/>
        <v>p-dtg-mq-lb03-bp</v>
      </c>
      <c r="L30" s="77">
        <v>1884</v>
      </c>
      <c r="M30" s="77" t="str">
        <f t="shared" si="9"/>
        <v>p-dtg-mq-lb03-pb1884</v>
      </c>
      <c r="N30" s="77" t="s">
        <v>57</v>
      </c>
      <c r="O30" s="77">
        <v>1884</v>
      </c>
      <c r="P30" s="77">
        <v>4</v>
      </c>
      <c r="Q30" s="77" t="s">
        <v>113</v>
      </c>
      <c r="R30" s="77" t="b">
        <v>1</v>
      </c>
      <c r="S30" s="77" t="b">
        <v>0</v>
      </c>
    </row>
    <row r="31" spans="1:19" x14ac:dyDescent="0.3">
      <c r="A31" s="84"/>
      <c r="B31" s="69" t="s">
        <v>23</v>
      </c>
      <c r="C31" s="69" t="str" cm="1">
        <f t="array" ref="C31">UPPER(INDEX(_xlfn.TEXTSPLIT($D31, "-"), 3))</f>
        <v>DTG</v>
      </c>
      <c r="D31" s="69" t="s">
        <v>218</v>
      </c>
      <c r="E31" s="69" t="s">
        <v>193</v>
      </c>
      <c r="F31" s="69" t="str">
        <f t="shared" si="4"/>
        <v>p-dtg-admweb-lb-rule8088</v>
      </c>
      <c r="G31" s="69" t="str">
        <f t="shared" si="1"/>
        <v>p-dtg-admweb-lb-fe</v>
      </c>
      <c r="H31" s="69" t="s">
        <v>57</v>
      </c>
      <c r="I31" s="69">
        <v>8088</v>
      </c>
      <c r="J31" s="69" t="b">
        <v>0</v>
      </c>
      <c r="K31" s="69" t="str">
        <f t="shared" si="2"/>
        <v>p-dtg-admweb-lb-bp</v>
      </c>
      <c r="L31" s="69">
        <v>8088</v>
      </c>
      <c r="M31" s="69" t="str">
        <f t="shared" si="5"/>
        <v>p-dtg-admweb-lb-pb8088</v>
      </c>
      <c r="N31" s="69" t="s">
        <v>57</v>
      </c>
      <c r="O31" s="69">
        <v>8088</v>
      </c>
      <c r="P31" s="69">
        <v>4</v>
      </c>
      <c r="Q31" s="69" t="s">
        <v>113</v>
      </c>
      <c r="R31" s="69" t="b">
        <v>1</v>
      </c>
      <c r="S31" s="69" t="b">
        <v>0</v>
      </c>
    </row>
    <row r="32" spans="1:19" x14ac:dyDescent="0.3">
      <c r="A32" s="84"/>
      <c r="B32" s="77" t="s">
        <v>23</v>
      </c>
      <c r="C32" s="77" t="str" cm="1">
        <f t="array" ref="C32">UPPER(INDEX(_xlfn.TEXTSPLIT($D32, "-"), 3))</f>
        <v>DTG</v>
      </c>
      <c r="D32" s="77" t="s">
        <v>218</v>
      </c>
      <c r="E32" s="77" t="s">
        <v>276</v>
      </c>
      <c r="F32" s="77" t="str">
        <f t="shared" si="4"/>
        <v>p-dtg-admap-lb-rule8085</v>
      </c>
      <c r="G32" s="77" t="str">
        <f t="shared" si="1"/>
        <v>p-dtg-admap-lb-fe</v>
      </c>
      <c r="H32" s="77" t="s">
        <v>57</v>
      </c>
      <c r="I32" s="77">
        <v>8085</v>
      </c>
      <c r="J32" s="77" t="b">
        <v>0</v>
      </c>
      <c r="K32" s="77" t="str">
        <f t="shared" si="2"/>
        <v>p-dtg-admap-lb-bp</v>
      </c>
      <c r="L32" s="77">
        <v>8085</v>
      </c>
      <c r="M32" s="77" t="str">
        <f t="shared" si="5"/>
        <v>p-dtg-admap-lb-pb8085</v>
      </c>
      <c r="N32" s="77" t="s">
        <v>57</v>
      </c>
      <c r="O32" s="77">
        <v>8085</v>
      </c>
      <c r="P32" s="77">
        <v>4</v>
      </c>
      <c r="Q32" s="77" t="s">
        <v>113</v>
      </c>
      <c r="R32" s="77" t="b">
        <v>1</v>
      </c>
      <c r="S32" s="77" t="b">
        <v>0</v>
      </c>
    </row>
    <row r="33" spans="1:19" x14ac:dyDescent="0.3">
      <c r="A33" s="84"/>
      <c r="B33" s="77" t="s">
        <v>23</v>
      </c>
      <c r="C33" s="77" t="str" cm="1">
        <f t="array" ref="C33">UPPER(INDEX(_xlfn.TEXTSPLIT($D33, "-"), 3))</f>
        <v>DTG</v>
      </c>
      <c r="D33" s="77" t="s">
        <v>218</v>
      </c>
      <c r="E33" s="77" t="s">
        <v>276</v>
      </c>
      <c r="F33" s="77" t="str">
        <f t="shared" ref="F33:F62" si="10">SUBSTITUTE(E33, "hazr-", "")&amp;"-rule"&amp;O33</f>
        <v>p-dtg-admap-lb-rule8087</v>
      </c>
      <c r="G33" s="77" t="str">
        <f t="shared" si="1"/>
        <v>p-dtg-admap-lb-fe</v>
      </c>
      <c r="H33" s="77" t="s">
        <v>57</v>
      </c>
      <c r="I33" s="77">
        <v>8087</v>
      </c>
      <c r="J33" s="77" t="b">
        <v>0</v>
      </c>
      <c r="K33" s="77" t="str">
        <f t="shared" si="2"/>
        <v>p-dtg-admap-lb-bp</v>
      </c>
      <c r="L33" s="77">
        <v>8087</v>
      </c>
      <c r="M33" s="77" t="str">
        <f t="shared" ref="M33:M62" si="11">SUBSTITUTE(E33, "hazr-", "")&amp;"-pb"&amp;IF(O33="", "", O33)</f>
        <v>p-dtg-admap-lb-pb8087</v>
      </c>
      <c r="N33" s="77" t="s">
        <v>57</v>
      </c>
      <c r="O33" s="77">
        <v>8087</v>
      </c>
      <c r="P33" s="77">
        <v>4</v>
      </c>
      <c r="Q33" s="77" t="s">
        <v>113</v>
      </c>
      <c r="R33" s="77" t="b">
        <v>1</v>
      </c>
      <c r="S33" s="77" t="b">
        <v>0</v>
      </c>
    </row>
    <row r="34" spans="1:19" x14ac:dyDescent="0.3">
      <c r="A34" s="84"/>
      <c r="B34" s="69" t="s">
        <v>23</v>
      </c>
      <c r="C34" s="69" t="str" cm="1">
        <f t="array" ref="C34">UPPER(INDEX(_xlfn.TEXTSPLIT($D34, "-"), 3))</f>
        <v>DTG</v>
      </c>
      <c r="D34" s="69" t="s">
        <v>218</v>
      </c>
      <c r="E34" s="69" t="s">
        <v>195</v>
      </c>
      <c r="F34" s="69" t="str">
        <f t="shared" si="10"/>
        <v>p-dtg-web-lb-rule8080</v>
      </c>
      <c r="G34" s="69" t="str">
        <f t="shared" si="1"/>
        <v>p-dtg-web-lb-fe</v>
      </c>
      <c r="H34" s="69" t="s">
        <v>57</v>
      </c>
      <c r="I34" s="69">
        <v>8080</v>
      </c>
      <c r="J34" s="69" t="b">
        <v>0</v>
      </c>
      <c r="K34" s="69" t="str">
        <f t="shared" si="2"/>
        <v>p-dtg-web-lb-bp</v>
      </c>
      <c r="L34" s="69">
        <v>8080</v>
      </c>
      <c r="M34" s="69" t="str">
        <f t="shared" si="11"/>
        <v>p-dtg-web-lb-pb8080</v>
      </c>
      <c r="N34" s="69" t="s">
        <v>57</v>
      </c>
      <c r="O34" s="69">
        <v>8080</v>
      </c>
      <c r="P34" s="69">
        <v>4</v>
      </c>
      <c r="Q34" s="69" t="s">
        <v>113</v>
      </c>
      <c r="R34" s="69" t="b">
        <v>1</v>
      </c>
      <c r="S34" s="69" t="b">
        <v>0</v>
      </c>
    </row>
    <row r="35" spans="1:19" x14ac:dyDescent="0.3">
      <c r="A35" s="84"/>
      <c r="B35" s="69" t="s">
        <v>23</v>
      </c>
      <c r="C35" s="69" t="str" cm="1">
        <f t="array" ref="C35">UPPER(INDEX(_xlfn.TEXTSPLIT($D35, "-"), 3))</f>
        <v>DTG</v>
      </c>
      <c r="D35" s="69" t="s">
        <v>218</v>
      </c>
      <c r="E35" s="69" t="s">
        <v>195</v>
      </c>
      <c r="F35" s="69" t="str">
        <f t="shared" si="10"/>
        <v>p-dtg-web-lb-rule8081</v>
      </c>
      <c r="G35" s="69" t="str">
        <f t="shared" si="1"/>
        <v>p-dtg-web-lb-fe</v>
      </c>
      <c r="H35" s="69" t="s">
        <v>57</v>
      </c>
      <c r="I35" s="69">
        <v>8081</v>
      </c>
      <c r="J35" s="69" t="b">
        <v>0</v>
      </c>
      <c r="K35" s="69" t="str">
        <f t="shared" si="2"/>
        <v>p-dtg-web-lb-bp</v>
      </c>
      <c r="L35" s="69">
        <v>8081</v>
      </c>
      <c r="M35" s="69" t="str">
        <f t="shared" si="11"/>
        <v>p-dtg-web-lb-pb8081</v>
      </c>
      <c r="N35" s="69" t="s">
        <v>57</v>
      </c>
      <c r="O35" s="69">
        <v>8081</v>
      </c>
      <c r="P35" s="69">
        <v>4</v>
      </c>
      <c r="Q35" s="69" t="s">
        <v>113</v>
      </c>
      <c r="R35" s="69" t="b">
        <v>1</v>
      </c>
      <c r="S35" s="69" t="b">
        <v>0</v>
      </c>
    </row>
    <row r="36" spans="1:19" x14ac:dyDescent="0.3">
      <c r="A36" s="84"/>
      <c r="B36" s="77" t="s">
        <v>23</v>
      </c>
      <c r="C36" s="77" t="str" cm="1">
        <f t="array" ref="C36">UPPER(INDEX(_xlfn.TEXTSPLIT($D36, "-"), 3))</f>
        <v>DTG</v>
      </c>
      <c r="D36" s="77" t="s">
        <v>218</v>
      </c>
      <c r="E36" s="77" t="s">
        <v>277</v>
      </c>
      <c r="F36" s="77" t="str">
        <f t="shared" si="10"/>
        <v>p-dtg-cdmlap-lb-rule3000</v>
      </c>
      <c r="G36" s="77" t="str">
        <f t="shared" ref="G36:G62" si="12">SUBSTITUTE(E36, "hazr-", "")&amp;"-fe"</f>
        <v>p-dtg-cdmlap-lb-fe</v>
      </c>
      <c r="H36" s="77" t="s">
        <v>57</v>
      </c>
      <c r="I36" s="77">
        <v>3000</v>
      </c>
      <c r="J36" s="77" t="b">
        <v>0</v>
      </c>
      <c r="K36" s="77" t="str">
        <f t="shared" ref="K36:K62" si="13">SUBSTITUTE(E36, "hazr-", "")&amp;"-bp"</f>
        <v>p-dtg-cdmlap-lb-bp</v>
      </c>
      <c r="L36" s="77">
        <v>3000</v>
      </c>
      <c r="M36" s="77" t="str">
        <f t="shared" si="11"/>
        <v>p-dtg-cdmlap-lb-pb3000</v>
      </c>
      <c r="N36" s="77" t="s">
        <v>57</v>
      </c>
      <c r="O36" s="77">
        <v>3000</v>
      </c>
      <c r="P36" s="77">
        <v>4</v>
      </c>
      <c r="Q36" s="77" t="s">
        <v>113</v>
      </c>
      <c r="R36" s="77" t="b">
        <v>1</v>
      </c>
      <c r="S36" s="77" t="b">
        <v>0</v>
      </c>
    </row>
    <row r="37" spans="1:19" x14ac:dyDescent="0.3">
      <c r="A37" s="84"/>
      <c r="B37" s="69" t="s">
        <v>23</v>
      </c>
      <c r="C37" s="69" t="str" cm="1">
        <f t="array" ref="C37">UPPER(INDEX(_xlfn.TEXTSPLIT($D37, "-"), 3))</f>
        <v>DTG</v>
      </c>
      <c r="D37" s="69" t="s">
        <v>218</v>
      </c>
      <c r="E37" s="69" t="s">
        <v>197</v>
      </c>
      <c r="F37" s="69" t="str">
        <f t="shared" si="10"/>
        <v>p-dtg-cdstap-lb-rule9305</v>
      </c>
      <c r="G37" s="69" t="str">
        <f t="shared" si="12"/>
        <v>p-dtg-cdstap-lb-fe</v>
      </c>
      <c r="H37" s="69" t="s">
        <v>57</v>
      </c>
      <c r="I37" s="69">
        <v>9305</v>
      </c>
      <c r="J37" s="69" t="b">
        <v>0</v>
      </c>
      <c r="K37" s="69" t="str">
        <f t="shared" si="13"/>
        <v>p-dtg-cdstap-lb-bp</v>
      </c>
      <c r="L37" s="69">
        <v>9305</v>
      </c>
      <c r="M37" s="69" t="str">
        <f t="shared" si="11"/>
        <v>p-dtg-cdstap-lb-pb9305</v>
      </c>
      <c r="N37" s="69" t="s">
        <v>57</v>
      </c>
      <c r="O37" s="69">
        <v>9305</v>
      </c>
      <c r="P37" s="69">
        <v>4</v>
      </c>
      <c r="Q37" s="69" t="s">
        <v>113</v>
      </c>
      <c r="R37" s="69" t="b">
        <v>1</v>
      </c>
      <c r="S37" s="69" t="b">
        <v>0</v>
      </c>
    </row>
    <row r="38" spans="1:19" x14ac:dyDescent="0.3">
      <c r="A38" s="84"/>
      <c r="B38" s="69" t="s">
        <v>23</v>
      </c>
      <c r="C38" s="69" t="str" cm="1">
        <f t="array" ref="C38">UPPER(INDEX(_xlfn.TEXTSPLIT($D38, "-"), 3))</f>
        <v>DTG</v>
      </c>
      <c r="D38" s="69" t="s">
        <v>218</v>
      </c>
      <c r="E38" s="69" t="s">
        <v>197</v>
      </c>
      <c r="F38" s="69" t="str">
        <f t="shared" si="10"/>
        <v>p-dtg-cdstap-lb-rule9306</v>
      </c>
      <c r="G38" s="69" t="str">
        <f t="shared" si="12"/>
        <v>p-dtg-cdstap-lb-fe</v>
      </c>
      <c r="H38" s="69" t="s">
        <v>57</v>
      </c>
      <c r="I38" s="69">
        <v>9306</v>
      </c>
      <c r="J38" s="69" t="b">
        <v>0</v>
      </c>
      <c r="K38" s="69" t="str">
        <f t="shared" si="13"/>
        <v>p-dtg-cdstap-lb-bp</v>
      </c>
      <c r="L38" s="69">
        <v>9306</v>
      </c>
      <c r="M38" s="69" t="str">
        <f t="shared" si="11"/>
        <v>p-dtg-cdstap-lb-pb9306</v>
      </c>
      <c r="N38" s="69" t="s">
        <v>57</v>
      </c>
      <c r="O38" s="69">
        <v>9306</v>
      </c>
      <c r="P38" s="69">
        <v>4</v>
      </c>
      <c r="Q38" s="69" t="s">
        <v>113</v>
      </c>
      <c r="R38" s="69" t="b">
        <v>1</v>
      </c>
      <c r="S38" s="69" t="b">
        <v>0</v>
      </c>
    </row>
    <row r="39" spans="1:19" x14ac:dyDescent="0.3">
      <c r="A39" s="84"/>
      <c r="B39" s="77" t="s">
        <v>23</v>
      </c>
      <c r="C39" s="77" t="str" cm="1">
        <f t="array" ref="C39">UPPER(INDEX(_xlfn.TEXTSPLIT($D39, "-"), 3))</f>
        <v>DTG</v>
      </c>
      <c r="D39" s="77" t="s">
        <v>218</v>
      </c>
      <c r="E39" s="77" t="s">
        <v>278</v>
      </c>
      <c r="F39" s="77" t="str">
        <f t="shared" si="10"/>
        <v>p-dtg-cdsvadm-lb-rule9100</v>
      </c>
      <c r="G39" s="77" t="str">
        <f t="shared" si="12"/>
        <v>p-dtg-cdsvadm-lb-fe</v>
      </c>
      <c r="H39" s="77" t="s">
        <v>57</v>
      </c>
      <c r="I39" s="77">
        <v>9100</v>
      </c>
      <c r="J39" s="77" t="b">
        <v>0</v>
      </c>
      <c r="K39" s="77" t="str">
        <f t="shared" si="13"/>
        <v>p-dtg-cdsvadm-lb-bp</v>
      </c>
      <c r="L39" s="77">
        <v>9100</v>
      </c>
      <c r="M39" s="77" t="str">
        <f t="shared" si="11"/>
        <v>p-dtg-cdsvadm-lb-pb9100</v>
      </c>
      <c r="N39" s="77" t="s">
        <v>57</v>
      </c>
      <c r="O39" s="77">
        <v>9100</v>
      </c>
      <c r="P39" s="77">
        <v>4</v>
      </c>
      <c r="Q39" s="77" t="s">
        <v>113</v>
      </c>
      <c r="R39" s="77" t="b">
        <v>1</v>
      </c>
      <c r="S39" s="77" t="b">
        <v>0</v>
      </c>
    </row>
    <row r="40" spans="1:19" x14ac:dyDescent="0.3">
      <c r="A40" s="84"/>
      <c r="B40" s="77" t="s">
        <v>23</v>
      </c>
      <c r="C40" s="77" t="str" cm="1">
        <f t="array" ref="C40">UPPER(INDEX(_xlfn.TEXTSPLIT($D40, "-"), 3))</f>
        <v>DTG</v>
      </c>
      <c r="D40" s="77" t="s">
        <v>218</v>
      </c>
      <c r="E40" s="77" t="s">
        <v>278</v>
      </c>
      <c r="F40" s="77" t="str">
        <f t="shared" si="10"/>
        <v>p-dtg-cdsvadm-lb-rule9300</v>
      </c>
      <c r="G40" s="77" t="str">
        <f t="shared" si="12"/>
        <v>p-dtg-cdsvadm-lb-fe</v>
      </c>
      <c r="H40" s="77" t="s">
        <v>57</v>
      </c>
      <c r="I40" s="77">
        <v>9300</v>
      </c>
      <c r="J40" s="77" t="b">
        <v>0</v>
      </c>
      <c r="K40" s="77" t="str">
        <f t="shared" si="13"/>
        <v>p-dtg-cdsvadm-lb-bp</v>
      </c>
      <c r="L40" s="77">
        <v>9300</v>
      </c>
      <c r="M40" s="77" t="str">
        <f t="shared" si="11"/>
        <v>p-dtg-cdsvadm-lb-pb9300</v>
      </c>
      <c r="N40" s="77" t="s">
        <v>57</v>
      </c>
      <c r="O40" s="77">
        <v>9300</v>
      </c>
      <c r="P40" s="77">
        <v>4</v>
      </c>
      <c r="Q40" s="77" t="s">
        <v>113</v>
      </c>
      <c r="R40" s="77" t="b">
        <v>1</v>
      </c>
      <c r="S40" s="77" t="b">
        <v>0</v>
      </c>
    </row>
    <row r="41" spans="1:19" x14ac:dyDescent="0.3">
      <c r="A41" s="84"/>
      <c r="B41" s="77" t="s">
        <v>23</v>
      </c>
      <c r="C41" s="77" t="str" cm="1">
        <f t="array" ref="C41">UPPER(INDEX(_xlfn.TEXTSPLIT($D41, "-"), 3))</f>
        <v>DTG</v>
      </c>
      <c r="D41" s="77" t="s">
        <v>218</v>
      </c>
      <c r="E41" s="77" t="s">
        <v>278</v>
      </c>
      <c r="F41" s="77" t="str">
        <f t="shared" si="10"/>
        <v>p-dtg-cdsvadm-lb-rule9105</v>
      </c>
      <c r="G41" s="77" t="str">
        <f t="shared" si="12"/>
        <v>p-dtg-cdsvadm-lb-fe</v>
      </c>
      <c r="H41" s="77" t="s">
        <v>57</v>
      </c>
      <c r="I41" s="77">
        <v>9105</v>
      </c>
      <c r="J41" s="77" t="b">
        <v>0</v>
      </c>
      <c r="K41" s="77" t="str">
        <f t="shared" si="13"/>
        <v>p-dtg-cdsvadm-lb-bp</v>
      </c>
      <c r="L41" s="77">
        <v>9105</v>
      </c>
      <c r="M41" s="77" t="str">
        <f t="shared" si="11"/>
        <v>p-dtg-cdsvadm-lb-pb9105</v>
      </c>
      <c r="N41" s="77" t="s">
        <v>57</v>
      </c>
      <c r="O41" s="77">
        <v>9105</v>
      </c>
      <c r="P41" s="77">
        <v>4</v>
      </c>
      <c r="Q41" s="77" t="s">
        <v>113</v>
      </c>
      <c r="R41" s="77" t="b">
        <v>1</v>
      </c>
      <c r="S41" s="77" t="b">
        <v>0</v>
      </c>
    </row>
    <row r="42" spans="1:19" x14ac:dyDescent="0.3">
      <c r="A42" s="84"/>
      <c r="B42" s="77" t="s">
        <v>23</v>
      </c>
      <c r="C42" s="77" t="str" cm="1">
        <f t="array" ref="C42">UPPER(INDEX(_xlfn.TEXTSPLIT($D42, "-"), 3))</f>
        <v>DTG</v>
      </c>
      <c r="D42" s="77" t="s">
        <v>218</v>
      </c>
      <c r="E42" s="77" t="s">
        <v>278</v>
      </c>
      <c r="F42" s="77" t="str">
        <f t="shared" si="10"/>
        <v>p-dtg-cdsvadm-lb-rule9003</v>
      </c>
      <c r="G42" s="77" t="str">
        <f t="shared" si="12"/>
        <v>p-dtg-cdsvadm-lb-fe</v>
      </c>
      <c r="H42" s="77" t="s">
        <v>57</v>
      </c>
      <c r="I42" s="77">
        <v>9003</v>
      </c>
      <c r="J42" s="77" t="b">
        <v>0</v>
      </c>
      <c r="K42" s="77" t="str">
        <f t="shared" si="13"/>
        <v>p-dtg-cdsvadm-lb-bp</v>
      </c>
      <c r="L42" s="77">
        <v>9003</v>
      </c>
      <c r="M42" s="77" t="str">
        <f t="shared" si="11"/>
        <v>p-dtg-cdsvadm-lb-pb9003</v>
      </c>
      <c r="N42" s="77" t="s">
        <v>57</v>
      </c>
      <c r="O42" s="77">
        <v>9003</v>
      </c>
      <c r="P42" s="77">
        <v>4</v>
      </c>
      <c r="Q42" s="77" t="s">
        <v>113</v>
      </c>
      <c r="R42" s="77" t="b">
        <v>1</v>
      </c>
      <c r="S42" s="77" t="b">
        <v>0</v>
      </c>
    </row>
    <row r="43" spans="1:19" x14ac:dyDescent="0.3">
      <c r="A43" s="84"/>
      <c r="B43" s="77" t="s">
        <v>23</v>
      </c>
      <c r="C43" s="77" t="str" cm="1">
        <f t="array" ref="C43">UPPER(INDEX(_xlfn.TEXTSPLIT($D43, "-"), 3))</f>
        <v>DTG</v>
      </c>
      <c r="D43" s="77" t="s">
        <v>218</v>
      </c>
      <c r="E43" s="77" t="s">
        <v>278</v>
      </c>
      <c r="F43" s="77" t="str">
        <f t="shared" si="10"/>
        <v>p-dtg-cdsvadm-lb-rule8088</v>
      </c>
      <c r="G43" s="77" t="str">
        <f t="shared" si="12"/>
        <v>p-dtg-cdsvadm-lb-fe</v>
      </c>
      <c r="H43" s="77" t="s">
        <v>57</v>
      </c>
      <c r="I43" s="77">
        <v>8088</v>
      </c>
      <c r="J43" s="77" t="b">
        <v>0</v>
      </c>
      <c r="K43" s="77" t="str">
        <f t="shared" si="13"/>
        <v>p-dtg-cdsvadm-lb-bp</v>
      </c>
      <c r="L43" s="77">
        <v>8088</v>
      </c>
      <c r="M43" s="77" t="str">
        <f t="shared" si="11"/>
        <v>p-dtg-cdsvadm-lb-pb8088</v>
      </c>
      <c r="N43" s="77" t="s">
        <v>57</v>
      </c>
      <c r="O43" s="77">
        <v>8088</v>
      </c>
      <c r="P43" s="77">
        <v>4</v>
      </c>
      <c r="Q43" s="77" t="s">
        <v>113</v>
      </c>
      <c r="R43" s="77" t="b">
        <v>1</v>
      </c>
      <c r="S43" s="77" t="b">
        <v>0</v>
      </c>
    </row>
    <row r="44" spans="1:19" x14ac:dyDescent="0.3">
      <c r="A44" s="84"/>
      <c r="B44" s="69" t="s">
        <v>23</v>
      </c>
      <c r="C44" s="69" t="str" cm="1">
        <f t="array" ref="C44">UPPER(INDEX(_xlfn.TEXTSPLIT($D44, "-"), 3))</f>
        <v>DTG</v>
      </c>
      <c r="D44" s="69" t="s">
        <v>218</v>
      </c>
      <c r="E44" s="69" t="s">
        <v>199</v>
      </c>
      <c r="F44" s="69" t="str">
        <f t="shared" si="10"/>
        <v>p-dtg-diosap-lb-rule8080</v>
      </c>
      <c r="G44" s="69" t="str">
        <f t="shared" si="12"/>
        <v>p-dtg-diosap-lb-fe</v>
      </c>
      <c r="H44" s="69" t="s">
        <v>57</v>
      </c>
      <c r="I44" s="69">
        <v>8080</v>
      </c>
      <c r="J44" s="69" t="b">
        <v>0</v>
      </c>
      <c r="K44" s="69" t="str">
        <f t="shared" si="13"/>
        <v>p-dtg-diosap-lb-bp</v>
      </c>
      <c r="L44" s="69">
        <v>8080</v>
      </c>
      <c r="M44" s="69" t="str">
        <f t="shared" si="11"/>
        <v>p-dtg-diosap-lb-pb8080</v>
      </c>
      <c r="N44" s="69" t="s">
        <v>57</v>
      </c>
      <c r="O44" s="69">
        <v>8080</v>
      </c>
      <c r="P44" s="69">
        <v>4</v>
      </c>
      <c r="Q44" s="69" t="s">
        <v>113</v>
      </c>
      <c r="R44" s="69" t="b">
        <v>1</v>
      </c>
      <c r="S44" s="69" t="b">
        <v>0</v>
      </c>
    </row>
    <row r="45" spans="1:19" x14ac:dyDescent="0.3">
      <c r="A45" s="84"/>
      <c r="B45" s="77" t="s">
        <v>23</v>
      </c>
      <c r="C45" s="77" t="str" cm="1">
        <f t="array" ref="C45">UPPER(INDEX(_xlfn.TEXTSPLIT($D45, "-"), 3))</f>
        <v>DTG</v>
      </c>
      <c r="D45" s="77" t="s">
        <v>218</v>
      </c>
      <c r="E45" s="77" t="s">
        <v>279</v>
      </c>
      <c r="F45" s="77" t="str">
        <f t="shared" si="10"/>
        <v>p-dtg-diosweb-lb-rule443</v>
      </c>
      <c r="G45" s="77" t="str">
        <f t="shared" si="12"/>
        <v>p-dtg-diosweb-lb-fe</v>
      </c>
      <c r="H45" s="77" t="s">
        <v>57</v>
      </c>
      <c r="I45" s="77">
        <v>443</v>
      </c>
      <c r="J45" s="77" t="b">
        <v>0</v>
      </c>
      <c r="K45" s="77" t="str">
        <f t="shared" si="13"/>
        <v>p-dtg-diosweb-lb-bp</v>
      </c>
      <c r="L45" s="77">
        <v>443</v>
      </c>
      <c r="M45" s="77" t="str">
        <f t="shared" si="11"/>
        <v>p-dtg-diosweb-lb-pb443</v>
      </c>
      <c r="N45" s="77" t="s">
        <v>57</v>
      </c>
      <c r="O45" s="77">
        <v>443</v>
      </c>
      <c r="P45" s="77">
        <v>4</v>
      </c>
      <c r="Q45" s="77" t="s">
        <v>113</v>
      </c>
      <c r="R45" s="77" t="b">
        <v>1</v>
      </c>
      <c r="S45" s="77" t="b">
        <v>0</v>
      </c>
    </row>
    <row r="46" spans="1:19" x14ac:dyDescent="0.3">
      <c r="A46" s="84"/>
      <c r="B46" s="69" t="s">
        <v>23</v>
      </c>
      <c r="C46" s="69" t="str" cm="1">
        <f t="array" ref="C46">UPPER(INDEX(_xlfn.TEXTSPLIT($D46, "-"), 3))</f>
        <v>DTG</v>
      </c>
      <c r="D46" s="69" t="s">
        <v>218</v>
      </c>
      <c r="E46" s="69" t="s">
        <v>201</v>
      </c>
      <c r="F46" s="69" t="str">
        <f t="shared" si="10"/>
        <v>p-dtg-dprweb-lb-rule443</v>
      </c>
      <c r="G46" s="69" t="str">
        <f t="shared" si="12"/>
        <v>p-dtg-dprweb-lb-fe</v>
      </c>
      <c r="H46" s="69" t="s">
        <v>57</v>
      </c>
      <c r="I46" s="69">
        <v>443</v>
      </c>
      <c r="J46" s="69" t="b">
        <v>0</v>
      </c>
      <c r="K46" s="69" t="str">
        <f t="shared" si="13"/>
        <v>p-dtg-dprweb-lb-bp</v>
      </c>
      <c r="L46" s="69">
        <v>443</v>
      </c>
      <c r="M46" s="69" t="str">
        <f t="shared" si="11"/>
        <v>p-dtg-dprweb-lb-pb443</v>
      </c>
      <c r="N46" s="69" t="s">
        <v>57</v>
      </c>
      <c r="O46" s="69">
        <v>443</v>
      </c>
      <c r="P46" s="69">
        <v>4</v>
      </c>
      <c r="Q46" s="69" t="s">
        <v>113</v>
      </c>
      <c r="R46" s="69" t="b">
        <v>1</v>
      </c>
      <c r="S46" s="69" t="b">
        <v>0</v>
      </c>
    </row>
    <row r="47" spans="1:19" x14ac:dyDescent="0.3">
      <c r="A47" s="84"/>
      <c r="B47" s="77" t="s">
        <v>23</v>
      </c>
      <c r="C47" s="77" t="str" cm="1">
        <f t="array" ref="C47">UPPER(INDEX(_xlfn.TEXTSPLIT($D47, "-"), 3))</f>
        <v>DTG</v>
      </c>
      <c r="D47" s="77" t="s">
        <v>218</v>
      </c>
      <c r="E47" s="77" t="s">
        <v>280</v>
      </c>
      <c r="F47" s="77" t="str">
        <f t="shared" si="10"/>
        <v>p-dtg-dprap-lb-rule8082</v>
      </c>
      <c r="G47" s="77" t="str">
        <f t="shared" si="12"/>
        <v>p-dtg-dprap-lb-fe</v>
      </c>
      <c r="H47" s="77" t="s">
        <v>57</v>
      </c>
      <c r="I47" s="77">
        <v>8082</v>
      </c>
      <c r="J47" s="77" t="b">
        <v>0</v>
      </c>
      <c r="K47" s="77" t="str">
        <f t="shared" si="13"/>
        <v>p-dtg-dprap-lb-bp</v>
      </c>
      <c r="L47" s="77">
        <v>8082</v>
      </c>
      <c r="M47" s="77" t="str">
        <f t="shared" si="11"/>
        <v>p-dtg-dprap-lb-pb8082</v>
      </c>
      <c r="N47" s="77" t="s">
        <v>57</v>
      </c>
      <c r="O47" s="77">
        <v>8082</v>
      </c>
      <c r="P47" s="77">
        <v>4</v>
      </c>
      <c r="Q47" s="77" t="s">
        <v>113</v>
      </c>
      <c r="R47" s="77" t="b">
        <v>1</v>
      </c>
      <c r="S47" s="77" t="b">
        <v>0</v>
      </c>
    </row>
    <row r="48" spans="1:19" x14ac:dyDescent="0.3">
      <c r="A48" s="84"/>
      <c r="B48" s="69" t="s">
        <v>23</v>
      </c>
      <c r="C48" s="69" t="str" cm="1">
        <f t="array" ref="C48">UPPER(INDEX(_xlfn.TEXTSPLIT($D48, "-"), 3))</f>
        <v>BDP</v>
      </c>
      <c r="D48" s="69" t="s">
        <v>219</v>
      </c>
      <c r="E48" s="69" t="s">
        <v>203</v>
      </c>
      <c r="F48" s="69" t="str">
        <f t="shared" si="10"/>
        <v>p-bdp-cxmadm-lb-rule443</v>
      </c>
      <c r="G48" s="69" t="str">
        <f t="shared" si="12"/>
        <v>p-bdp-cxmadm-lb-fe</v>
      </c>
      <c r="H48" s="69" t="s">
        <v>57</v>
      </c>
      <c r="I48" s="69">
        <v>443</v>
      </c>
      <c r="J48" s="69" t="b">
        <v>0</v>
      </c>
      <c r="K48" s="69" t="str">
        <f t="shared" si="13"/>
        <v>p-bdp-cxmadm-lb-bp</v>
      </c>
      <c r="L48" s="69">
        <v>443</v>
      </c>
      <c r="M48" s="69" t="str">
        <f t="shared" si="11"/>
        <v>p-bdp-cxmadm-lb-pb443</v>
      </c>
      <c r="N48" s="69" t="s">
        <v>57</v>
      </c>
      <c r="O48" s="69">
        <v>443</v>
      </c>
      <c r="P48" s="69">
        <v>4</v>
      </c>
      <c r="Q48" s="69" t="s">
        <v>113</v>
      </c>
      <c r="R48" s="69" t="b">
        <v>1</v>
      </c>
      <c r="S48" s="69" t="b">
        <v>0</v>
      </c>
    </row>
    <row r="49" spans="1:19" x14ac:dyDescent="0.3">
      <c r="A49" s="84"/>
      <c r="B49" s="77" t="s">
        <v>23</v>
      </c>
      <c r="C49" s="77" t="str" cm="1">
        <f t="array" ref="C49">UPPER(INDEX(_xlfn.TEXTSPLIT($D49, "-"), 3))</f>
        <v>BDP</v>
      </c>
      <c r="D49" s="77" t="s">
        <v>219</v>
      </c>
      <c r="E49" s="77" t="s">
        <v>281</v>
      </c>
      <c r="F49" s="77" t="str">
        <f t="shared" si="10"/>
        <v>p-bdp-slap-lb-rule443</v>
      </c>
      <c r="G49" s="77" t="str">
        <f t="shared" si="12"/>
        <v>p-bdp-slap-lb-fe</v>
      </c>
      <c r="H49" s="77" t="s">
        <v>57</v>
      </c>
      <c r="I49" s="77">
        <v>443</v>
      </c>
      <c r="J49" s="77" t="b">
        <v>0</v>
      </c>
      <c r="K49" s="77" t="str">
        <f t="shared" si="13"/>
        <v>p-bdp-slap-lb-bp</v>
      </c>
      <c r="L49" s="77">
        <v>443</v>
      </c>
      <c r="M49" s="77" t="str">
        <f t="shared" si="11"/>
        <v>p-bdp-slap-lb-pb443</v>
      </c>
      <c r="N49" s="77" t="s">
        <v>57</v>
      </c>
      <c r="O49" s="77">
        <v>443</v>
      </c>
      <c r="P49" s="77">
        <v>4</v>
      </c>
      <c r="Q49" s="77" t="s">
        <v>113</v>
      </c>
      <c r="R49" s="77" t="b">
        <v>1</v>
      </c>
      <c r="S49" s="77" t="b">
        <v>0</v>
      </c>
    </row>
    <row r="50" spans="1:19" x14ac:dyDescent="0.3">
      <c r="A50" s="84"/>
      <c r="B50" s="69" t="s">
        <v>23</v>
      </c>
      <c r="C50" s="69" t="str" cm="1">
        <f t="array" ref="C50">UPPER(INDEX(_xlfn.TEXTSPLIT($D50, "-"), 3))</f>
        <v>IF</v>
      </c>
      <c r="D50" s="69" t="s">
        <v>220</v>
      </c>
      <c r="E50" s="69" t="s">
        <v>205</v>
      </c>
      <c r="F50" s="69" t="str">
        <f t="shared" si="10"/>
        <v>p-if-auth-lb-rule8088</v>
      </c>
      <c r="G50" s="69" t="str">
        <f t="shared" si="12"/>
        <v>p-if-auth-lb-fe</v>
      </c>
      <c r="H50" s="69" t="s">
        <v>57</v>
      </c>
      <c r="I50" s="69">
        <v>8088</v>
      </c>
      <c r="J50" s="69" t="b">
        <v>0</v>
      </c>
      <c r="K50" s="69" t="str">
        <f t="shared" si="13"/>
        <v>p-if-auth-lb-bp</v>
      </c>
      <c r="L50" s="69">
        <v>8088</v>
      </c>
      <c r="M50" s="69" t="str">
        <f t="shared" si="11"/>
        <v>p-if-auth-lb-pb8088</v>
      </c>
      <c r="N50" s="69" t="s">
        <v>57</v>
      </c>
      <c r="O50" s="69">
        <v>8088</v>
      </c>
      <c r="P50" s="69">
        <v>4</v>
      </c>
      <c r="Q50" s="69" t="s">
        <v>113</v>
      </c>
      <c r="R50" s="69" t="b">
        <v>1</v>
      </c>
      <c r="S50" s="69" t="b">
        <v>0</v>
      </c>
    </row>
    <row r="51" spans="1:19" x14ac:dyDescent="0.3">
      <c r="A51" s="84"/>
      <c r="B51" s="69" t="s">
        <v>23</v>
      </c>
      <c r="C51" s="69" t="str" cm="1">
        <f t="array" ref="C51">UPPER(INDEX(_xlfn.TEXTSPLIT($D51, "-"), 3))</f>
        <v>IF</v>
      </c>
      <c r="D51" s="69" t="s">
        <v>220</v>
      </c>
      <c r="E51" s="69" t="s">
        <v>205</v>
      </c>
      <c r="F51" s="69" t="str">
        <f t="shared" si="10"/>
        <v>p-if-auth-lb-rule9003</v>
      </c>
      <c r="G51" s="69" t="str">
        <f t="shared" si="12"/>
        <v>p-if-auth-lb-fe</v>
      </c>
      <c r="H51" s="69" t="s">
        <v>57</v>
      </c>
      <c r="I51" s="69">
        <v>9003</v>
      </c>
      <c r="J51" s="69" t="b">
        <v>0</v>
      </c>
      <c r="K51" s="69" t="str">
        <f t="shared" si="13"/>
        <v>p-if-auth-lb-bp</v>
      </c>
      <c r="L51" s="69">
        <v>9003</v>
      </c>
      <c r="M51" s="69" t="str">
        <f t="shared" si="11"/>
        <v>p-if-auth-lb-pb9003</v>
      </c>
      <c r="N51" s="69" t="s">
        <v>57</v>
      </c>
      <c r="O51" s="69">
        <v>9003</v>
      </c>
      <c r="P51" s="69">
        <v>4</v>
      </c>
      <c r="Q51" s="69" t="s">
        <v>113</v>
      </c>
      <c r="R51" s="69" t="b">
        <v>1</v>
      </c>
      <c r="S51" s="69" t="b">
        <v>0</v>
      </c>
    </row>
    <row r="52" spans="1:19" x14ac:dyDescent="0.3">
      <c r="A52" s="84"/>
      <c r="B52" s="69" t="s">
        <v>23</v>
      </c>
      <c r="C52" s="69" t="str" cm="1">
        <f t="array" ref="C52">UPPER(INDEX(_xlfn.TEXTSPLIT($D52, "-"), 3))</f>
        <v>IF</v>
      </c>
      <c r="D52" s="69" t="s">
        <v>220</v>
      </c>
      <c r="E52" s="69" t="s">
        <v>205</v>
      </c>
      <c r="F52" s="69" t="str">
        <f t="shared" si="10"/>
        <v>p-if-auth-lb-rule9005</v>
      </c>
      <c r="G52" s="69" t="str">
        <f t="shared" si="12"/>
        <v>p-if-auth-lb-fe</v>
      </c>
      <c r="H52" s="69" t="s">
        <v>57</v>
      </c>
      <c r="I52" s="69">
        <v>9005</v>
      </c>
      <c r="J52" s="69" t="b">
        <v>0</v>
      </c>
      <c r="K52" s="69" t="str">
        <f t="shared" si="13"/>
        <v>p-if-auth-lb-bp</v>
      </c>
      <c r="L52" s="69">
        <v>9005</v>
      </c>
      <c r="M52" s="69" t="str">
        <f t="shared" si="11"/>
        <v>p-if-auth-lb-pb9005</v>
      </c>
      <c r="N52" s="69" t="s">
        <v>57</v>
      </c>
      <c r="O52" s="69">
        <v>9005</v>
      </c>
      <c r="P52" s="69">
        <v>4</v>
      </c>
      <c r="Q52" s="69" t="s">
        <v>113</v>
      </c>
      <c r="R52" s="69" t="b">
        <v>1</v>
      </c>
      <c r="S52" s="69" t="b">
        <v>0</v>
      </c>
    </row>
    <row r="53" spans="1:19" x14ac:dyDescent="0.3">
      <c r="B53" s="93" t="s">
        <v>284</v>
      </c>
      <c r="C53" s="93"/>
      <c r="D53" s="93" t="s">
        <v>221</v>
      </c>
      <c r="E53" s="93" t="s">
        <v>206</v>
      </c>
      <c r="F53" s="93" t="str">
        <f t="shared" si="10"/>
        <v>p-cs-chtap-lb-rule?</v>
      </c>
      <c r="G53" s="93" t="str">
        <f t="shared" si="12"/>
        <v>p-cs-chtap-lb-fe</v>
      </c>
      <c r="H53" s="93" t="s">
        <v>57</v>
      </c>
      <c r="I53" s="93" t="s">
        <v>283</v>
      </c>
      <c r="J53" s="93" t="b">
        <v>0</v>
      </c>
      <c r="K53" s="93" t="str">
        <f t="shared" si="13"/>
        <v>p-cs-chtap-lb-bp</v>
      </c>
      <c r="L53" s="93" t="s">
        <v>283</v>
      </c>
      <c r="M53" s="93" t="str">
        <f t="shared" si="11"/>
        <v>p-cs-chtap-lb-pb?</v>
      </c>
      <c r="N53" s="93" t="s">
        <v>57</v>
      </c>
      <c r="O53" s="93" t="s">
        <v>283</v>
      </c>
      <c r="P53" s="93">
        <v>4</v>
      </c>
      <c r="Q53" s="93" t="s">
        <v>113</v>
      </c>
      <c r="R53" s="93" t="b">
        <v>1</v>
      </c>
      <c r="S53" s="93" t="b">
        <v>0</v>
      </c>
    </row>
    <row r="54" spans="1:19" x14ac:dyDescent="0.3">
      <c r="B54" s="93" t="s">
        <v>284</v>
      </c>
      <c r="C54" s="93"/>
      <c r="D54" s="93" t="s">
        <v>221</v>
      </c>
      <c r="E54" s="93" t="s">
        <v>285</v>
      </c>
      <c r="F54" s="93" t="str">
        <f t="shared" si="10"/>
        <v>p-cs-chtweb-lb-rule?</v>
      </c>
      <c r="G54" s="93" t="str">
        <f t="shared" si="12"/>
        <v>p-cs-chtweb-lb-fe</v>
      </c>
      <c r="H54" s="93" t="s">
        <v>57</v>
      </c>
      <c r="I54" s="93" t="s">
        <v>283</v>
      </c>
      <c r="J54" s="93" t="b">
        <v>0</v>
      </c>
      <c r="K54" s="93" t="str">
        <f t="shared" si="13"/>
        <v>p-cs-chtweb-lb-bp</v>
      </c>
      <c r="L54" s="93" t="s">
        <v>283</v>
      </c>
      <c r="M54" s="93" t="str">
        <f t="shared" si="11"/>
        <v>p-cs-chtweb-lb-pb?</v>
      </c>
      <c r="N54" s="93" t="s">
        <v>57</v>
      </c>
      <c r="O54" s="93" t="s">
        <v>283</v>
      </c>
      <c r="P54" s="93">
        <v>4</v>
      </c>
      <c r="Q54" s="93" t="s">
        <v>113</v>
      </c>
      <c r="R54" s="93" t="b">
        <v>1</v>
      </c>
      <c r="S54" s="93" t="b">
        <v>0</v>
      </c>
    </row>
    <row r="55" spans="1:19" x14ac:dyDescent="0.3">
      <c r="B55" s="93" t="s">
        <v>284</v>
      </c>
      <c r="C55" s="93"/>
      <c r="D55" s="93" t="s">
        <v>221</v>
      </c>
      <c r="E55" s="93" t="s">
        <v>208</v>
      </c>
      <c r="F55" s="93" t="str">
        <f t="shared" si="10"/>
        <v>p-cs-chtintweb-lb-rule?</v>
      </c>
      <c r="G55" s="93" t="str">
        <f t="shared" si="12"/>
        <v>p-cs-chtintweb-lb-fe</v>
      </c>
      <c r="H55" s="93" t="s">
        <v>57</v>
      </c>
      <c r="I55" s="93" t="s">
        <v>283</v>
      </c>
      <c r="J55" s="93" t="b">
        <v>0</v>
      </c>
      <c r="K55" s="93" t="str">
        <f t="shared" si="13"/>
        <v>p-cs-chtintweb-lb-bp</v>
      </c>
      <c r="L55" s="93" t="s">
        <v>283</v>
      </c>
      <c r="M55" s="93" t="str">
        <f t="shared" si="11"/>
        <v>p-cs-chtintweb-lb-pb?</v>
      </c>
      <c r="N55" s="93" t="s">
        <v>57</v>
      </c>
      <c r="O55" s="93" t="s">
        <v>283</v>
      </c>
      <c r="P55" s="93">
        <v>4</v>
      </c>
      <c r="Q55" s="93" t="s">
        <v>113</v>
      </c>
      <c r="R55" s="93" t="b">
        <v>1</v>
      </c>
      <c r="S55" s="93" t="b">
        <v>0</v>
      </c>
    </row>
    <row r="56" spans="1:19" x14ac:dyDescent="0.3">
      <c r="B56" s="93" t="s">
        <v>284</v>
      </c>
      <c r="C56" s="93"/>
      <c r="D56" s="93" t="s">
        <v>222</v>
      </c>
      <c r="E56" s="93" t="s">
        <v>286</v>
      </c>
      <c r="F56" s="93" t="str">
        <f t="shared" si="10"/>
        <v>p-doip-web-lb-rule?</v>
      </c>
      <c r="G56" s="93" t="str">
        <f t="shared" si="12"/>
        <v>p-doip-web-lb-fe</v>
      </c>
      <c r="H56" s="93" t="s">
        <v>57</v>
      </c>
      <c r="I56" s="93" t="s">
        <v>283</v>
      </c>
      <c r="J56" s="93" t="b">
        <v>0</v>
      </c>
      <c r="K56" s="93" t="str">
        <f t="shared" si="13"/>
        <v>p-doip-web-lb-bp</v>
      </c>
      <c r="L56" s="93" t="s">
        <v>283</v>
      </c>
      <c r="M56" s="93" t="str">
        <f t="shared" si="11"/>
        <v>p-doip-web-lb-pb?</v>
      </c>
      <c r="N56" s="93" t="s">
        <v>57</v>
      </c>
      <c r="O56" s="93" t="s">
        <v>283</v>
      </c>
      <c r="P56" s="93">
        <v>4</v>
      </c>
      <c r="Q56" s="93" t="s">
        <v>113</v>
      </c>
      <c r="R56" s="93" t="b">
        <v>1</v>
      </c>
      <c r="S56" s="93" t="b">
        <v>0</v>
      </c>
    </row>
    <row r="57" spans="1:19" x14ac:dyDescent="0.3">
      <c r="B57" s="93" t="s">
        <v>284</v>
      </c>
      <c r="C57" s="93"/>
      <c r="D57" s="93" t="s">
        <v>222</v>
      </c>
      <c r="E57" s="93" t="s">
        <v>210</v>
      </c>
      <c r="F57" s="93" t="str">
        <f t="shared" si="10"/>
        <v>p-doip-ap-lb-rule?</v>
      </c>
      <c r="G57" s="93" t="str">
        <f t="shared" si="12"/>
        <v>p-doip-ap-lb-fe</v>
      </c>
      <c r="H57" s="93" t="s">
        <v>57</v>
      </c>
      <c r="I57" s="93" t="s">
        <v>283</v>
      </c>
      <c r="J57" s="93" t="b">
        <v>0</v>
      </c>
      <c r="K57" s="93" t="str">
        <f t="shared" si="13"/>
        <v>p-doip-ap-lb-bp</v>
      </c>
      <c r="L57" s="93" t="s">
        <v>283</v>
      </c>
      <c r="M57" s="93" t="str">
        <f t="shared" si="11"/>
        <v>p-doip-ap-lb-pb?</v>
      </c>
      <c r="N57" s="93" t="s">
        <v>57</v>
      </c>
      <c r="O57" s="93" t="s">
        <v>283</v>
      </c>
      <c r="P57" s="93">
        <v>4</v>
      </c>
      <c r="Q57" s="93" t="s">
        <v>113</v>
      </c>
      <c r="R57" s="93" t="b">
        <v>1</v>
      </c>
      <c r="S57" s="93" t="b">
        <v>0</v>
      </c>
    </row>
    <row r="58" spans="1:19" x14ac:dyDescent="0.3">
      <c r="B58" s="93" t="s">
        <v>284</v>
      </c>
      <c r="C58" s="93"/>
      <c r="D58" s="93" t="s">
        <v>222</v>
      </c>
      <c r="E58" s="93" t="s">
        <v>287</v>
      </c>
      <c r="F58" s="93" t="str">
        <f t="shared" si="10"/>
        <v>p-doip-adm-lb-rule?</v>
      </c>
      <c r="G58" s="93" t="str">
        <f t="shared" si="12"/>
        <v>p-doip-adm-lb-fe</v>
      </c>
      <c r="H58" s="93" t="s">
        <v>57</v>
      </c>
      <c r="I58" s="93" t="s">
        <v>283</v>
      </c>
      <c r="J58" s="93" t="b">
        <v>0</v>
      </c>
      <c r="K58" s="93" t="str">
        <f t="shared" si="13"/>
        <v>p-doip-adm-lb-bp</v>
      </c>
      <c r="L58" s="93" t="s">
        <v>283</v>
      </c>
      <c r="M58" s="93" t="str">
        <f t="shared" si="11"/>
        <v>p-doip-adm-lb-pb?</v>
      </c>
      <c r="N58" s="93" t="s">
        <v>57</v>
      </c>
      <c r="O58" s="93" t="s">
        <v>283</v>
      </c>
      <c r="P58" s="93">
        <v>4</v>
      </c>
      <c r="Q58" s="93" t="s">
        <v>113</v>
      </c>
      <c r="R58" s="93" t="b">
        <v>1</v>
      </c>
      <c r="S58" s="93" t="b">
        <v>0</v>
      </c>
    </row>
    <row r="59" spans="1:19" x14ac:dyDescent="0.3">
      <c r="A59" s="84"/>
      <c r="B59" s="69" t="s">
        <v>23</v>
      </c>
      <c r="C59" s="69" t="str" cm="1">
        <f t="array" ref="C59">UPPER(INDEX(_xlfn.TEXTSPLIT($D59, "-"), 3))</f>
        <v>BDP</v>
      </c>
      <c r="D59" s="69" t="s">
        <v>219</v>
      </c>
      <c r="E59" s="69" t="s">
        <v>212</v>
      </c>
      <c r="F59" s="69" t="str">
        <f t="shared" si="10"/>
        <v>p-bdp-crkweb-lb-rule443</v>
      </c>
      <c r="G59" s="69" t="str">
        <f t="shared" si="12"/>
        <v>p-bdp-crkweb-lb-fe</v>
      </c>
      <c r="H59" s="69" t="s">
        <v>57</v>
      </c>
      <c r="I59" s="69">
        <v>443</v>
      </c>
      <c r="J59" s="69" t="b">
        <v>0</v>
      </c>
      <c r="K59" s="69" t="str">
        <f t="shared" si="13"/>
        <v>p-bdp-crkweb-lb-bp</v>
      </c>
      <c r="L59" s="69">
        <v>443</v>
      </c>
      <c r="M59" s="69" t="str">
        <f t="shared" si="11"/>
        <v>p-bdp-crkweb-lb-pb443</v>
      </c>
      <c r="N59" s="69" t="s">
        <v>57</v>
      </c>
      <c r="O59" s="69">
        <v>443</v>
      </c>
      <c r="P59" s="69">
        <v>4</v>
      </c>
      <c r="Q59" s="69" t="s">
        <v>113</v>
      </c>
      <c r="R59" s="69" t="b">
        <v>1</v>
      </c>
      <c r="S59" s="69" t="b">
        <v>0</v>
      </c>
    </row>
    <row r="60" spans="1:19" x14ac:dyDescent="0.3">
      <c r="A60" s="84"/>
      <c r="B60" s="69" t="s">
        <v>23</v>
      </c>
      <c r="C60" s="69" t="str" cm="1">
        <f t="array" ref="C60">UPPER(INDEX(_xlfn.TEXTSPLIT($D60, "-"), 3))</f>
        <v>BDP</v>
      </c>
      <c r="D60" s="69" t="s">
        <v>219</v>
      </c>
      <c r="E60" s="69" t="s">
        <v>212</v>
      </c>
      <c r="F60" s="69" t="str">
        <f t="shared" si="10"/>
        <v>p-bdp-crkweb-lb-rule8080</v>
      </c>
      <c r="G60" s="69" t="str">
        <f t="shared" si="12"/>
        <v>p-bdp-crkweb-lb-fe</v>
      </c>
      <c r="H60" s="69" t="s">
        <v>57</v>
      </c>
      <c r="I60" s="69">
        <v>8080</v>
      </c>
      <c r="J60" s="69" t="b">
        <v>0</v>
      </c>
      <c r="K60" s="69" t="str">
        <f t="shared" si="13"/>
        <v>p-bdp-crkweb-lb-bp</v>
      </c>
      <c r="L60" s="69">
        <v>8080</v>
      </c>
      <c r="M60" s="69" t="str">
        <f t="shared" si="11"/>
        <v>p-bdp-crkweb-lb-pb8080</v>
      </c>
      <c r="N60" s="69" t="s">
        <v>57</v>
      </c>
      <c r="O60" s="69">
        <v>8080</v>
      </c>
      <c r="P60" s="69">
        <v>4</v>
      </c>
      <c r="Q60" s="69" t="s">
        <v>113</v>
      </c>
      <c r="R60" s="69" t="b">
        <v>1</v>
      </c>
      <c r="S60" s="69" t="b">
        <v>0</v>
      </c>
    </row>
    <row r="61" spans="1:19" x14ac:dyDescent="0.3">
      <c r="A61" s="84"/>
      <c r="B61" s="77" t="s">
        <v>23</v>
      </c>
      <c r="C61" s="77" t="str" cm="1">
        <f t="array" ref="C61">UPPER(INDEX(_xlfn.TEXTSPLIT($D61, "-"), 3))</f>
        <v>BDP</v>
      </c>
      <c r="D61" s="77" t="s">
        <v>219</v>
      </c>
      <c r="E61" s="77" t="s">
        <v>213</v>
      </c>
      <c r="F61" s="77" t="str">
        <f t="shared" si="10"/>
        <v>p-bdp-crkap-lb-rule8085</v>
      </c>
      <c r="G61" s="77" t="str">
        <f t="shared" si="12"/>
        <v>p-bdp-crkap-lb-fe</v>
      </c>
      <c r="H61" s="77" t="s">
        <v>57</v>
      </c>
      <c r="I61" s="77">
        <v>8085</v>
      </c>
      <c r="J61" s="77" t="b">
        <v>0</v>
      </c>
      <c r="K61" s="77" t="str">
        <f t="shared" si="13"/>
        <v>p-bdp-crkap-lb-bp</v>
      </c>
      <c r="L61" s="77">
        <v>8085</v>
      </c>
      <c r="M61" s="77" t="str">
        <f t="shared" si="11"/>
        <v>p-bdp-crkap-lb-pb8085</v>
      </c>
      <c r="N61" s="77" t="s">
        <v>57</v>
      </c>
      <c r="O61" s="77">
        <v>8085</v>
      </c>
      <c r="P61" s="77">
        <v>4</v>
      </c>
      <c r="Q61" s="77" t="s">
        <v>113</v>
      </c>
      <c r="R61" s="77" t="b">
        <v>1</v>
      </c>
      <c r="S61" s="77" t="b">
        <v>0</v>
      </c>
    </row>
    <row r="62" spans="1:19" x14ac:dyDescent="0.3">
      <c r="A62" s="84"/>
      <c r="B62" s="69" t="s">
        <v>23</v>
      </c>
      <c r="C62" s="69" t="str" cm="1">
        <f t="array" ref="C62">UPPER(INDEX(_xlfn.TEXTSPLIT($D62, "-"), 3))</f>
        <v>BDP</v>
      </c>
      <c r="D62" s="69" t="s">
        <v>219</v>
      </c>
      <c r="E62" s="69" t="s">
        <v>214</v>
      </c>
      <c r="F62" s="69" t="str">
        <f t="shared" si="10"/>
        <v>p-bdp-crkml-lb-rule8082</v>
      </c>
      <c r="G62" s="69" t="str">
        <f t="shared" si="12"/>
        <v>p-bdp-crkml-lb-fe</v>
      </c>
      <c r="H62" s="69" t="s">
        <v>57</v>
      </c>
      <c r="I62" s="69">
        <v>8082</v>
      </c>
      <c r="J62" s="69" t="b">
        <v>0</v>
      </c>
      <c r="K62" s="69" t="str">
        <f t="shared" si="13"/>
        <v>p-bdp-crkml-lb-bp</v>
      </c>
      <c r="L62" s="69">
        <v>8082</v>
      </c>
      <c r="M62" s="69" t="str">
        <f t="shared" si="11"/>
        <v>p-bdp-crkml-lb-pb8082</v>
      </c>
      <c r="N62" s="69" t="s">
        <v>57</v>
      </c>
      <c r="O62" s="69">
        <v>8082</v>
      </c>
      <c r="P62" s="69">
        <v>4</v>
      </c>
      <c r="Q62" s="69" t="s">
        <v>113</v>
      </c>
      <c r="R62" s="69" t="b">
        <v>1</v>
      </c>
      <c r="S62" s="69" t="b">
        <v>0</v>
      </c>
    </row>
  </sheetData>
  <autoFilter ref="B1:S62" xr:uid="{A4BC862D-08E7-4593-9A34-4D2B508CF25B}">
    <sortState xmlns:xlrd2="http://schemas.microsoft.com/office/spreadsheetml/2017/richdata2" ref="B2:S52">
      <sortCondition descending="1" ref="C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VM</vt:lpstr>
      <vt:lpstr>VM_Datadisk</vt:lpstr>
      <vt:lpstr>NSG_Rule</vt:lpstr>
      <vt:lpstr>NSG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dcterms:created xsi:type="dcterms:W3CDTF">2021-03-26T06:15:24Z</dcterms:created>
  <dcterms:modified xsi:type="dcterms:W3CDTF">2026-07-16T02:04:39Z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