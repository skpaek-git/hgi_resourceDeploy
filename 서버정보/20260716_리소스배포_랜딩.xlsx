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7450998-4E38-45E5-99C8-27FEFF3ACD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" i="1" l="1"/>
  <c r="K11" i="2"/>
  <c r="E11" i="2"/>
  <c r="C11" i="2" s="1" a="1"/>
  <c r="C11" i="2" s="1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<sst xmlns="http://schemas.openxmlformats.org/spreadsheetml/2006/main" count="1910" uniqueCount="340">
  <si>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</si>
  <si>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</si>
  <si>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</si>
  <si>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</si>
  <si>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</si>
  <si>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</si>
  <si>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</si>
  <si>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</si>
  <si>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</si>
  <si>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</si>
  <si>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</si>
  <si>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</si>
  <si>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</si>
  <si>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</si>
  <si>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</si>
  <si>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</si>
  <si>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</si>
  <si>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</si>
  <si>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</si>
  <si>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</si>
  <si>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</si>
  <si>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</si>
  <si>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</si>
  <si>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</si>
  <si>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</si>
  <si>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</si>
  <si>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</si>
  <si>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</si>
  <si>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</si>
  <si>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</si>
  <si>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</si>
  <si>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</si>
  <si>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</si>
  <si>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</si>
  <si>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</si>
  <si>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</si>
  <si>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</si>
  <si>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</si>
  <si>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</si>
  <si>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</si>
  <si>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</si>
  <si>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</si>
  <si>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</si>
  <si>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</si>
  <si>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</si>
  <si>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</si>
  <si>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</si>
  <si>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</si>
  <si>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</si>
  <si>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</si>
  <si>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</si>
  <si>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</si>
  <si>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</si>
  <si>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</si>
  <si>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</si>
  <si>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</si>
  <si>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</si>
  <si>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</si>
  <si>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</si>
  <si>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</si>
  <si>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</si>
  <si>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</si>
  <si>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</si>
  <si>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</si>
  <si>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</si>
  <si>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</si>
  <si>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</si>
  <si>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</si>
  <si>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</si>
  <si>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</si>
  <si>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</si>
  <si>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</si>
  <si>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</si>
  <si>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</si>
  <si>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</si>
  <si>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</si>
  <si>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</si>
  <si>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</si>
  <si>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</si>
  <si>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</si>
  <si>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</si>
  <si>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</si>
  <si>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</si>
  <si>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</si>
  <si>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</si>
  <si>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</si>
  <si>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</si>
  <si>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</si>
  <si>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</si>
  <si>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</si>
  <si>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</si>
  <si>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</si>
  <si>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</si>
  <si>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</si>
  <si>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</si>
  <si>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</si>
  <si>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</si>
  <si>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</si>
  <si>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</si>
  <si>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</si>
  <si>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</si>
  <si>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</si>
  <si>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</si>
  <si>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</si>
  <si>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</si>
  <si>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</si>
  <si>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</si>
  <si>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</si>
  <si>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</si>
  <si>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</si>
  <si>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</si>
  <si>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</si>
  <si>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</si>
  <si>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</si>
  <si>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</si>
  <si>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</si>
  <si>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</si>
  <si>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</si>
  <si>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</si>
  <si>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</si>
  <si>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</si>
  <si>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</si>
  <si>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</si>
  <si>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</si>
  <si>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</si>
  <si>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</si>
  <si>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</si>
  <si>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</si>
  <si>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</si>
  <si>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</si>
  <si>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</si>
  <si>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</si>
  <si>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</si>
  <si>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</si>
  <si>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</si>
  <si>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</si>
  <si>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</si>
  <si>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</si>
  <si>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</si>
  <si>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</si>
  <si>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</si>
  <si>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</si>
  <si>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</si>
  <si>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</si>
  <si>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</si>
  <si>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</si>
  <si>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</si>
  <si>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</si>
  <si>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</si>
  <si>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</si>
  <si>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</si>
  <si>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</si>
  <si>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</si>
  <si>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</si>
  <si>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</si>
  <si>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</si>
  <si>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</si>
  <si>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</si>
  <si>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</si>
  <si>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</si>
  <si>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</si>
  <si>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</si>
  <si>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</si>
  <si>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</si>
  <si>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</si>
  <si>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</si>
  <si>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</si>
  <si>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</si>
  <si>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</si>
  <si>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</si>
  <si>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</si>
  <si>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</si>
  <si>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</si>
  <si>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</si>
  <si>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</si>
  <si>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</si>
  <si>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</si>
  <si>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</si>
  <si>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</si>
  <si>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</si>
  <si>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</si>
  <si>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</si>
  <si>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</si>
  <si>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</si>
  <si>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</si>
  <si>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</si>
  <si>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</si>
  <si>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</si>
  <si>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</si>
  <si>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</si>
  <si>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</si>
  <si>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</si>
  <si>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</si>
  <si>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</si>
  <si>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</si>
  <si>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</si>
  <si>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</si>
  <si>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</si>
  <si>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</si>
  <si>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</si>
  <si>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</si>
  <si>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</si>
  <si>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</si>
  <si>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</si>
  <si>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</si>
  <si>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</si>
  <si>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</si>
  <si>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</si>
  <si>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</si>
  <si>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</si>
  <si>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</si>
  <si>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</si>
  <si>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</si>
  <si>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</si>
  <si>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</si>
  <si>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</si>
  <si>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</si>
  <si>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</si>
  <si>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</si>
  <si>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</si>
  <si>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</si>
  <si>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</si>
  <si>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</si>
  <si>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</si>
  <si>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</si>
  <si>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</si>
  <si>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</si>
  <si>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</si>
  <si>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</si>
  <si>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</si>
  <si>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</si>
  <si>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</si>
  <si>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</si>
  <si>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</si>
  <si>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</si>
  <si>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</si>
  <si>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</si>
  <si>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</si>
  <si>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</si>
  <si>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</si>
  <si>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</si>
  <si>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</si>
  <si>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</si>
  <si>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</si>
  <si>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</si>
  <si>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</si>
  <si>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</si>
  <si>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</si>
  <si>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</si>
  <si>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</si>
  <si>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</si>
  <si>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</si>
  <si>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</si>
  <si>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</si>
  <si>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</si>
  <si>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</si>
  <si>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</si>
  <si>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</si>
  <si>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</si>
  <si>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</si>
  <si>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</si>
  <si>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</si>
  <si>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</si>
  <si>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</si>
  <si>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</si>
  <si>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</si>
  <si>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</si>
  <si>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</si>
  <si>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</si>
  <si>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</si>
  <si>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</si>
  <si>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</si>
  <si>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</si>
  <si>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</si>
  <si>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</si>
  <si>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</si>
  <si>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</si>
  <si>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</si>
  <si>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</si>
  <si>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</si>
  <si>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</si>
  <si>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</si>
  <si>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</si>
  <si>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</si>
  <si>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</si>
  <si>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</si>
  <si>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</si>
  <si>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</si>
  <si>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</si>
  <si>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</si>
  <si>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</si>
  <si>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</si>
  <si>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</si>
  <si>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</si>
  <si>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</si>
  <si>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</si>
  <si>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</si>
  <si>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</si>
  <si>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</si>
  <si>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</si>
  <si>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</si>
  <si>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</si>
  <si>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</si>
  <si>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</si>
  <si>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</si>
  <si>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</si>
  <si>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</si>
  <si>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</si>
  <si>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</si>
  <si>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</si>
  <si>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</si>
  <si>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</si>
  <si>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</si>
  <si>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</si>
  <si>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</si>
  <si>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</si>
  <si>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</si>
  <si>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</si>
  <si>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</si>
  <si>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</si>
  <si>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</si>
  <si>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</si>
  <si>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</si>
  <si>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</si>
  <si>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</si>
  <si>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</si>
  <si>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</si>
  <si>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</si>
  <si>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</si>
  <si>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</si>
  <si>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</si>
  <si>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</si>
  <si>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</si>
  <si>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hazr-l-if-cpspsol01</t>
    <phoneticPr fontId="1" type="noConversion"/>
  </si>
  <si>
    <t>10.155.161.136</t>
    <phoneticPr fontId="1" type="noConversion"/>
  </si>
  <si>
    <t>/subscriptions/b73b1d70-b43f-41b5-bb3f-34b9236d2ed9/resourceGroups/hazr-l-mgmt-rg/providers/Microsoft.Compute/galleries/hazrlmgmtgal/images/RHEL_9.8_Base_Image/versions/0.0.2</t>
    <phoneticPr fontId="1" type="noConversion"/>
  </si>
  <si>
    <t>D32s_v5</t>
    <phoneticPr fontId="1" type="noConversion"/>
  </si>
  <si>
    <t>hazr-l-comm-rg</t>
    <phoneticPr fontId="1" type="noConversion"/>
  </si>
  <si>
    <t>l-if-cpspsol01-disk02</t>
    <phoneticPr fontId="1" type="noConversion"/>
  </si>
  <si>
    <t>l-if-cpspsol01-disk01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</si>
</sst>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2" xfId="0" applyNumberFormat="1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1" totalsRowShown="0" headerRowDxfId="32" dataDxfId="31">
  <autoFilter ref="B1:AF1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1"/>
  <sheetViews>
    <sheetView tabSelected="1"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B11" sqref="B1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>SUBSTITUTE(F8,"hazr-","")&amp;"-osdisk"</f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>SUBSTITUTE(F8,"hazr-","")&amp;"-nic"</f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>SUBSTITUTE(F9,"hazr-","")&amp;"-osdisk"</f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>SUBSTITUTE(F9,"hazr-","")&amp;"-nic"</f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>SUBSTITUTE(F10,"hazr-","")&amp;"-osdisk"</f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>SUBSTITUTE(F10,"hazr-","")&amp;"-nic"</f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B11" s="88" t="s">
        <v>321</v>
      </c>
      <c r="C11" s="106" t="str" cm="1">
        <f t="array" ref="C11">UPPER(INDEX(_xlfn.TEXTSPLIT($F11, "-"), 3))</f>
        <v>IF</v>
      </c>
      <c r="D11" s="106" t="s">
        <v>145</v>
      </c>
      <c r="E11" s="88" t="s">
        <v>24</v>
      </c>
      <c r="F11" s="88" t="s">
        <v>333</v>
      </c>
      <c r="G11" s="88" t="s">
        <v>334</v>
      </c>
      <c r="H11" s="88" t="s">
        <v>336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335</v>
      </c>
      <c r="O11" s="107" t="str">
        <f>SUBSTITUTE(F11,"hazr-","")&amp;"-osdisk"</f>
        <v>l-if-cpspsol01-osdisk</v>
      </c>
      <c r="P11" s="99">
        <v>64</v>
      </c>
      <c r="Q11" s="100" t="s">
        <v>121</v>
      </c>
      <c r="R11" s="106"/>
      <c r="S11" s="88"/>
      <c r="T11" s="106"/>
      <c r="U11" s="88" t="str">
        <f>SUBSTITUTE(F11,"hazr-","")&amp;"-nic"</f>
        <v>l-if-cpspsol01-nic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H11" sqref="H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B11" s="69" t="s">
        <v>321</v>
      </c>
      <c r="C11" s="69" t="str" cm="1">
        <f t="array" ref="C11">UPPER(INDEX(_xlfn.TEXTSPLIT($F11, "-"), 3))</f>
        <v>IF</v>
      </c>
      <c r="D11" s="69" t="s">
        <v>337</v>
      </c>
      <c r="E11" s="69" t="s">
        <v>24</v>
      </c>
      <c r="F11" s="69" t="s">
        <v>333</v>
      </c>
      <c r="G11" s="75" t="s">
        <v>339</v>
      </c>
      <c r="H11" s="69" t="s">
        <v>121</v>
      </c>
      <c r="I11" s="69">
        <v>2048</v>
      </c>
      <c r="J11" s="75" t="s">
        <v>338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1"/>
  <sheetViews>
    <sheetView workbookViewId="0">
      <selection activeCell="K9" sqref="K9:L11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1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 t="shared" si="5"/>
        <v>l-if-cpspsol01-nsg</v>
      </c>
      <c r="F11" s="75" t="s">
        <v>145</v>
      </c>
      <c r="G11" s="75" t="s">
        <v>138</v>
      </c>
      <c r="H11" s="75" t="s">
        <v>290</v>
      </c>
      <c r="I11" s="75" t="s">
        <v>333</v>
      </c>
      <c r="J11" s="75" t="s">
        <v>145</v>
      </c>
      <c r="K11" s="75" t="str">
        <f t="shared" ref="K11" si="7">SUBSTITUTE(I11,"hazr-","")&amp;"-nic"</f>
        <v>l-if-cpspsol01-nic</v>
      </c>
      <c r="L11" s="75" t="s">
        <v>141</v>
      </c>
      <c r="M11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2026-07-27T05:52:04Z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